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docMetadata/LabelInfo.xml" ContentType="application/vnd.ms-office.classificationlabel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showInkAnnotation="0" defaultThemeVersion="124226"/>
  <bookViews>
    <workbookView xWindow="-120" yWindow="-120" windowWidth="24240" windowHeight="13020" tabRatio="896" firstSheet="2" activeTab="4"/>
  </bookViews>
  <sheets>
    <sheet name="Bush Rejection" sheetId="4" state="hidden" r:id="rId1"/>
    <sheet name="FQC Rejection Book" sheetId="3" state="hidden" r:id="rId2"/>
    <sheet name="Truning Daily Rej-Sep-26" sheetId="137" r:id="rId3"/>
    <sheet name="Sheet1" sheetId="149" state="hidden" r:id="rId4"/>
    <sheet name="Truning Daily Rew-Sep-26" sheetId="143" r:id="rId5"/>
    <sheet name="Coding" sheetId="138" r:id="rId6"/>
  </sheets>
  <externalReferences>
    <externalReference r:id="rId7"/>
    <externalReference r:id="rId8"/>
  </externalReferences>
  <definedNames>
    <definedName name="___DAT1" localSheetId="5">#REF!</definedName>
    <definedName name="___DAT1" localSheetId="4">#REF!</definedName>
    <definedName name="___DAT1">#REF!</definedName>
    <definedName name="___DAT10" localSheetId="4">#REF!</definedName>
    <definedName name="___DAT10">#REF!</definedName>
    <definedName name="___DAT11" localSheetId="4">#REF!</definedName>
    <definedName name="___DAT11">#REF!</definedName>
    <definedName name="___DAT12" localSheetId="4">#REF!</definedName>
    <definedName name="___DAT12">#REF!</definedName>
    <definedName name="___DAT13" localSheetId="4">#REF!</definedName>
    <definedName name="___DAT13">#REF!</definedName>
    <definedName name="___DAT2" localSheetId="4">#REF!</definedName>
    <definedName name="___DAT2">#REF!</definedName>
    <definedName name="___DAT3" localSheetId="4">#REF!</definedName>
    <definedName name="___DAT3">#REF!</definedName>
    <definedName name="___DAT4" localSheetId="4">#REF!</definedName>
    <definedName name="___DAT4">#REF!</definedName>
    <definedName name="___DAT5" localSheetId="4">#REF!</definedName>
    <definedName name="___DAT5">#REF!</definedName>
    <definedName name="___DAT6" localSheetId="4">#REF!</definedName>
    <definedName name="___DAT6">#REF!</definedName>
    <definedName name="___DAT7" localSheetId="4">#REF!</definedName>
    <definedName name="___DAT7">#REF!</definedName>
    <definedName name="___DAT8" localSheetId="4">#REF!</definedName>
    <definedName name="___DAT8">#REF!</definedName>
    <definedName name="___DAT9" localSheetId="4">#REF!</definedName>
    <definedName name="___DAT9">#REF!</definedName>
    <definedName name="__DAT1" localSheetId="0">#REF!</definedName>
    <definedName name="__DAT1" localSheetId="1">#REF!</definedName>
    <definedName name="__DAT1" localSheetId="2">#REF!</definedName>
    <definedName name="__DAT1" localSheetId="4">#REF!</definedName>
    <definedName name="__DAT1">#REF!</definedName>
    <definedName name="__DAT10" localSheetId="0">#REF!</definedName>
    <definedName name="__DAT10" localSheetId="1">#REF!</definedName>
    <definedName name="__DAT10" localSheetId="2">#REF!</definedName>
    <definedName name="__DAT10" localSheetId="4">#REF!</definedName>
    <definedName name="__DAT10">#REF!</definedName>
    <definedName name="__DAT11" localSheetId="0">#REF!</definedName>
    <definedName name="__DAT11" localSheetId="1">#REF!</definedName>
    <definedName name="__DAT11" localSheetId="2">#REF!</definedName>
    <definedName name="__DAT11" localSheetId="4">#REF!</definedName>
    <definedName name="__DAT11">#REF!</definedName>
    <definedName name="__DAT12" localSheetId="0">#REF!</definedName>
    <definedName name="__DAT12" localSheetId="1">#REF!</definedName>
    <definedName name="__DAT12" localSheetId="2">#REF!</definedName>
    <definedName name="__DAT12" localSheetId="4">#REF!</definedName>
    <definedName name="__DAT12">#REF!</definedName>
    <definedName name="__DAT13" localSheetId="0">#REF!</definedName>
    <definedName name="__DAT13" localSheetId="1">#REF!</definedName>
    <definedName name="__DAT13" localSheetId="2">#REF!</definedName>
    <definedName name="__DAT13" localSheetId="4">#REF!</definedName>
    <definedName name="__DAT13">#REF!</definedName>
    <definedName name="__DAT2" localSheetId="0">#REF!</definedName>
    <definedName name="__DAT2" localSheetId="1">#REF!</definedName>
    <definedName name="__DAT2" localSheetId="2">#REF!</definedName>
    <definedName name="__DAT2" localSheetId="4">#REF!</definedName>
    <definedName name="__DAT2">#REF!</definedName>
    <definedName name="__DAT3" localSheetId="0">#REF!</definedName>
    <definedName name="__DAT3" localSheetId="1">#REF!</definedName>
    <definedName name="__DAT3" localSheetId="2">#REF!</definedName>
    <definedName name="__DAT3" localSheetId="4">#REF!</definedName>
    <definedName name="__DAT3">#REF!</definedName>
    <definedName name="__DAT4" localSheetId="0">#REF!</definedName>
    <definedName name="__DAT4" localSheetId="1">#REF!</definedName>
    <definedName name="__DAT4" localSheetId="2">#REF!</definedName>
    <definedName name="__DAT4" localSheetId="4">#REF!</definedName>
    <definedName name="__DAT4">#REF!</definedName>
    <definedName name="__DAT5" localSheetId="0">#REF!</definedName>
    <definedName name="__DAT5" localSheetId="1">#REF!</definedName>
    <definedName name="__DAT5" localSheetId="2">#REF!</definedName>
    <definedName name="__DAT5" localSheetId="4">#REF!</definedName>
    <definedName name="__DAT5">#REF!</definedName>
    <definedName name="__DAT6" localSheetId="0">#REF!</definedName>
    <definedName name="__DAT6" localSheetId="1">#REF!</definedName>
    <definedName name="__DAT6" localSheetId="2">#REF!</definedName>
    <definedName name="__DAT6" localSheetId="4">#REF!</definedName>
    <definedName name="__DAT6">#REF!</definedName>
    <definedName name="__DAT7" localSheetId="0">#REF!</definedName>
    <definedName name="__DAT7" localSheetId="1">#REF!</definedName>
    <definedName name="__DAT7" localSheetId="2">#REF!</definedName>
    <definedName name="__DAT7" localSheetId="4">#REF!</definedName>
    <definedName name="__DAT7">#REF!</definedName>
    <definedName name="__DAT8" localSheetId="0">#REF!</definedName>
    <definedName name="__DAT8" localSheetId="1">#REF!</definedName>
    <definedName name="__DAT8" localSheetId="2">#REF!</definedName>
    <definedName name="__DAT8" localSheetId="4">#REF!</definedName>
    <definedName name="__DAT8">#REF!</definedName>
    <definedName name="__DAT9" localSheetId="0">#REF!</definedName>
    <definedName name="__DAT9" localSheetId="1">#REF!</definedName>
    <definedName name="__DAT9" localSheetId="2">#REF!</definedName>
    <definedName name="__DAT9" localSheetId="4">#REF!</definedName>
    <definedName name="__DAT9">#REF!</definedName>
    <definedName name="_DAT1" localSheetId="0">#REF!</definedName>
    <definedName name="_DAT1" localSheetId="1">#REF!</definedName>
    <definedName name="_DAT1" localSheetId="2">#REF!</definedName>
    <definedName name="_DAT1" localSheetId="4">#REF!</definedName>
    <definedName name="_DAT1">#REF!</definedName>
    <definedName name="_DAT10" localSheetId="0">#REF!</definedName>
    <definedName name="_DAT10" localSheetId="1">#REF!</definedName>
    <definedName name="_DAT10" localSheetId="2">#REF!</definedName>
    <definedName name="_DAT10" localSheetId="4">#REF!</definedName>
    <definedName name="_DAT10">#REF!</definedName>
    <definedName name="_DAT11" localSheetId="0">#REF!</definedName>
    <definedName name="_DAT11" localSheetId="1">#REF!</definedName>
    <definedName name="_DAT11" localSheetId="2">#REF!</definedName>
    <definedName name="_DAT11" localSheetId="4">#REF!</definedName>
    <definedName name="_DAT11">#REF!</definedName>
    <definedName name="_DAT12" localSheetId="0">#REF!</definedName>
    <definedName name="_DAT12" localSheetId="1">#REF!</definedName>
    <definedName name="_DAT12" localSheetId="2">#REF!</definedName>
    <definedName name="_DAT12" localSheetId="4">#REF!</definedName>
    <definedName name="_DAT12">#REF!</definedName>
    <definedName name="_DAT13" localSheetId="0">#REF!</definedName>
    <definedName name="_DAT13" localSheetId="1">#REF!</definedName>
    <definedName name="_DAT13" localSheetId="2">#REF!</definedName>
    <definedName name="_DAT13" localSheetId="4">#REF!</definedName>
    <definedName name="_DAT13">#REF!</definedName>
    <definedName name="_DAT2" localSheetId="0">#REF!</definedName>
    <definedName name="_DAT2" localSheetId="1">#REF!</definedName>
    <definedName name="_DAT2" localSheetId="2">#REF!</definedName>
    <definedName name="_DAT2" localSheetId="4">#REF!</definedName>
    <definedName name="_DAT2">#REF!</definedName>
    <definedName name="_DAT3" localSheetId="0">#REF!</definedName>
    <definedName name="_DAT3" localSheetId="1">#REF!</definedName>
    <definedName name="_DAT3" localSheetId="2">#REF!</definedName>
    <definedName name="_DAT3" localSheetId="4">#REF!</definedName>
    <definedName name="_DAT3">#REF!</definedName>
    <definedName name="_DAT4" localSheetId="0">#REF!</definedName>
    <definedName name="_DAT4" localSheetId="1">#REF!</definedName>
    <definedName name="_DAT4" localSheetId="2">#REF!</definedName>
    <definedName name="_DAT4" localSheetId="4">#REF!</definedName>
    <definedName name="_DAT4">#REF!</definedName>
    <definedName name="_DAT5" localSheetId="0">#REF!</definedName>
    <definedName name="_DAT5" localSheetId="1">#REF!</definedName>
    <definedName name="_DAT5" localSheetId="2">#REF!</definedName>
    <definedName name="_DAT5" localSheetId="4">#REF!</definedName>
    <definedName name="_DAT5">#REF!</definedName>
    <definedName name="_DAT6" localSheetId="0">#REF!</definedName>
    <definedName name="_DAT6" localSheetId="1">#REF!</definedName>
    <definedName name="_DAT6" localSheetId="2">#REF!</definedName>
    <definedName name="_DAT6" localSheetId="4">#REF!</definedName>
    <definedName name="_DAT6">#REF!</definedName>
    <definedName name="_DAT7" localSheetId="0">#REF!</definedName>
    <definedName name="_DAT7" localSheetId="1">#REF!</definedName>
    <definedName name="_DAT7" localSheetId="2">#REF!</definedName>
    <definedName name="_DAT7" localSheetId="4">#REF!</definedName>
    <definedName name="_DAT7">#REF!</definedName>
    <definedName name="_DAT8" localSheetId="0">#REF!</definedName>
    <definedName name="_DAT8" localSheetId="1">#REF!</definedName>
    <definedName name="_DAT8" localSheetId="2">#REF!</definedName>
    <definedName name="_DAT8" localSheetId="4">#REF!</definedName>
    <definedName name="_DAT8">#REF!</definedName>
    <definedName name="_DAT9" localSheetId="0">#REF!</definedName>
    <definedName name="_DAT9" localSheetId="1">#REF!</definedName>
    <definedName name="_DAT9" localSheetId="2">#REF!</definedName>
    <definedName name="_DAT9" localSheetId="4">#REF!</definedName>
    <definedName name="_DAT9">#REF!</definedName>
    <definedName name="_xlnm._FilterDatabase" localSheetId="0" hidden="1">'Bush Rejection'!$A$4:$X$4</definedName>
    <definedName name="_xlnm._FilterDatabase" localSheetId="1" hidden="1">'FQC Rejection Book'!$A$4:$X$4</definedName>
    <definedName name="_xlnm._FilterDatabase" localSheetId="2" hidden="1">'Truning Daily Rej-Sep-26'!#REF!</definedName>
    <definedName name="_xlnm._FilterDatabase" localSheetId="4" hidden="1">'Truning Daily Rew-Sep-26'!#REF!</definedName>
    <definedName name="DATA1" localSheetId="0">#REF!</definedName>
    <definedName name="DATA1" localSheetId="1">#REF!</definedName>
    <definedName name="DATA1" localSheetId="2">#REF!</definedName>
    <definedName name="DATA1" localSheetId="4">#REF!</definedName>
    <definedName name="DATA1">#REF!</definedName>
    <definedName name="DATA10" localSheetId="0">#REF!</definedName>
    <definedName name="DATA10" localSheetId="1">#REF!</definedName>
    <definedName name="DATA10" localSheetId="2">#REF!</definedName>
    <definedName name="DATA10" localSheetId="4">#REF!</definedName>
    <definedName name="DATA10">#REF!</definedName>
    <definedName name="DATA11" localSheetId="0">#REF!</definedName>
    <definedName name="DATA11" localSheetId="1">#REF!</definedName>
    <definedName name="DATA11" localSheetId="2">#REF!</definedName>
    <definedName name="DATA11" localSheetId="4">#REF!</definedName>
    <definedName name="DATA11">#REF!</definedName>
    <definedName name="DATA12" localSheetId="0">#REF!</definedName>
    <definedName name="DATA12" localSheetId="1">#REF!</definedName>
    <definedName name="DATA12" localSheetId="2">#REF!</definedName>
    <definedName name="DATA12" localSheetId="4">#REF!</definedName>
    <definedName name="DATA12">#REF!</definedName>
    <definedName name="DATA13" localSheetId="0">#REF!</definedName>
    <definedName name="DATA13" localSheetId="1">#REF!</definedName>
    <definedName name="DATA13" localSheetId="2">#REF!</definedName>
    <definedName name="DATA13" localSheetId="4">#REF!</definedName>
    <definedName name="DATA13">#REF!</definedName>
    <definedName name="DATA2" localSheetId="0">#REF!</definedName>
    <definedName name="DATA2" localSheetId="1">#REF!</definedName>
    <definedName name="DATA2" localSheetId="2">#REF!</definedName>
    <definedName name="DATA2" localSheetId="4">#REF!</definedName>
    <definedName name="DATA2">#REF!</definedName>
    <definedName name="DATA3" localSheetId="0">#REF!</definedName>
    <definedName name="DATA3" localSheetId="1">#REF!</definedName>
    <definedName name="DATA3" localSheetId="2">#REF!</definedName>
    <definedName name="DATA3" localSheetId="4">#REF!</definedName>
    <definedName name="DATA3">#REF!</definedName>
    <definedName name="DATA4" localSheetId="0">#REF!</definedName>
    <definedName name="DATA4" localSheetId="1">#REF!</definedName>
    <definedName name="DATA4" localSheetId="2">#REF!</definedName>
    <definedName name="DATA4" localSheetId="4">#REF!</definedName>
    <definedName name="DATA4">#REF!</definedName>
    <definedName name="DATA5" localSheetId="0">#REF!</definedName>
    <definedName name="DATA5" localSheetId="1">#REF!</definedName>
    <definedName name="DATA5" localSheetId="2">#REF!</definedName>
    <definedName name="DATA5" localSheetId="4">#REF!</definedName>
    <definedName name="DATA5">#REF!</definedName>
    <definedName name="DATA6" localSheetId="0">#REF!</definedName>
    <definedName name="DATA6" localSheetId="1">#REF!</definedName>
    <definedName name="DATA6" localSheetId="2">#REF!</definedName>
    <definedName name="DATA6" localSheetId="4">#REF!</definedName>
    <definedName name="DATA6">#REF!</definedName>
    <definedName name="DATA7" localSheetId="0">#REF!</definedName>
    <definedName name="DATA7" localSheetId="1">#REF!</definedName>
    <definedName name="DATA7" localSheetId="2">#REF!</definedName>
    <definedName name="DATA7" localSheetId="4">#REF!</definedName>
    <definedName name="DATA7">#REF!</definedName>
    <definedName name="DATA8" localSheetId="0">#REF!</definedName>
    <definedName name="DATA8" localSheetId="1">#REF!</definedName>
    <definedName name="DATA8" localSheetId="2">#REF!</definedName>
    <definedName name="DATA8" localSheetId="4">#REF!</definedName>
    <definedName name="DATA8">#REF!</definedName>
    <definedName name="DATA9" localSheetId="0">#REF!</definedName>
    <definedName name="DATA9" localSheetId="1">#REF!</definedName>
    <definedName name="DATA9" localSheetId="2">#REF!</definedName>
    <definedName name="DATA9" localSheetId="4">#REF!</definedName>
    <definedName name="DATA9">#REF!</definedName>
    <definedName name="_xlnm.Print_Area" localSheetId="2">'Truning Daily Rej-Sep-26'!$C$1:$W$4</definedName>
    <definedName name="_xlnm.Print_Area" localSheetId="4">'Truning Daily Rew-Sep-26'!$C$1:$W$4</definedName>
    <definedName name="_xlnm.Recorder" localSheetId="0">#REF!</definedName>
    <definedName name="_xlnm.Recorder" localSheetId="1">#REF!</definedName>
    <definedName name="_xlnm.Recorder" localSheetId="2">#REF!</definedName>
    <definedName name="_xlnm.Recorder" localSheetId="4">#REF!</definedName>
    <definedName name="_xlnm.Recorder">#REF!</definedName>
    <definedName name="SAPBEXdnldView" hidden="1">"4CHK7AB41W94YTS7WROYUQTXK"</definedName>
    <definedName name="SAPBEXsysID" hidden="1">"BWP"</definedName>
    <definedName name="TEST0" localSheetId="0">#REF!</definedName>
    <definedName name="TEST0" localSheetId="1">#REF!</definedName>
    <definedName name="TEST0" localSheetId="2">#REF!</definedName>
    <definedName name="TEST0" localSheetId="4">#REF!</definedName>
    <definedName name="TEST0">#REF!</definedName>
    <definedName name="TEST1" localSheetId="0">#REF!</definedName>
    <definedName name="TEST1" localSheetId="1">#REF!</definedName>
    <definedName name="TEST1" localSheetId="2">#REF!</definedName>
    <definedName name="TEST1" localSheetId="4">#REF!</definedName>
    <definedName name="TEST1">#REF!</definedName>
    <definedName name="TESTHKEY" localSheetId="0">#REF!</definedName>
    <definedName name="TESTHKEY" localSheetId="1">#REF!</definedName>
    <definedName name="TESTHKEY" localSheetId="2">#REF!</definedName>
    <definedName name="TESTHKEY" localSheetId="4">#REF!</definedName>
    <definedName name="TESTHKEY">#REF!</definedName>
    <definedName name="TESTKEYS" localSheetId="0">#REF!</definedName>
    <definedName name="TESTKEYS" localSheetId="1">#REF!</definedName>
    <definedName name="TESTKEYS" localSheetId="2">#REF!</definedName>
    <definedName name="TESTKEYS" localSheetId="4">#REF!</definedName>
    <definedName name="TESTKEYS">#REF!</definedName>
    <definedName name="TESTVKEY" localSheetId="0">#REF!</definedName>
    <definedName name="TESTVKEY" localSheetId="1">#REF!</definedName>
    <definedName name="TESTVKEY" localSheetId="2">#REF!</definedName>
    <definedName name="TESTVKEY" localSheetId="4">#REF!</definedName>
    <definedName name="TESTVKEY">#REF!</definedName>
  </definedNames>
  <calcPr calcId="12451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6" i="143"/>
  <c r="D246" s="1"/>
  <c r="E246" s="1"/>
  <c r="G246"/>
  <c r="H246"/>
  <c r="K246"/>
  <c r="R246"/>
  <c r="S246"/>
  <c r="T246" s="1"/>
  <c r="U246"/>
  <c r="W246"/>
  <c r="Y246" s="1"/>
  <c r="C245"/>
  <c r="D245"/>
  <c r="E245"/>
  <c r="G245"/>
  <c r="H245"/>
  <c r="K245"/>
  <c r="U245" s="1"/>
  <c r="R245"/>
  <c r="S245"/>
  <c r="W245"/>
  <c r="Y245"/>
  <c r="C244"/>
  <c r="D244" s="1"/>
  <c r="E244" s="1"/>
  <c r="G244"/>
  <c r="H244"/>
  <c r="K244"/>
  <c r="R244"/>
  <c r="S244"/>
  <c r="U244"/>
  <c r="W244"/>
  <c r="Y244"/>
  <c r="C243"/>
  <c r="D243" s="1"/>
  <c r="E243" s="1"/>
  <c r="G243"/>
  <c r="H243"/>
  <c r="K243"/>
  <c r="U243" s="1"/>
  <c r="R243"/>
  <c r="S243"/>
  <c r="W243"/>
  <c r="Y243" s="1"/>
  <c r="C242"/>
  <c r="D242" s="1"/>
  <c r="E242" s="1"/>
  <c r="G242"/>
  <c r="H242"/>
  <c r="K242"/>
  <c r="U242" s="1"/>
  <c r="R242"/>
  <c r="S242"/>
  <c r="W242"/>
  <c r="Y242" s="1"/>
  <c r="C241"/>
  <c r="D241"/>
  <c r="E241" s="1"/>
  <c r="G241"/>
  <c r="H241"/>
  <c r="K241"/>
  <c r="U241" s="1"/>
  <c r="R241"/>
  <c r="S241"/>
  <c r="W241"/>
  <c r="Y241" s="1"/>
  <c r="C240"/>
  <c r="D240" s="1"/>
  <c r="E240" s="1"/>
  <c r="G240"/>
  <c r="H240"/>
  <c r="K240"/>
  <c r="U240" s="1"/>
  <c r="R240"/>
  <c r="S240"/>
  <c r="W240"/>
  <c r="Y240" s="1"/>
  <c r="C239"/>
  <c r="D239" s="1"/>
  <c r="E239" s="1"/>
  <c r="G239"/>
  <c r="H239"/>
  <c r="K239"/>
  <c r="U239" s="1"/>
  <c r="R239"/>
  <c r="S239"/>
  <c r="W239"/>
  <c r="Y239" s="1"/>
  <c r="C238"/>
  <c r="D238"/>
  <c r="E238" s="1"/>
  <c r="G238"/>
  <c r="H238"/>
  <c r="K238"/>
  <c r="U238" s="1"/>
  <c r="R238"/>
  <c r="S238"/>
  <c r="T238"/>
  <c r="W238"/>
  <c r="Y238" s="1"/>
  <c r="C237"/>
  <c r="D237" s="1"/>
  <c r="E237" s="1"/>
  <c r="G237"/>
  <c r="H237"/>
  <c r="K237"/>
  <c r="U237" s="1"/>
  <c r="R237"/>
  <c r="S237"/>
  <c r="W237"/>
  <c r="Y237" s="1"/>
  <c r="C236"/>
  <c r="D236" s="1"/>
  <c r="E236" s="1"/>
  <c r="G236"/>
  <c r="H236"/>
  <c r="K236"/>
  <c r="U236" s="1"/>
  <c r="R236"/>
  <c r="S236"/>
  <c r="W236"/>
  <c r="Y236" s="1"/>
  <c r="C235"/>
  <c r="D235" s="1"/>
  <c r="E235" s="1"/>
  <c r="G235"/>
  <c r="H235"/>
  <c r="K235"/>
  <c r="U235" s="1"/>
  <c r="R235"/>
  <c r="S235"/>
  <c r="W235"/>
  <c r="Y235" s="1"/>
  <c r="C234"/>
  <c r="D234"/>
  <c r="E234"/>
  <c r="G234"/>
  <c r="H234"/>
  <c r="K234"/>
  <c r="U234" s="1"/>
  <c r="R234"/>
  <c r="S234"/>
  <c r="W234"/>
  <c r="Y234"/>
  <c r="C555" i="137"/>
  <c r="D555" s="1"/>
  <c r="E555" s="1"/>
  <c r="G555"/>
  <c r="H555"/>
  <c r="K555"/>
  <c r="U555" s="1"/>
  <c r="R555"/>
  <c r="S555"/>
  <c r="W555"/>
  <c r="X555" s="1"/>
  <c r="Y555" s="1"/>
  <c r="C554"/>
  <c r="D554" s="1"/>
  <c r="E554" s="1"/>
  <c r="G554"/>
  <c r="H554"/>
  <c r="K554"/>
  <c r="U554" s="1"/>
  <c r="R554"/>
  <c r="S554"/>
  <c r="W554"/>
  <c r="X554" s="1"/>
  <c r="Y554" s="1"/>
  <c r="C553"/>
  <c r="D553"/>
  <c r="E553" s="1"/>
  <c r="G553"/>
  <c r="H553"/>
  <c r="K553"/>
  <c r="U553" s="1"/>
  <c r="R553"/>
  <c r="S553"/>
  <c r="W553"/>
  <c r="X553" s="1"/>
  <c r="Y553" s="1"/>
  <c r="C552"/>
  <c r="D552"/>
  <c r="E552" s="1"/>
  <c r="G552"/>
  <c r="H552"/>
  <c r="K552"/>
  <c r="U552" s="1"/>
  <c r="R552"/>
  <c r="S552"/>
  <c r="W552"/>
  <c r="X552" s="1"/>
  <c r="Y552" s="1"/>
  <c r="C551"/>
  <c r="D551"/>
  <c r="E551" s="1"/>
  <c r="G551"/>
  <c r="H551"/>
  <c r="K551"/>
  <c r="U551" s="1"/>
  <c r="R551"/>
  <c r="S551"/>
  <c r="W551"/>
  <c r="X551" s="1"/>
  <c r="Y551" s="1"/>
  <c r="C550"/>
  <c r="D550"/>
  <c r="E550" s="1"/>
  <c r="G550"/>
  <c r="H550"/>
  <c r="K550"/>
  <c r="U550" s="1"/>
  <c r="R550"/>
  <c r="S550"/>
  <c r="W550"/>
  <c r="X550" s="1"/>
  <c r="Y550" s="1"/>
  <c r="C549"/>
  <c r="D549" s="1"/>
  <c r="E549" s="1"/>
  <c r="G549"/>
  <c r="H549"/>
  <c r="K549"/>
  <c r="U549" s="1"/>
  <c r="R549"/>
  <c r="S549"/>
  <c r="W549"/>
  <c r="X549" s="1"/>
  <c r="Y549" s="1"/>
  <c r="C548"/>
  <c r="D548"/>
  <c r="E548" s="1"/>
  <c r="G548"/>
  <c r="H548"/>
  <c r="K548"/>
  <c r="U548" s="1"/>
  <c r="R548"/>
  <c r="S548"/>
  <c r="W548"/>
  <c r="X548"/>
  <c r="Y548" s="1"/>
  <c r="C547"/>
  <c r="D547" s="1"/>
  <c r="E547" s="1"/>
  <c r="G547"/>
  <c r="H547"/>
  <c r="K547"/>
  <c r="U547" s="1"/>
  <c r="R547"/>
  <c r="S547"/>
  <c r="W547"/>
  <c r="X547" s="1"/>
  <c r="Y547" s="1"/>
  <c r="C546"/>
  <c r="D546"/>
  <c r="E546" s="1"/>
  <c r="G546"/>
  <c r="H546"/>
  <c r="K546"/>
  <c r="R546"/>
  <c r="S546"/>
  <c r="T546" s="1"/>
  <c r="U546"/>
  <c r="W546"/>
  <c r="X546"/>
  <c r="Y546" s="1"/>
  <c r="C545"/>
  <c r="D545"/>
  <c r="E545" s="1"/>
  <c r="G545"/>
  <c r="H545"/>
  <c r="K545"/>
  <c r="U545" s="1"/>
  <c r="R545"/>
  <c r="S545"/>
  <c r="W545"/>
  <c r="X545" s="1"/>
  <c r="Y545" s="1"/>
  <c r="C544"/>
  <c r="D544"/>
  <c r="E544" s="1"/>
  <c r="G544"/>
  <c r="H544"/>
  <c r="K544"/>
  <c r="U544" s="1"/>
  <c r="R544"/>
  <c r="S544"/>
  <c r="W544"/>
  <c r="X544" s="1"/>
  <c r="Y544" s="1"/>
  <c r="C543"/>
  <c r="D543" s="1"/>
  <c r="E543" s="1"/>
  <c r="G543"/>
  <c r="H543"/>
  <c r="K543"/>
  <c r="R543"/>
  <c r="S543"/>
  <c r="U543"/>
  <c r="W543"/>
  <c r="X543"/>
  <c r="Y543" s="1"/>
  <c r="C542"/>
  <c r="D542" s="1"/>
  <c r="E542" s="1"/>
  <c r="G542"/>
  <c r="H542"/>
  <c r="K542"/>
  <c r="U542" s="1"/>
  <c r="R542"/>
  <c r="S542"/>
  <c r="W542"/>
  <c r="X542" s="1"/>
  <c r="Y542" s="1"/>
  <c r="C541"/>
  <c r="D541"/>
  <c r="E541" s="1"/>
  <c r="G541"/>
  <c r="H541"/>
  <c r="K541"/>
  <c r="U541" s="1"/>
  <c r="R541"/>
  <c r="S541"/>
  <c r="W541"/>
  <c r="X541" s="1"/>
  <c r="Y541" s="1"/>
  <c r="C540"/>
  <c r="D540"/>
  <c r="E540" s="1"/>
  <c r="G540"/>
  <c r="H540"/>
  <c r="K540"/>
  <c r="U540" s="1"/>
  <c r="R540"/>
  <c r="S540"/>
  <c r="W540"/>
  <c r="X540" s="1"/>
  <c r="Y540" s="1"/>
  <c r="C539"/>
  <c r="D539" s="1"/>
  <c r="E539" s="1"/>
  <c r="G539"/>
  <c r="H539"/>
  <c r="K539"/>
  <c r="U539" s="1"/>
  <c r="R539"/>
  <c r="S539"/>
  <c r="W539"/>
  <c r="X539" s="1"/>
  <c r="Y539" s="1"/>
  <c r="C538"/>
  <c r="D538" s="1"/>
  <c r="E538" s="1"/>
  <c r="G538"/>
  <c r="H538"/>
  <c r="K538"/>
  <c r="U538" s="1"/>
  <c r="R538"/>
  <c r="S538"/>
  <c r="T538"/>
  <c r="W538"/>
  <c r="X538" s="1"/>
  <c r="Y538" s="1"/>
  <c r="D537"/>
  <c r="E537" s="1"/>
  <c r="G537"/>
  <c r="H537"/>
  <c r="K537"/>
  <c r="R537"/>
  <c r="S537"/>
  <c r="T537" s="1"/>
  <c r="U537"/>
  <c r="W537"/>
  <c r="X537"/>
  <c r="Y537" s="1"/>
  <c r="C536"/>
  <c r="D536" s="1"/>
  <c r="E536" s="1"/>
  <c r="G536"/>
  <c r="H536"/>
  <c r="K536"/>
  <c r="R536"/>
  <c r="S536"/>
  <c r="U536"/>
  <c r="W536"/>
  <c r="X536"/>
  <c r="Y536" s="1"/>
  <c r="C535"/>
  <c r="D535" s="1"/>
  <c r="E535" s="1"/>
  <c r="G535"/>
  <c r="S535" s="1"/>
  <c r="H535"/>
  <c r="K535"/>
  <c r="U535" s="1"/>
  <c r="R535"/>
  <c r="W535"/>
  <c r="X535" s="1"/>
  <c r="Y535" s="1"/>
  <c r="C534"/>
  <c r="D534"/>
  <c r="E534" s="1"/>
  <c r="G534"/>
  <c r="H534"/>
  <c r="K534"/>
  <c r="U534" s="1"/>
  <c r="R534"/>
  <c r="S534"/>
  <c r="W534"/>
  <c r="X534" s="1"/>
  <c r="Y534" s="1"/>
  <c r="C533"/>
  <c r="D533"/>
  <c r="E533" s="1"/>
  <c r="G533"/>
  <c r="H533"/>
  <c r="K533"/>
  <c r="U533" s="1"/>
  <c r="R533"/>
  <c r="S533"/>
  <c r="W533"/>
  <c r="X533" s="1"/>
  <c r="Y533" s="1"/>
  <c r="E532"/>
  <c r="G532"/>
  <c r="H532"/>
  <c r="K532"/>
  <c r="U532" s="1"/>
  <c r="R532"/>
  <c r="S532"/>
  <c r="W532"/>
  <c r="X532" s="1"/>
  <c r="Y532" s="1"/>
  <c r="C531"/>
  <c r="D531"/>
  <c r="E531" s="1"/>
  <c r="G531"/>
  <c r="H531"/>
  <c r="K531"/>
  <c r="U531" s="1"/>
  <c r="R531"/>
  <c r="S531"/>
  <c r="W531"/>
  <c r="X531" s="1"/>
  <c r="Y531" s="1"/>
  <c r="C530"/>
  <c r="D530"/>
  <c r="E530" s="1"/>
  <c r="G530"/>
  <c r="H530"/>
  <c r="K530"/>
  <c r="U530" s="1"/>
  <c r="R530"/>
  <c r="S530"/>
  <c r="W530"/>
  <c r="X530"/>
  <c r="Y530" s="1"/>
  <c r="C529"/>
  <c r="D529" s="1"/>
  <c r="E529" s="1"/>
  <c r="G529"/>
  <c r="H529"/>
  <c r="K529"/>
  <c r="R529"/>
  <c r="S529"/>
  <c r="U529"/>
  <c r="W529"/>
  <c r="X529" s="1"/>
  <c r="Y529" s="1"/>
  <c r="C528"/>
  <c r="D528" s="1"/>
  <c r="E528" s="1"/>
  <c r="G528"/>
  <c r="H528"/>
  <c r="K528"/>
  <c r="U528" s="1"/>
  <c r="R528"/>
  <c r="S528"/>
  <c r="W528"/>
  <c r="X528" s="1"/>
  <c r="Y528" s="1"/>
  <c r="C527"/>
  <c r="D527"/>
  <c r="E527" s="1"/>
  <c r="G527"/>
  <c r="H527"/>
  <c r="K527"/>
  <c r="U527" s="1"/>
  <c r="R527"/>
  <c r="S527"/>
  <c r="W527"/>
  <c r="X527"/>
  <c r="Y527" s="1"/>
  <c r="C526"/>
  <c r="D526"/>
  <c r="E526" s="1"/>
  <c r="G526"/>
  <c r="H526"/>
  <c r="K526"/>
  <c r="U526" s="1"/>
  <c r="R526"/>
  <c r="S526"/>
  <c r="W526"/>
  <c r="X526" s="1"/>
  <c r="Y526" s="1"/>
  <c r="C525"/>
  <c r="D525"/>
  <c r="E525" s="1"/>
  <c r="G525"/>
  <c r="H525"/>
  <c r="K525"/>
  <c r="U525" s="1"/>
  <c r="R525"/>
  <c r="S525"/>
  <c r="W525"/>
  <c r="X525" s="1"/>
  <c r="Y525" s="1"/>
  <c r="C524"/>
  <c r="D524"/>
  <c r="E524" s="1"/>
  <c r="G524"/>
  <c r="H524"/>
  <c r="K524"/>
  <c r="U524" s="1"/>
  <c r="R524"/>
  <c r="S524"/>
  <c r="T524" s="1"/>
  <c r="W524"/>
  <c r="X524" s="1"/>
  <c r="Y524" s="1"/>
  <c r="C523"/>
  <c r="D523" s="1"/>
  <c r="E523" s="1"/>
  <c r="G523"/>
  <c r="H523"/>
  <c r="K523"/>
  <c r="R523"/>
  <c r="S523"/>
  <c r="U523"/>
  <c r="W523"/>
  <c r="X523"/>
  <c r="Y523" s="1"/>
  <c r="C522"/>
  <c r="D522" s="1"/>
  <c r="E522" s="1"/>
  <c r="G522"/>
  <c r="H522"/>
  <c r="K522"/>
  <c r="R522"/>
  <c r="S522"/>
  <c r="U522"/>
  <c r="W522"/>
  <c r="X522" s="1"/>
  <c r="Y522" s="1"/>
  <c r="C521"/>
  <c r="D521" s="1"/>
  <c r="E521" s="1"/>
  <c r="G521"/>
  <c r="H521"/>
  <c r="K521"/>
  <c r="U521" s="1"/>
  <c r="R521"/>
  <c r="S521"/>
  <c r="W521"/>
  <c r="X521" s="1"/>
  <c r="Y521" s="1"/>
  <c r="C520"/>
  <c r="D520"/>
  <c r="E520" s="1"/>
  <c r="G520"/>
  <c r="H520"/>
  <c r="K520"/>
  <c r="U520" s="1"/>
  <c r="R520"/>
  <c r="S520"/>
  <c r="W520"/>
  <c r="X520" s="1"/>
  <c r="Y520" s="1"/>
  <c r="C519"/>
  <c r="D519"/>
  <c r="E519" s="1"/>
  <c r="G519"/>
  <c r="H519"/>
  <c r="K519"/>
  <c r="U519" s="1"/>
  <c r="R519"/>
  <c r="S519"/>
  <c r="W519"/>
  <c r="X519" s="1"/>
  <c r="Y519" s="1"/>
  <c r="C518"/>
  <c r="D518"/>
  <c r="E518" s="1"/>
  <c r="G518"/>
  <c r="H518"/>
  <c r="K518"/>
  <c r="U518" s="1"/>
  <c r="R518"/>
  <c r="S518"/>
  <c r="W518"/>
  <c r="X518" s="1"/>
  <c r="Y518" s="1"/>
  <c r="C517"/>
  <c r="D517" s="1"/>
  <c r="E517" s="1"/>
  <c r="G517"/>
  <c r="H517"/>
  <c r="K517"/>
  <c r="R517"/>
  <c r="T517" s="1"/>
  <c r="S517"/>
  <c r="U517"/>
  <c r="W517"/>
  <c r="X517" s="1"/>
  <c r="Y517" s="1"/>
  <c r="C516"/>
  <c r="D516" s="1"/>
  <c r="E516" s="1"/>
  <c r="G516"/>
  <c r="H516"/>
  <c r="K516"/>
  <c r="R516"/>
  <c r="S516"/>
  <c r="U516"/>
  <c r="W516"/>
  <c r="X516" s="1"/>
  <c r="Y516" s="1"/>
  <c r="C515"/>
  <c r="D515" s="1"/>
  <c r="E515" s="1"/>
  <c r="G515"/>
  <c r="H515"/>
  <c r="K515"/>
  <c r="R515"/>
  <c r="S515"/>
  <c r="T515"/>
  <c r="U515"/>
  <c r="W515"/>
  <c r="X515" s="1"/>
  <c r="Y515" s="1"/>
  <c r="C514"/>
  <c r="D514" s="1"/>
  <c r="E514" s="1"/>
  <c r="G514"/>
  <c r="H514"/>
  <c r="K514"/>
  <c r="R514"/>
  <c r="S514"/>
  <c r="U514"/>
  <c r="W514"/>
  <c r="X514"/>
  <c r="Y514" s="1"/>
  <c r="C513"/>
  <c r="D513" s="1"/>
  <c r="E513" s="1"/>
  <c r="G513"/>
  <c r="H513"/>
  <c r="K513"/>
  <c r="U513" s="1"/>
  <c r="R513"/>
  <c r="S513"/>
  <c r="W513"/>
  <c r="X513" s="1"/>
  <c r="Y513" s="1"/>
  <c r="C512"/>
  <c r="D512"/>
  <c r="E512" s="1"/>
  <c r="G512"/>
  <c r="H512"/>
  <c r="K512"/>
  <c r="U512" s="1"/>
  <c r="R512"/>
  <c r="S512"/>
  <c r="W512"/>
  <c r="X512" s="1"/>
  <c r="Y512" s="1"/>
  <c r="C511"/>
  <c r="D511"/>
  <c r="E511" s="1"/>
  <c r="G511"/>
  <c r="H511"/>
  <c r="K511"/>
  <c r="U511" s="1"/>
  <c r="R511"/>
  <c r="S511"/>
  <c r="W511"/>
  <c r="X511" s="1"/>
  <c r="Y511" s="1"/>
  <c r="C510"/>
  <c r="D510"/>
  <c r="E510" s="1"/>
  <c r="G510"/>
  <c r="H510"/>
  <c r="K510"/>
  <c r="U510" s="1"/>
  <c r="R510"/>
  <c r="S510"/>
  <c r="W510"/>
  <c r="X510" s="1"/>
  <c r="Y510" s="1"/>
  <c r="C509"/>
  <c r="D509"/>
  <c r="E509" s="1"/>
  <c r="G509"/>
  <c r="H509"/>
  <c r="K509"/>
  <c r="U509" s="1"/>
  <c r="R509"/>
  <c r="S509"/>
  <c r="W509"/>
  <c r="X509" s="1"/>
  <c r="Y509" s="1"/>
  <c r="C508"/>
  <c r="D508"/>
  <c r="E508" s="1"/>
  <c r="G508"/>
  <c r="H508"/>
  <c r="K508"/>
  <c r="U508" s="1"/>
  <c r="R508"/>
  <c r="S508"/>
  <c r="W508"/>
  <c r="X508" s="1"/>
  <c r="Y508" s="1"/>
  <c r="C507"/>
  <c r="D507"/>
  <c r="E507" s="1"/>
  <c r="G507"/>
  <c r="H507"/>
  <c r="K507"/>
  <c r="U507" s="1"/>
  <c r="R507"/>
  <c r="S507"/>
  <c r="W507"/>
  <c r="X507" s="1"/>
  <c r="Y507" s="1"/>
  <c r="C506"/>
  <c r="D506"/>
  <c r="E506" s="1"/>
  <c r="G506"/>
  <c r="H506"/>
  <c r="K506"/>
  <c r="U506" s="1"/>
  <c r="R506"/>
  <c r="S506"/>
  <c r="W506"/>
  <c r="X506" s="1"/>
  <c r="Y506" s="1"/>
  <c r="C505"/>
  <c r="D505" s="1"/>
  <c r="E505" s="1"/>
  <c r="G505"/>
  <c r="H505"/>
  <c r="K505"/>
  <c r="R505"/>
  <c r="S505"/>
  <c r="U505"/>
  <c r="W505"/>
  <c r="X505"/>
  <c r="Y505" s="1"/>
  <c r="C504"/>
  <c r="D504" s="1"/>
  <c r="E504" s="1"/>
  <c r="G504"/>
  <c r="S504" s="1"/>
  <c r="H504"/>
  <c r="K504"/>
  <c r="U504" s="1"/>
  <c r="R504"/>
  <c r="W504"/>
  <c r="X504"/>
  <c r="Y504" s="1"/>
  <c r="C503"/>
  <c r="D503" s="1"/>
  <c r="E503" s="1"/>
  <c r="G503"/>
  <c r="H503"/>
  <c r="K503"/>
  <c r="R503"/>
  <c r="S503"/>
  <c r="U503"/>
  <c r="W503"/>
  <c r="X503"/>
  <c r="Y503" s="1"/>
  <c r="C502"/>
  <c r="D502" s="1"/>
  <c r="E502" s="1"/>
  <c r="G502"/>
  <c r="H502"/>
  <c r="K502"/>
  <c r="R502"/>
  <c r="S502"/>
  <c r="U502"/>
  <c r="W502"/>
  <c r="X502"/>
  <c r="Y502" s="1"/>
  <c r="C501"/>
  <c r="D501" s="1"/>
  <c r="E501" s="1"/>
  <c r="G501"/>
  <c r="H501"/>
  <c r="K501"/>
  <c r="R501"/>
  <c r="S501"/>
  <c r="U501"/>
  <c r="W501"/>
  <c r="X501"/>
  <c r="Y501" s="1"/>
  <c r="C500"/>
  <c r="D500" s="1"/>
  <c r="E500" s="1"/>
  <c r="G500"/>
  <c r="H500"/>
  <c r="K500"/>
  <c r="U500" s="1"/>
  <c r="R500"/>
  <c r="S500"/>
  <c r="W500"/>
  <c r="X500" s="1"/>
  <c r="Y500" s="1"/>
  <c r="C499"/>
  <c r="D499"/>
  <c r="E499" s="1"/>
  <c r="G499"/>
  <c r="H499"/>
  <c r="K499"/>
  <c r="U499" s="1"/>
  <c r="R499"/>
  <c r="S499"/>
  <c r="W499"/>
  <c r="X499" s="1"/>
  <c r="Y499" s="1"/>
  <c r="C498"/>
  <c r="D498"/>
  <c r="E498" s="1"/>
  <c r="G498"/>
  <c r="H498"/>
  <c r="K498"/>
  <c r="U498" s="1"/>
  <c r="R498"/>
  <c r="S498"/>
  <c r="W498"/>
  <c r="X498" s="1"/>
  <c r="Y498" s="1"/>
  <c r="C497"/>
  <c r="D497"/>
  <c r="E497" s="1"/>
  <c r="G497"/>
  <c r="H497"/>
  <c r="K497"/>
  <c r="U497" s="1"/>
  <c r="R497"/>
  <c r="S497"/>
  <c r="W497"/>
  <c r="X497" s="1"/>
  <c r="Y497" s="1"/>
  <c r="C496"/>
  <c r="D496"/>
  <c r="E496" s="1"/>
  <c r="G496"/>
  <c r="H496"/>
  <c r="K496"/>
  <c r="U496" s="1"/>
  <c r="R496"/>
  <c r="S496"/>
  <c r="W496"/>
  <c r="X496" s="1"/>
  <c r="Y496" s="1"/>
  <c r="C495"/>
  <c r="D495"/>
  <c r="E495" s="1"/>
  <c r="G495"/>
  <c r="S495" s="1"/>
  <c r="H495"/>
  <c r="K495"/>
  <c r="U495" s="1"/>
  <c r="R495"/>
  <c r="W495"/>
  <c r="X495"/>
  <c r="Y495" s="1"/>
  <c r="C494"/>
  <c r="D494" s="1"/>
  <c r="E494" s="1"/>
  <c r="G494"/>
  <c r="H494"/>
  <c r="K494"/>
  <c r="U494" s="1"/>
  <c r="R494"/>
  <c r="S494"/>
  <c r="W494"/>
  <c r="X494" s="1"/>
  <c r="Y494" s="1"/>
  <c r="C493"/>
  <c r="D493"/>
  <c r="E493" s="1"/>
  <c r="G493"/>
  <c r="S493" s="1"/>
  <c r="H493"/>
  <c r="K493"/>
  <c r="U493" s="1"/>
  <c r="R493"/>
  <c r="W493"/>
  <c r="X493"/>
  <c r="Y493" s="1"/>
  <c r="C492"/>
  <c r="D492" s="1"/>
  <c r="E492" s="1"/>
  <c r="G492"/>
  <c r="H492"/>
  <c r="K492"/>
  <c r="R492"/>
  <c r="T492" s="1"/>
  <c r="S492"/>
  <c r="U492"/>
  <c r="W492"/>
  <c r="X492" s="1"/>
  <c r="Y492" s="1"/>
  <c r="C491"/>
  <c r="D491"/>
  <c r="E491" s="1"/>
  <c r="G491"/>
  <c r="H491"/>
  <c r="K491"/>
  <c r="U491" s="1"/>
  <c r="R491"/>
  <c r="S491"/>
  <c r="W491"/>
  <c r="X491" s="1"/>
  <c r="Y491" s="1"/>
  <c r="C490"/>
  <c r="D490"/>
  <c r="E490" s="1"/>
  <c r="G490"/>
  <c r="H490"/>
  <c r="K490"/>
  <c r="U490" s="1"/>
  <c r="R490"/>
  <c r="S490"/>
  <c r="W490"/>
  <c r="X490"/>
  <c r="Y490" s="1"/>
  <c r="C489"/>
  <c r="D489"/>
  <c r="E489" s="1"/>
  <c r="G489"/>
  <c r="H489"/>
  <c r="K489"/>
  <c r="U489" s="1"/>
  <c r="R489"/>
  <c r="S489"/>
  <c r="W489"/>
  <c r="X489" s="1"/>
  <c r="Y489" s="1"/>
  <c r="C488"/>
  <c r="D488"/>
  <c r="E488" s="1"/>
  <c r="G488"/>
  <c r="H488"/>
  <c r="K488"/>
  <c r="U488" s="1"/>
  <c r="R488"/>
  <c r="S488"/>
  <c r="W488"/>
  <c r="X488"/>
  <c r="Y488" s="1"/>
  <c r="C487"/>
  <c r="D487" s="1"/>
  <c r="E487" s="1"/>
  <c r="G487"/>
  <c r="H487"/>
  <c r="K487"/>
  <c r="R487"/>
  <c r="S487"/>
  <c r="U487"/>
  <c r="W487"/>
  <c r="X487"/>
  <c r="Y487" s="1"/>
  <c r="E486"/>
  <c r="G486"/>
  <c r="H486"/>
  <c r="K486"/>
  <c r="R486"/>
  <c r="S486"/>
  <c r="U486"/>
  <c r="W486"/>
  <c r="X486" s="1"/>
  <c r="Y486" s="1"/>
  <c r="C485"/>
  <c r="D485" s="1"/>
  <c r="E485" s="1"/>
  <c r="G485"/>
  <c r="H485"/>
  <c r="K485"/>
  <c r="R485"/>
  <c r="S485"/>
  <c r="U485"/>
  <c r="W485"/>
  <c r="X485"/>
  <c r="Y485" s="1"/>
  <c r="C484"/>
  <c r="D484" s="1"/>
  <c r="E484" s="1"/>
  <c r="G484"/>
  <c r="H484"/>
  <c r="K484"/>
  <c r="U484" s="1"/>
  <c r="R484"/>
  <c r="S484"/>
  <c r="T484"/>
  <c r="W484"/>
  <c r="X484" s="1"/>
  <c r="Y484" s="1"/>
  <c r="E483"/>
  <c r="G483"/>
  <c r="H483"/>
  <c r="K483"/>
  <c r="R483"/>
  <c r="S483"/>
  <c r="U483"/>
  <c r="W483"/>
  <c r="X483"/>
  <c r="Y483" s="1"/>
  <c r="C482"/>
  <c r="D482" s="1"/>
  <c r="E482" s="1"/>
  <c r="G482"/>
  <c r="H482"/>
  <c r="K482"/>
  <c r="U482" s="1"/>
  <c r="R482"/>
  <c r="S482"/>
  <c r="W482"/>
  <c r="X482" s="1"/>
  <c r="Y482" s="1"/>
  <c r="C481"/>
  <c r="D481"/>
  <c r="E481" s="1"/>
  <c r="G481"/>
  <c r="H481"/>
  <c r="K481"/>
  <c r="U481" s="1"/>
  <c r="R481"/>
  <c r="S481"/>
  <c r="W481"/>
  <c r="X481"/>
  <c r="Y481" s="1"/>
  <c r="C480"/>
  <c r="D480"/>
  <c r="E480" s="1"/>
  <c r="G480"/>
  <c r="H480"/>
  <c r="K480"/>
  <c r="U480" s="1"/>
  <c r="R480"/>
  <c r="S480"/>
  <c r="W480"/>
  <c r="X480" s="1"/>
  <c r="Y480" s="1"/>
  <c r="C479"/>
  <c r="D479" s="1"/>
  <c r="E479" s="1"/>
  <c r="G479"/>
  <c r="S479" s="1"/>
  <c r="H479"/>
  <c r="K479"/>
  <c r="U479" s="1"/>
  <c r="R479"/>
  <c r="W479"/>
  <c r="X479" s="1"/>
  <c r="Y479" s="1"/>
  <c r="C478"/>
  <c r="D478" s="1"/>
  <c r="E478" s="1"/>
  <c r="G478"/>
  <c r="H478"/>
  <c r="K478"/>
  <c r="U478" s="1"/>
  <c r="R478"/>
  <c r="S478"/>
  <c r="W478"/>
  <c r="X478" s="1"/>
  <c r="Y478" s="1"/>
  <c r="C477"/>
  <c r="D477"/>
  <c r="E477" s="1"/>
  <c r="G477"/>
  <c r="H477"/>
  <c r="K477"/>
  <c r="U477" s="1"/>
  <c r="R477"/>
  <c r="S477"/>
  <c r="W477"/>
  <c r="X477" s="1"/>
  <c r="Y477" s="1"/>
  <c r="C476"/>
  <c r="D476"/>
  <c r="E476" s="1"/>
  <c r="G476"/>
  <c r="H476"/>
  <c r="K476"/>
  <c r="U476" s="1"/>
  <c r="R476"/>
  <c r="S476"/>
  <c r="W476"/>
  <c r="X476" s="1"/>
  <c r="Y476" s="1"/>
  <c r="C475"/>
  <c r="D475" s="1"/>
  <c r="E475" s="1"/>
  <c r="G475"/>
  <c r="H475"/>
  <c r="K475"/>
  <c r="U475" s="1"/>
  <c r="R475"/>
  <c r="S475"/>
  <c r="W475"/>
  <c r="X475" s="1"/>
  <c r="Y475" s="1"/>
  <c r="C474"/>
  <c r="D474" s="1"/>
  <c r="E474" s="1"/>
  <c r="G474"/>
  <c r="S474" s="1"/>
  <c r="H474"/>
  <c r="K474"/>
  <c r="U474" s="1"/>
  <c r="R474"/>
  <c r="W474"/>
  <c r="X474" s="1"/>
  <c r="Y474" s="1"/>
  <c r="C473"/>
  <c r="D473" s="1"/>
  <c r="E473" s="1"/>
  <c r="G473"/>
  <c r="H473"/>
  <c r="K473"/>
  <c r="U473" s="1"/>
  <c r="R473"/>
  <c r="S473"/>
  <c r="W473"/>
  <c r="X473" s="1"/>
  <c r="Y473" s="1"/>
  <c r="C472"/>
  <c r="D472" s="1"/>
  <c r="E472" s="1"/>
  <c r="G472"/>
  <c r="S472" s="1"/>
  <c r="H472"/>
  <c r="K472"/>
  <c r="U472" s="1"/>
  <c r="R472"/>
  <c r="W472"/>
  <c r="X472" s="1"/>
  <c r="Y472" s="1"/>
  <c r="C471"/>
  <c r="D471" s="1"/>
  <c r="E471" s="1"/>
  <c r="G471"/>
  <c r="S471" s="1"/>
  <c r="H471"/>
  <c r="K471"/>
  <c r="U471" s="1"/>
  <c r="R471"/>
  <c r="W471"/>
  <c r="X471" s="1"/>
  <c r="Y471" s="1"/>
  <c r="C470"/>
  <c r="D470" s="1"/>
  <c r="E470" s="1"/>
  <c r="G470"/>
  <c r="H470"/>
  <c r="K470"/>
  <c r="U470" s="1"/>
  <c r="R470"/>
  <c r="S470"/>
  <c r="W470"/>
  <c r="X470" s="1"/>
  <c r="Y470" s="1"/>
  <c r="C198" i="143"/>
  <c r="D198" s="1"/>
  <c r="E198" s="1"/>
  <c r="C199"/>
  <c r="D199"/>
  <c r="E199" s="1"/>
  <c r="E200"/>
  <c r="C201"/>
  <c r="D201" s="1"/>
  <c r="E201" s="1"/>
  <c r="C202"/>
  <c r="D202"/>
  <c r="E202" s="1"/>
  <c r="C203"/>
  <c r="D203" s="1"/>
  <c r="E203" s="1"/>
  <c r="C204"/>
  <c r="D204" s="1"/>
  <c r="E204" s="1"/>
  <c r="E205"/>
  <c r="C469" i="137"/>
  <c r="D469" s="1"/>
  <c r="E469" s="1"/>
  <c r="G469"/>
  <c r="S469" s="1"/>
  <c r="H469"/>
  <c r="K469"/>
  <c r="U469" s="1"/>
  <c r="R469"/>
  <c r="W469"/>
  <c r="X469" s="1"/>
  <c r="Y469" s="1"/>
  <c r="C468"/>
  <c r="D468" s="1"/>
  <c r="E468" s="1"/>
  <c r="G468"/>
  <c r="H468"/>
  <c r="K468"/>
  <c r="U468" s="1"/>
  <c r="R468"/>
  <c r="S468"/>
  <c r="W468"/>
  <c r="X468" s="1"/>
  <c r="Y468" s="1"/>
  <c r="C467"/>
  <c r="D467" s="1"/>
  <c r="E467" s="1"/>
  <c r="G467"/>
  <c r="H467"/>
  <c r="K467"/>
  <c r="U467" s="1"/>
  <c r="R467"/>
  <c r="S467"/>
  <c r="W467"/>
  <c r="X467" s="1"/>
  <c r="Y467" s="1"/>
  <c r="C466"/>
  <c r="D466" s="1"/>
  <c r="E466" s="1"/>
  <c r="G466"/>
  <c r="H466"/>
  <c r="K466"/>
  <c r="U466" s="1"/>
  <c r="R466"/>
  <c r="S466"/>
  <c r="W466"/>
  <c r="X466" s="1"/>
  <c r="Y466" s="1"/>
  <c r="C465"/>
  <c r="D465" s="1"/>
  <c r="E465" s="1"/>
  <c r="G465"/>
  <c r="H465"/>
  <c r="K465"/>
  <c r="U465" s="1"/>
  <c r="R465"/>
  <c r="S465"/>
  <c r="W465"/>
  <c r="X465" s="1"/>
  <c r="Y465" s="1"/>
  <c r="C464"/>
  <c r="D464" s="1"/>
  <c r="E464" s="1"/>
  <c r="G464"/>
  <c r="H464"/>
  <c r="K464"/>
  <c r="U464" s="1"/>
  <c r="R464"/>
  <c r="S464"/>
  <c r="W464"/>
  <c r="X464" s="1"/>
  <c r="Y464" s="1"/>
  <c r="C463"/>
  <c r="D463" s="1"/>
  <c r="E463" s="1"/>
  <c r="G463"/>
  <c r="H463"/>
  <c r="K463"/>
  <c r="U463" s="1"/>
  <c r="R463"/>
  <c r="S463"/>
  <c r="W463"/>
  <c r="X463" s="1"/>
  <c r="Y463" s="1"/>
  <c r="C462"/>
  <c r="D462" s="1"/>
  <c r="E462" s="1"/>
  <c r="G462"/>
  <c r="H462"/>
  <c r="K462"/>
  <c r="U462" s="1"/>
  <c r="R462"/>
  <c r="S462"/>
  <c r="W462"/>
  <c r="X462" s="1"/>
  <c r="Y462" s="1"/>
  <c r="C461"/>
  <c r="D461" s="1"/>
  <c r="E461" s="1"/>
  <c r="G461"/>
  <c r="H461"/>
  <c r="K461"/>
  <c r="R461"/>
  <c r="S461"/>
  <c r="U461"/>
  <c r="W461"/>
  <c r="X461" s="1"/>
  <c r="Y461" s="1"/>
  <c r="C460"/>
  <c r="D460" s="1"/>
  <c r="E460" s="1"/>
  <c r="G460"/>
  <c r="H460"/>
  <c r="K460"/>
  <c r="U460" s="1"/>
  <c r="R460"/>
  <c r="S460"/>
  <c r="W460"/>
  <c r="X460" s="1"/>
  <c r="Y460" s="1"/>
  <c r="C459"/>
  <c r="D459" s="1"/>
  <c r="E459" s="1"/>
  <c r="G459"/>
  <c r="S459" s="1"/>
  <c r="H459"/>
  <c r="K459"/>
  <c r="R459"/>
  <c r="U459"/>
  <c r="W459"/>
  <c r="X459" s="1"/>
  <c r="Y459" s="1"/>
  <c r="C458"/>
  <c r="D458" s="1"/>
  <c r="E458" s="1"/>
  <c r="G458"/>
  <c r="S458" s="1"/>
  <c r="H458"/>
  <c r="K458"/>
  <c r="U458" s="1"/>
  <c r="R458"/>
  <c r="W458"/>
  <c r="X458" s="1"/>
  <c r="Y458" s="1"/>
  <c r="C457"/>
  <c r="D457" s="1"/>
  <c r="E457" s="1"/>
  <c r="G457"/>
  <c r="S457" s="1"/>
  <c r="H457"/>
  <c r="K457"/>
  <c r="U457" s="1"/>
  <c r="R457"/>
  <c r="W457"/>
  <c r="X457" s="1"/>
  <c r="Y457" s="1"/>
  <c r="C447"/>
  <c r="D447" s="1"/>
  <c r="E447" s="1"/>
  <c r="C436"/>
  <c r="D436" s="1"/>
  <c r="E436" s="1"/>
  <c r="C456"/>
  <c r="D456" s="1"/>
  <c r="E456" s="1"/>
  <c r="G456"/>
  <c r="H456"/>
  <c r="K456"/>
  <c r="U456" s="1"/>
  <c r="R456"/>
  <c r="S456"/>
  <c r="W456"/>
  <c r="X456" s="1"/>
  <c r="Y456" s="1"/>
  <c r="C455"/>
  <c r="D455" s="1"/>
  <c r="E455" s="1"/>
  <c r="G455"/>
  <c r="H455"/>
  <c r="K455"/>
  <c r="U455" s="1"/>
  <c r="R455"/>
  <c r="S455"/>
  <c r="W455"/>
  <c r="X455" s="1"/>
  <c r="Y455" s="1"/>
  <c r="C454"/>
  <c r="D454" s="1"/>
  <c r="E454" s="1"/>
  <c r="G454"/>
  <c r="H454"/>
  <c r="K454"/>
  <c r="U454" s="1"/>
  <c r="R454"/>
  <c r="S454"/>
  <c r="W454"/>
  <c r="X454" s="1"/>
  <c r="Y454" s="1"/>
  <c r="C453"/>
  <c r="D453" s="1"/>
  <c r="E453" s="1"/>
  <c r="G453"/>
  <c r="S453" s="1"/>
  <c r="H453"/>
  <c r="K453"/>
  <c r="U453" s="1"/>
  <c r="R453"/>
  <c r="W453"/>
  <c r="X453" s="1"/>
  <c r="Y453" s="1"/>
  <c r="C452"/>
  <c r="D452" s="1"/>
  <c r="E452" s="1"/>
  <c r="G452"/>
  <c r="S452" s="1"/>
  <c r="H452"/>
  <c r="K452"/>
  <c r="U452" s="1"/>
  <c r="R452"/>
  <c r="W452"/>
  <c r="X452" s="1"/>
  <c r="Y452" s="1"/>
  <c r="C451"/>
  <c r="D451" s="1"/>
  <c r="E451" s="1"/>
  <c r="G451"/>
  <c r="H451"/>
  <c r="K451"/>
  <c r="U451" s="1"/>
  <c r="R451"/>
  <c r="S451"/>
  <c r="W451"/>
  <c r="X451" s="1"/>
  <c r="Y451" s="1"/>
  <c r="C450"/>
  <c r="D450" s="1"/>
  <c r="E450" s="1"/>
  <c r="G450"/>
  <c r="S450" s="1"/>
  <c r="H450"/>
  <c r="K450"/>
  <c r="U450" s="1"/>
  <c r="R450"/>
  <c r="W450"/>
  <c r="X450" s="1"/>
  <c r="Y450" s="1"/>
  <c r="C449"/>
  <c r="D449" s="1"/>
  <c r="E449" s="1"/>
  <c r="G449"/>
  <c r="S449" s="1"/>
  <c r="H449"/>
  <c r="K449"/>
  <c r="U449" s="1"/>
  <c r="R449"/>
  <c r="W449"/>
  <c r="X449" s="1"/>
  <c r="Y449" s="1"/>
  <c r="E448"/>
  <c r="G448"/>
  <c r="H448"/>
  <c r="K448"/>
  <c r="U448" s="1"/>
  <c r="R448"/>
  <c r="S448"/>
  <c r="W448"/>
  <c r="X448" s="1"/>
  <c r="Y448" s="1"/>
  <c r="G447"/>
  <c r="H447"/>
  <c r="K447"/>
  <c r="U447" s="1"/>
  <c r="R447"/>
  <c r="S447"/>
  <c r="W447"/>
  <c r="X447" s="1"/>
  <c r="Y447" s="1"/>
  <c r="C446"/>
  <c r="D446" s="1"/>
  <c r="E446" s="1"/>
  <c r="G446"/>
  <c r="S446" s="1"/>
  <c r="H446"/>
  <c r="K446"/>
  <c r="U446" s="1"/>
  <c r="R446"/>
  <c r="W446"/>
  <c r="X446" s="1"/>
  <c r="Y446" s="1"/>
  <c r="C445"/>
  <c r="D445" s="1"/>
  <c r="E445" s="1"/>
  <c r="G445"/>
  <c r="S445" s="1"/>
  <c r="H445"/>
  <c r="K445"/>
  <c r="U445" s="1"/>
  <c r="R445"/>
  <c r="W445"/>
  <c r="X445" s="1"/>
  <c r="Y445" s="1"/>
  <c r="C440"/>
  <c r="D440" s="1"/>
  <c r="E440" s="1"/>
  <c r="C441"/>
  <c r="D441" s="1"/>
  <c r="E441" s="1"/>
  <c r="C442"/>
  <c r="C443"/>
  <c r="C444"/>
  <c r="D444" s="1"/>
  <c r="E444" s="1"/>
  <c r="D442"/>
  <c r="D443"/>
  <c r="E443" s="1"/>
  <c r="E442"/>
  <c r="G440"/>
  <c r="G441"/>
  <c r="G442"/>
  <c r="G443"/>
  <c r="S443" s="1"/>
  <c r="G444"/>
  <c r="S444" s="1"/>
  <c r="H440"/>
  <c r="H441"/>
  <c r="H442"/>
  <c r="H443"/>
  <c r="H444"/>
  <c r="K440"/>
  <c r="U440" s="1"/>
  <c r="K441"/>
  <c r="U441" s="1"/>
  <c r="K442"/>
  <c r="U442" s="1"/>
  <c r="K443"/>
  <c r="U443" s="1"/>
  <c r="K444"/>
  <c r="R440"/>
  <c r="R441"/>
  <c r="R442"/>
  <c r="R443"/>
  <c r="R444"/>
  <c r="S440"/>
  <c r="S441"/>
  <c r="S442"/>
  <c r="U444"/>
  <c r="W440"/>
  <c r="X440" s="1"/>
  <c r="Y440" s="1"/>
  <c r="W441"/>
  <c r="X441" s="1"/>
  <c r="Y441" s="1"/>
  <c r="W442"/>
  <c r="X442" s="1"/>
  <c r="Y442" s="1"/>
  <c r="W443"/>
  <c r="X443" s="1"/>
  <c r="Y443" s="1"/>
  <c r="W444"/>
  <c r="X444" s="1"/>
  <c r="Y444" s="1"/>
  <c r="C439"/>
  <c r="D439" s="1"/>
  <c r="E439" s="1"/>
  <c r="G439"/>
  <c r="H439"/>
  <c r="K439"/>
  <c r="U439" s="1"/>
  <c r="R439"/>
  <c r="S439"/>
  <c r="W439"/>
  <c r="X439" s="1"/>
  <c r="Y439" s="1"/>
  <c r="C438"/>
  <c r="D438" s="1"/>
  <c r="E438" s="1"/>
  <c r="G438"/>
  <c r="H438"/>
  <c r="K438"/>
  <c r="U438" s="1"/>
  <c r="R438"/>
  <c r="S438"/>
  <c r="W438"/>
  <c r="X438" s="1"/>
  <c r="Y438" s="1"/>
  <c r="C437"/>
  <c r="D437" s="1"/>
  <c r="E437" s="1"/>
  <c r="G437"/>
  <c r="H437"/>
  <c r="K437"/>
  <c r="U437" s="1"/>
  <c r="R437"/>
  <c r="S437"/>
  <c r="W437"/>
  <c r="X437" s="1"/>
  <c r="Y437" s="1"/>
  <c r="G436"/>
  <c r="H436"/>
  <c r="K436"/>
  <c r="R436"/>
  <c r="S436"/>
  <c r="U436"/>
  <c r="W436"/>
  <c r="X436" s="1"/>
  <c r="Y436" s="1"/>
  <c r="C435"/>
  <c r="D435" s="1"/>
  <c r="E435" s="1"/>
  <c r="G435"/>
  <c r="S435" s="1"/>
  <c r="H435"/>
  <c r="K435"/>
  <c r="U435" s="1"/>
  <c r="R435"/>
  <c r="W435"/>
  <c r="X435" s="1"/>
  <c r="Y435" s="1"/>
  <c r="C434"/>
  <c r="D434" s="1"/>
  <c r="E434" s="1"/>
  <c r="G434"/>
  <c r="H434"/>
  <c r="K434"/>
  <c r="U434" s="1"/>
  <c r="R434"/>
  <c r="S434"/>
  <c r="W434"/>
  <c r="X434" s="1"/>
  <c r="Y434" s="1"/>
  <c r="C433"/>
  <c r="D433" s="1"/>
  <c r="E433" s="1"/>
  <c r="G433"/>
  <c r="H433"/>
  <c r="K433"/>
  <c r="U433" s="1"/>
  <c r="R433"/>
  <c r="S433"/>
  <c r="W433"/>
  <c r="X433" s="1"/>
  <c r="Y433" s="1"/>
  <c r="C432"/>
  <c r="D432" s="1"/>
  <c r="E432" s="1"/>
  <c r="G432"/>
  <c r="S432" s="1"/>
  <c r="H432"/>
  <c r="K432"/>
  <c r="U432" s="1"/>
  <c r="R432"/>
  <c r="W432"/>
  <c r="X432" s="1"/>
  <c r="Y432" s="1"/>
  <c r="C431"/>
  <c r="D431" s="1"/>
  <c r="E431" s="1"/>
  <c r="G431"/>
  <c r="S431" s="1"/>
  <c r="H431"/>
  <c r="K431"/>
  <c r="U431" s="1"/>
  <c r="R431"/>
  <c r="W431"/>
  <c r="X431" s="1"/>
  <c r="Y431" s="1"/>
  <c r="C424"/>
  <c r="C425"/>
  <c r="D425" s="1"/>
  <c r="E425" s="1"/>
  <c r="C426"/>
  <c r="D426" s="1"/>
  <c r="E426" s="1"/>
  <c r="C427"/>
  <c r="C428"/>
  <c r="C429"/>
  <c r="D429" s="1"/>
  <c r="E429" s="1"/>
  <c r="C430"/>
  <c r="D430" s="1"/>
  <c r="E430" s="1"/>
  <c r="D424"/>
  <c r="D427"/>
  <c r="E427" s="1"/>
  <c r="D428"/>
  <c r="E424"/>
  <c r="E428"/>
  <c r="G424"/>
  <c r="G425"/>
  <c r="G426"/>
  <c r="G427"/>
  <c r="G428"/>
  <c r="G429"/>
  <c r="G430"/>
  <c r="H424"/>
  <c r="H425"/>
  <c r="H426"/>
  <c r="H427"/>
  <c r="H428"/>
  <c r="H429"/>
  <c r="H430"/>
  <c r="K424"/>
  <c r="K425"/>
  <c r="K426"/>
  <c r="U426" s="1"/>
  <c r="K427"/>
  <c r="U427" s="1"/>
  <c r="K428"/>
  <c r="K429"/>
  <c r="K430"/>
  <c r="U430" s="1"/>
  <c r="R424"/>
  <c r="R425"/>
  <c r="R426"/>
  <c r="R427"/>
  <c r="R428"/>
  <c r="R429"/>
  <c r="R430"/>
  <c r="S424"/>
  <c r="S425"/>
  <c r="T425" s="1"/>
  <c r="S426"/>
  <c r="S427"/>
  <c r="S428"/>
  <c r="S429"/>
  <c r="S430"/>
  <c r="T427"/>
  <c r="U424"/>
  <c r="U425"/>
  <c r="U428"/>
  <c r="U429"/>
  <c r="W424"/>
  <c r="X424" s="1"/>
  <c r="Y424" s="1"/>
  <c r="W425"/>
  <c r="X425" s="1"/>
  <c r="Y425" s="1"/>
  <c r="W426"/>
  <c r="X426" s="1"/>
  <c r="Y426" s="1"/>
  <c r="W427"/>
  <c r="X427" s="1"/>
  <c r="Y427" s="1"/>
  <c r="W428"/>
  <c r="W429"/>
  <c r="W430"/>
  <c r="X428"/>
  <c r="Y428" s="1"/>
  <c r="X429"/>
  <c r="Y429" s="1"/>
  <c r="X430"/>
  <c r="Y430" s="1"/>
  <c r="E423"/>
  <c r="G423"/>
  <c r="S423" s="1"/>
  <c r="H423"/>
  <c r="K423"/>
  <c r="U423" s="1"/>
  <c r="R423"/>
  <c r="W423"/>
  <c r="X423" s="1"/>
  <c r="Y423" s="1"/>
  <c r="C422"/>
  <c r="D422" s="1"/>
  <c r="E422" s="1"/>
  <c r="G422"/>
  <c r="H422"/>
  <c r="K422"/>
  <c r="U422" s="1"/>
  <c r="R422"/>
  <c r="S422"/>
  <c r="W422"/>
  <c r="X422" s="1"/>
  <c r="Y422" s="1"/>
  <c r="C421"/>
  <c r="D421" s="1"/>
  <c r="E421" s="1"/>
  <c r="G421"/>
  <c r="S421" s="1"/>
  <c r="H421"/>
  <c r="K421"/>
  <c r="U421" s="1"/>
  <c r="R421"/>
  <c r="W421"/>
  <c r="X421" s="1"/>
  <c r="Y421" s="1"/>
  <c r="C420"/>
  <c r="D420" s="1"/>
  <c r="E420" s="1"/>
  <c r="G420"/>
  <c r="H420"/>
  <c r="K420"/>
  <c r="U420" s="1"/>
  <c r="R420"/>
  <c r="S420"/>
  <c r="W420"/>
  <c r="X420" s="1"/>
  <c r="Y420" s="1"/>
  <c r="D419"/>
  <c r="E419" s="1"/>
  <c r="G419"/>
  <c r="H419"/>
  <c r="K419"/>
  <c r="U419" s="1"/>
  <c r="R419"/>
  <c r="S419"/>
  <c r="W419"/>
  <c r="X419" s="1"/>
  <c r="Y419" s="1"/>
  <c r="C418"/>
  <c r="D418" s="1"/>
  <c r="E418" s="1"/>
  <c r="G418"/>
  <c r="H418"/>
  <c r="K418"/>
  <c r="U418" s="1"/>
  <c r="R418"/>
  <c r="S418"/>
  <c r="T418" s="1"/>
  <c r="W418"/>
  <c r="X418" s="1"/>
  <c r="Y418" s="1"/>
  <c r="C417"/>
  <c r="D417" s="1"/>
  <c r="E417" s="1"/>
  <c r="G417"/>
  <c r="H417"/>
  <c r="K417"/>
  <c r="U417" s="1"/>
  <c r="R417"/>
  <c r="S417"/>
  <c r="W417"/>
  <c r="X417" s="1"/>
  <c r="Y417" s="1"/>
  <c r="C416"/>
  <c r="D416" s="1"/>
  <c r="E416" s="1"/>
  <c r="G416"/>
  <c r="H416"/>
  <c r="K416"/>
  <c r="U416" s="1"/>
  <c r="R416"/>
  <c r="S416"/>
  <c r="W416"/>
  <c r="X416" s="1"/>
  <c r="Y416" s="1"/>
  <c r="C415"/>
  <c r="D415" s="1"/>
  <c r="E415" s="1"/>
  <c r="G415"/>
  <c r="H415"/>
  <c r="K415"/>
  <c r="U415" s="1"/>
  <c r="R415"/>
  <c r="S415"/>
  <c r="W415"/>
  <c r="X415" s="1"/>
  <c r="Y415" s="1"/>
  <c r="C414"/>
  <c r="D414" s="1"/>
  <c r="E414" s="1"/>
  <c r="G414"/>
  <c r="H414"/>
  <c r="K414"/>
  <c r="U414" s="1"/>
  <c r="R414"/>
  <c r="S414"/>
  <c r="W414"/>
  <c r="X414" s="1"/>
  <c r="Y414" s="1"/>
  <c r="C413"/>
  <c r="D413" s="1"/>
  <c r="E413" s="1"/>
  <c r="G413"/>
  <c r="S413" s="1"/>
  <c r="H413"/>
  <c r="K413"/>
  <c r="U413" s="1"/>
  <c r="R413"/>
  <c r="W413"/>
  <c r="X413" s="1"/>
  <c r="Y413" s="1"/>
  <c r="C412"/>
  <c r="D412" s="1"/>
  <c r="E412" s="1"/>
  <c r="G412"/>
  <c r="S412" s="1"/>
  <c r="H412"/>
  <c r="K412"/>
  <c r="U412" s="1"/>
  <c r="R412"/>
  <c r="W412"/>
  <c r="X412" s="1"/>
  <c r="Y412" s="1"/>
  <c r="C411"/>
  <c r="D411" s="1"/>
  <c r="E411" s="1"/>
  <c r="G411"/>
  <c r="S411" s="1"/>
  <c r="H411"/>
  <c r="K411"/>
  <c r="U411" s="1"/>
  <c r="R411"/>
  <c r="W411"/>
  <c r="X411" s="1"/>
  <c r="Y411" s="1"/>
  <c r="C410"/>
  <c r="D410" s="1"/>
  <c r="E410" s="1"/>
  <c r="G410"/>
  <c r="H410"/>
  <c r="K410"/>
  <c r="U410" s="1"/>
  <c r="R410"/>
  <c r="S410"/>
  <c r="W410"/>
  <c r="X410" s="1"/>
  <c r="Y410" s="1"/>
  <c r="C409"/>
  <c r="D409" s="1"/>
  <c r="E409" s="1"/>
  <c r="G409"/>
  <c r="S409" s="1"/>
  <c r="H409"/>
  <c r="K409"/>
  <c r="U409" s="1"/>
  <c r="R409"/>
  <c r="W409"/>
  <c r="X409" s="1"/>
  <c r="Y409" s="1"/>
  <c r="C408"/>
  <c r="D408" s="1"/>
  <c r="E408" s="1"/>
  <c r="G408"/>
  <c r="S408" s="1"/>
  <c r="H408"/>
  <c r="K408"/>
  <c r="U408" s="1"/>
  <c r="R408"/>
  <c r="W408"/>
  <c r="X408" s="1"/>
  <c r="Y408" s="1"/>
  <c r="C407"/>
  <c r="D407" s="1"/>
  <c r="E407" s="1"/>
  <c r="G407"/>
  <c r="S407" s="1"/>
  <c r="H407"/>
  <c r="K407"/>
  <c r="U407" s="1"/>
  <c r="R407"/>
  <c r="W407"/>
  <c r="X407" s="1"/>
  <c r="Y407" s="1"/>
  <c r="C406"/>
  <c r="D406" s="1"/>
  <c r="E406" s="1"/>
  <c r="G406"/>
  <c r="H406"/>
  <c r="K406"/>
  <c r="U406" s="1"/>
  <c r="R406"/>
  <c r="S406"/>
  <c r="W406"/>
  <c r="X406" s="1"/>
  <c r="Y406" s="1"/>
  <c r="C405"/>
  <c r="D405" s="1"/>
  <c r="E405" s="1"/>
  <c r="G405"/>
  <c r="H405"/>
  <c r="K405"/>
  <c r="U405" s="1"/>
  <c r="R405"/>
  <c r="S405"/>
  <c r="W405"/>
  <c r="X405" s="1"/>
  <c r="Y405" s="1"/>
  <c r="C404"/>
  <c r="D404" s="1"/>
  <c r="E404" s="1"/>
  <c r="G404"/>
  <c r="S404" s="1"/>
  <c r="H404"/>
  <c r="K404"/>
  <c r="U404" s="1"/>
  <c r="R404"/>
  <c r="W404"/>
  <c r="X404" s="1"/>
  <c r="Y404" s="1"/>
  <c r="C403"/>
  <c r="D403" s="1"/>
  <c r="E403" s="1"/>
  <c r="G403"/>
  <c r="H403"/>
  <c r="K403"/>
  <c r="U403" s="1"/>
  <c r="R403"/>
  <c r="S403"/>
  <c r="W403"/>
  <c r="X403" s="1"/>
  <c r="Y403" s="1"/>
  <c r="C402"/>
  <c r="D402" s="1"/>
  <c r="E402" s="1"/>
  <c r="G402"/>
  <c r="S402" s="1"/>
  <c r="H402"/>
  <c r="K402"/>
  <c r="U402" s="1"/>
  <c r="R402"/>
  <c r="W402"/>
  <c r="X402" s="1"/>
  <c r="Y402" s="1"/>
  <c r="E401"/>
  <c r="G401"/>
  <c r="H401"/>
  <c r="K401"/>
  <c r="U401" s="1"/>
  <c r="R401"/>
  <c r="S401"/>
  <c r="W401"/>
  <c r="X401" s="1"/>
  <c r="Y401" s="1"/>
  <c r="C400"/>
  <c r="D400" s="1"/>
  <c r="E400" s="1"/>
  <c r="G400"/>
  <c r="S400" s="1"/>
  <c r="H400"/>
  <c r="K400"/>
  <c r="U400" s="1"/>
  <c r="R400"/>
  <c r="W400"/>
  <c r="X400" s="1"/>
  <c r="Y400" s="1"/>
  <c r="C399"/>
  <c r="D399" s="1"/>
  <c r="E399" s="1"/>
  <c r="G399"/>
  <c r="H399"/>
  <c r="K399"/>
  <c r="U399" s="1"/>
  <c r="R399"/>
  <c r="S399"/>
  <c r="W399"/>
  <c r="X399" s="1"/>
  <c r="Y399" s="1"/>
  <c r="E398"/>
  <c r="G398"/>
  <c r="S398" s="1"/>
  <c r="H398"/>
  <c r="K398"/>
  <c r="U398" s="1"/>
  <c r="R398"/>
  <c r="W398"/>
  <c r="X398" s="1"/>
  <c r="Y398" s="1"/>
  <c r="E397"/>
  <c r="G397"/>
  <c r="H397"/>
  <c r="K397"/>
  <c r="U397" s="1"/>
  <c r="R397"/>
  <c r="S397"/>
  <c r="W397"/>
  <c r="X397" s="1"/>
  <c r="Y397" s="1"/>
  <c r="C396"/>
  <c r="D396" s="1"/>
  <c r="E396" s="1"/>
  <c r="G396"/>
  <c r="H396"/>
  <c r="K396"/>
  <c r="U396" s="1"/>
  <c r="R396"/>
  <c r="S396"/>
  <c r="W396"/>
  <c r="X396" s="1"/>
  <c r="Y396" s="1"/>
  <c r="C395"/>
  <c r="D395" s="1"/>
  <c r="E395" s="1"/>
  <c r="G395"/>
  <c r="S395" s="1"/>
  <c r="H395"/>
  <c r="K395"/>
  <c r="U395" s="1"/>
  <c r="R395"/>
  <c r="W395"/>
  <c r="X395" s="1"/>
  <c r="Y395" s="1"/>
  <c r="C394"/>
  <c r="D394" s="1"/>
  <c r="E394" s="1"/>
  <c r="G394"/>
  <c r="H394"/>
  <c r="K394"/>
  <c r="U394" s="1"/>
  <c r="R394"/>
  <c r="S394"/>
  <c r="W394"/>
  <c r="X394" s="1"/>
  <c r="Y394" s="1"/>
  <c r="C393"/>
  <c r="D393" s="1"/>
  <c r="E393" s="1"/>
  <c r="G393"/>
  <c r="S393" s="1"/>
  <c r="H393"/>
  <c r="K393"/>
  <c r="U393" s="1"/>
  <c r="R393"/>
  <c r="W393"/>
  <c r="X393" s="1"/>
  <c r="Y393" s="1"/>
  <c r="C392"/>
  <c r="D392" s="1"/>
  <c r="E392" s="1"/>
  <c r="G392"/>
  <c r="H392"/>
  <c r="K392"/>
  <c r="U392" s="1"/>
  <c r="R392"/>
  <c r="S392"/>
  <c r="W392"/>
  <c r="X392" s="1"/>
  <c r="Y392" s="1"/>
  <c r="C391"/>
  <c r="D391" s="1"/>
  <c r="E391" s="1"/>
  <c r="G391"/>
  <c r="S391" s="1"/>
  <c r="H391"/>
  <c r="K391"/>
  <c r="U391" s="1"/>
  <c r="R391"/>
  <c r="W391"/>
  <c r="X391" s="1"/>
  <c r="Y391" s="1"/>
  <c r="C390"/>
  <c r="D390" s="1"/>
  <c r="E390" s="1"/>
  <c r="G390"/>
  <c r="H390"/>
  <c r="K390"/>
  <c r="U390" s="1"/>
  <c r="R390"/>
  <c r="S390"/>
  <c r="W390"/>
  <c r="X390" s="1"/>
  <c r="Y390" s="1"/>
  <c r="C389"/>
  <c r="D389" s="1"/>
  <c r="E389" s="1"/>
  <c r="G389"/>
  <c r="H389"/>
  <c r="K389"/>
  <c r="U389" s="1"/>
  <c r="R389"/>
  <c r="S389"/>
  <c r="W389"/>
  <c r="X389" s="1"/>
  <c r="Y389" s="1"/>
  <c r="C388"/>
  <c r="D388" s="1"/>
  <c r="E388" s="1"/>
  <c r="G388"/>
  <c r="H388"/>
  <c r="K388"/>
  <c r="U388" s="1"/>
  <c r="R388"/>
  <c r="S388"/>
  <c r="W388"/>
  <c r="X388" s="1"/>
  <c r="Y388" s="1"/>
  <c r="C387"/>
  <c r="D387" s="1"/>
  <c r="E387" s="1"/>
  <c r="G387"/>
  <c r="S387" s="1"/>
  <c r="H387"/>
  <c r="K387"/>
  <c r="U387" s="1"/>
  <c r="R387"/>
  <c r="W387"/>
  <c r="X387" s="1"/>
  <c r="Y387" s="1"/>
  <c r="C386"/>
  <c r="D386" s="1"/>
  <c r="E386" s="1"/>
  <c r="G386"/>
  <c r="S386" s="1"/>
  <c r="H386"/>
  <c r="K386"/>
  <c r="U386" s="1"/>
  <c r="R386"/>
  <c r="W386"/>
  <c r="X386" s="1"/>
  <c r="Y386" s="1"/>
  <c r="C385"/>
  <c r="D385" s="1"/>
  <c r="E385" s="1"/>
  <c r="G385"/>
  <c r="S385" s="1"/>
  <c r="H385"/>
  <c r="K385"/>
  <c r="U385" s="1"/>
  <c r="R385"/>
  <c r="W385"/>
  <c r="X385" s="1"/>
  <c r="Y385" s="1"/>
  <c r="C384"/>
  <c r="D384" s="1"/>
  <c r="E384" s="1"/>
  <c r="G384"/>
  <c r="H384"/>
  <c r="K384"/>
  <c r="U384" s="1"/>
  <c r="R384"/>
  <c r="S384"/>
  <c r="W384"/>
  <c r="X384" s="1"/>
  <c r="Y384" s="1"/>
  <c r="C383"/>
  <c r="D383" s="1"/>
  <c r="E383" s="1"/>
  <c r="G383"/>
  <c r="H383"/>
  <c r="K383"/>
  <c r="U383" s="1"/>
  <c r="R383"/>
  <c r="S383"/>
  <c r="W383"/>
  <c r="X383" s="1"/>
  <c r="Y383" s="1"/>
  <c r="C382"/>
  <c r="D382" s="1"/>
  <c r="E382" s="1"/>
  <c r="G382"/>
  <c r="H382"/>
  <c r="K382"/>
  <c r="U382" s="1"/>
  <c r="R382"/>
  <c r="S382"/>
  <c r="W382"/>
  <c r="X382" s="1"/>
  <c r="Y382" s="1"/>
  <c r="C381"/>
  <c r="D381" s="1"/>
  <c r="E381" s="1"/>
  <c r="G381"/>
  <c r="H381"/>
  <c r="K381"/>
  <c r="U381" s="1"/>
  <c r="R381"/>
  <c r="S381"/>
  <c r="W381"/>
  <c r="X381" s="1"/>
  <c r="Y381" s="1"/>
  <c r="C380"/>
  <c r="D380" s="1"/>
  <c r="E380" s="1"/>
  <c r="G380"/>
  <c r="H380"/>
  <c r="K380"/>
  <c r="U380" s="1"/>
  <c r="R380"/>
  <c r="S380"/>
  <c r="W380"/>
  <c r="X380" s="1"/>
  <c r="Y380" s="1"/>
  <c r="C379"/>
  <c r="D379" s="1"/>
  <c r="E379" s="1"/>
  <c r="G379"/>
  <c r="H379"/>
  <c r="K379"/>
  <c r="U379" s="1"/>
  <c r="R379"/>
  <c r="S379"/>
  <c r="W379"/>
  <c r="X379" s="1"/>
  <c r="Y379" s="1"/>
  <c r="C378"/>
  <c r="D378" s="1"/>
  <c r="E378" s="1"/>
  <c r="G378"/>
  <c r="S378" s="1"/>
  <c r="H378"/>
  <c r="K378"/>
  <c r="U378" s="1"/>
  <c r="R378"/>
  <c r="W378"/>
  <c r="X378" s="1"/>
  <c r="Y378" s="1"/>
  <c r="C377"/>
  <c r="D377" s="1"/>
  <c r="E377" s="1"/>
  <c r="G377"/>
  <c r="H377"/>
  <c r="K377"/>
  <c r="U377" s="1"/>
  <c r="R377"/>
  <c r="S377"/>
  <c r="W377"/>
  <c r="X377" s="1"/>
  <c r="Y377" s="1"/>
  <c r="C376"/>
  <c r="D376" s="1"/>
  <c r="E376" s="1"/>
  <c r="G376"/>
  <c r="S376" s="1"/>
  <c r="H376"/>
  <c r="K376"/>
  <c r="U376" s="1"/>
  <c r="R376"/>
  <c r="W376"/>
  <c r="X376" s="1"/>
  <c r="Y376" s="1"/>
  <c r="C375"/>
  <c r="D375" s="1"/>
  <c r="E375" s="1"/>
  <c r="G375"/>
  <c r="H375"/>
  <c r="K375"/>
  <c r="U375" s="1"/>
  <c r="R375"/>
  <c r="S375"/>
  <c r="W375"/>
  <c r="X375" s="1"/>
  <c r="Y375" s="1"/>
  <c r="C374"/>
  <c r="D374" s="1"/>
  <c r="E374" s="1"/>
  <c r="G374"/>
  <c r="H374"/>
  <c r="K374"/>
  <c r="U374" s="1"/>
  <c r="R374"/>
  <c r="S374"/>
  <c r="W374"/>
  <c r="X374" s="1"/>
  <c r="Y374" s="1"/>
  <c r="C373"/>
  <c r="D373" s="1"/>
  <c r="E373" s="1"/>
  <c r="G373"/>
  <c r="H373"/>
  <c r="K373"/>
  <c r="U373" s="1"/>
  <c r="R373"/>
  <c r="S373"/>
  <c r="W373"/>
  <c r="X373" s="1"/>
  <c r="Y373" s="1"/>
  <c r="C372"/>
  <c r="D372" s="1"/>
  <c r="E372" s="1"/>
  <c r="G372"/>
  <c r="S372" s="1"/>
  <c r="H372"/>
  <c r="K372"/>
  <c r="U372" s="1"/>
  <c r="R372"/>
  <c r="W372"/>
  <c r="X372" s="1"/>
  <c r="Y372" s="1"/>
  <c r="C371"/>
  <c r="D371" s="1"/>
  <c r="E371" s="1"/>
  <c r="G371"/>
  <c r="S371" s="1"/>
  <c r="H371"/>
  <c r="K371"/>
  <c r="U371" s="1"/>
  <c r="R371"/>
  <c r="W371"/>
  <c r="X371" s="1"/>
  <c r="Y371" s="1"/>
  <c r="C370"/>
  <c r="D370" s="1"/>
  <c r="E370" s="1"/>
  <c r="G370"/>
  <c r="H370"/>
  <c r="K370"/>
  <c r="U370" s="1"/>
  <c r="R370"/>
  <c r="S370"/>
  <c r="W370"/>
  <c r="X370" s="1"/>
  <c r="Y370" s="1"/>
  <c r="C369"/>
  <c r="D369" s="1"/>
  <c r="E369" s="1"/>
  <c r="G369"/>
  <c r="H369"/>
  <c r="K369"/>
  <c r="U369" s="1"/>
  <c r="R369"/>
  <c r="S369"/>
  <c r="W369"/>
  <c r="X369" s="1"/>
  <c r="Y369" s="1"/>
  <c r="C368"/>
  <c r="D368" s="1"/>
  <c r="E368" s="1"/>
  <c r="G368"/>
  <c r="S368" s="1"/>
  <c r="H368"/>
  <c r="K368"/>
  <c r="U368" s="1"/>
  <c r="R368"/>
  <c r="W368"/>
  <c r="X368" s="1"/>
  <c r="Y368" s="1"/>
  <c r="C367"/>
  <c r="D367" s="1"/>
  <c r="E367" s="1"/>
  <c r="G367"/>
  <c r="H367"/>
  <c r="K367"/>
  <c r="U367" s="1"/>
  <c r="R367"/>
  <c r="S367"/>
  <c r="W367"/>
  <c r="X367" s="1"/>
  <c r="Y367" s="1"/>
  <c r="C366"/>
  <c r="D366" s="1"/>
  <c r="E366" s="1"/>
  <c r="G366"/>
  <c r="S366" s="1"/>
  <c r="H366"/>
  <c r="K366"/>
  <c r="U366" s="1"/>
  <c r="R366"/>
  <c r="W366"/>
  <c r="X366" s="1"/>
  <c r="Y366" s="1"/>
  <c r="C365"/>
  <c r="D365" s="1"/>
  <c r="E365" s="1"/>
  <c r="G365"/>
  <c r="S365" s="1"/>
  <c r="H365"/>
  <c r="K365"/>
  <c r="U365" s="1"/>
  <c r="R365"/>
  <c r="W365"/>
  <c r="X365" s="1"/>
  <c r="Y365" s="1"/>
  <c r="C364"/>
  <c r="D364" s="1"/>
  <c r="E364" s="1"/>
  <c r="G364"/>
  <c r="H364"/>
  <c r="K364"/>
  <c r="U364" s="1"/>
  <c r="R364"/>
  <c r="S364"/>
  <c r="W364"/>
  <c r="X364" s="1"/>
  <c r="Y364" s="1"/>
  <c r="C363"/>
  <c r="D363" s="1"/>
  <c r="E363" s="1"/>
  <c r="G363"/>
  <c r="H363"/>
  <c r="K363"/>
  <c r="U363" s="1"/>
  <c r="R363"/>
  <c r="S363"/>
  <c r="W363"/>
  <c r="X363" s="1"/>
  <c r="Y363" s="1"/>
  <c r="C362"/>
  <c r="D362" s="1"/>
  <c r="E362" s="1"/>
  <c r="G362"/>
  <c r="S362" s="1"/>
  <c r="H362"/>
  <c r="K362"/>
  <c r="U362" s="1"/>
  <c r="R362"/>
  <c r="W362"/>
  <c r="X362" s="1"/>
  <c r="Y362" s="1"/>
  <c r="C361"/>
  <c r="D361" s="1"/>
  <c r="E361" s="1"/>
  <c r="G361"/>
  <c r="S361" s="1"/>
  <c r="H361"/>
  <c r="K361"/>
  <c r="U361" s="1"/>
  <c r="R361"/>
  <c r="W361"/>
  <c r="X361" s="1"/>
  <c r="Y361" s="1"/>
  <c r="C360"/>
  <c r="D360" s="1"/>
  <c r="E360" s="1"/>
  <c r="G360"/>
  <c r="S360" s="1"/>
  <c r="H360"/>
  <c r="K360"/>
  <c r="U360" s="1"/>
  <c r="R360"/>
  <c r="W360"/>
  <c r="X360" s="1"/>
  <c r="Y360" s="1"/>
  <c r="E359"/>
  <c r="G359"/>
  <c r="S359" s="1"/>
  <c r="H359"/>
  <c r="K359"/>
  <c r="U359" s="1"/>
  <c r="R359"/>
  <c r="W359"/>
  <c r="X359" s="1"/>
  <c r="Y359" s="1"/>
  <c r="C358"/>
  <c r="D358" s="1"/>
  <c r="E358" s="1"/>
  <c r="G358"/>
  <c r="S358" s="1"/>
  <c r="H358"/>
  <c r="K358"/>
  <c r="U358" s="1"/>
  <c r="R358"/>
  <c r="W358"/>
  <c r="X358" s="1"/>
  <c r="Y358" s="1"/>
  <c r="C357"/>
  <c r="D357" s="1"/>
  <c r="E357" s="1"/>
  <c r="G357"/>
  <c r="S357" s="1"/>
  <c r="H357"/>
  <c r="K357"/>
  <c r="U357" s="1"/>
  <c r="R357"/>
  <c r="W357"/>
  <c r="X357" s="1"/>
  <c r="Y357" s="1"/>
  <c r="C356"/>
  <c r="D356" s="1"/>
  <c r="E356" s="1"/>
  <c r="G356"/>
  <c r="S356" s="1"/>
  <c r="H356"/>
  <c r="K356"/>
  <c r="U356" s="1"/>
  <c r="R356"/>
  <c r="W356"/>
  <c r="X356" s="1"/>
  <c r="Y356" s="1"/>
  <c r="C355"/>
  <c r="D355" s="1"/>
  <c r="E355" s="1"/>
  <c r="G355"/>
  <c r="S355" s="1"/>
  <c r="H355"/>
  <c r="K355"/>
  <c r="U355" s="1"/>
  <c r="R355"/>
  <c r="W355"/>
  <c r="X355" s="1"/>
  <c r="Y355" s="1"/>
  <c r="C354"/>
  <c r="D354" s="1"/>
  <c r="E354" s="1"/>
  <c r="G354"/>
  <c r="S354" s="1"/>
  <c r="H354"/>
  <c r="K354"/>
  <c r="U354" s="1"/>
  <c r="R354"/>
  <c r="W354"/>
  <c r="X354" s="1"/>
  <c r="Y354" s="1"/>
  <c r="C353"/>
  <c r="D353" s="1"/>
  <c r="E353" s="1"/>
  <c r="G353"/>
  <c r="S353" s="1"/>
  <c r="H353"/>
  <c r="K353"/>
  <c r="U353" s="1"/>
  <c r="R353"/>
  <c r="W353"/>
  <c r="X353" s="1"/>
  <c r="Y353" s="1"/>
  <c r="C352"/>
  <c r="D352" s="1"/>
  <c r="E352" s="1"/>
  <c r="G352"/>
  <c r="H352"/>
  <c r="K352"/>
  <c r="U352" s="1"/>
  <c r="R352"/>
  <c r="S352"/>
  <c r="W352"/>
  <c r="X352" s="1"/>
  <c r="Y352" s="1"/>
  <c r="C351"/>
  <c r="D351" s="1"/>
  <c r="E351" s="1"/>
  <c r="G351"/>
  <c r="S351" s="1"/>
  <c r="H351"/>
  <c r="K351"/>
  <c r="U351" s="1"/>
  <c r="R351"/>
  <c r="W351"/>
  <c r="X351" s="1"/>
  <c r="Y351" s="1"/>
  <c r="C350"/>
  <c r="D350" s="1"/>
  <c r="E350" s="1"/>
  <c r="G350"/>
  <c r="S350" s="1"/>
  <c r="H350"/>
  <c r="K350"/>
  <c r="U350" s="1"/>
  <c r="R350"/>
  <c r="W350"/>
  <c r="X350" s="1"/>
  <c r="Y350" s="1"/>
  <c r="C349"/>
  <c r="D349" s="1"/>
  <c r="E349" s="1"/>
  <c r="G349"/>
  <c r="S349" s="1"/>
  <c r="H349"/>
  <c r="K349"/>
  <c r="U349" s="1"/>
  <c r="R349"/>
  <c r="W349"/>
  <c r="X349" s="1"/>
  <c r="Y349" s="1"/>
  <c r="C348"/>
  <c r="D348" s="1"/>
  <c r="E348" s="1"/>
  <c r="G348"/>
  <c r="H348"/>
  <c r="K348"/>
  <c r="U348" s="1"/>
  <c r="R348"/>
  <c r="S348"/>
  <c r="W348"/>
  <c r="X348" s="1"/>
  <c r="Y348" s="1"/>
  <c r="C347"/>
  <c r="D347" s="1"/>
  <c r="E347" s="1"/>
  <c r="G347"/>
  <c r="S347" s="1"/>
  <c r="H347"/>
  <c r="K347"/>
  <c r="U347" s="1"/>
  <c r="R347"/>
  <c r="W347"/>
  <c r="X347" s="1"/>
  <c r="Y347" s="1"/>
  <c r="C346"/>
  <c r="D346" s="1"/>
  <c r="E346" s="1"/>
  <c r="G346"/>
  <c r="S346" s="1"/>
  <c r="H346"/>
  <c r="K346"/>
  <c r="U346" s="1"/>
  <c r="R346"/>
  <c r="W346"/>
  <c r="X346" s="1"/>
  <c r="Y346" s="1"/>
  <c r="C345"/>
  <c r="D345" s="1"/>
  <c r="E345" s="1"/>
  <c r="G345"/>
  <c r="H345"/>
  <c r="K345"/>
  <c r="U345" s="1"/>
  <c r="R345"/>
  <c r="S345"/>
  <c r="W345"/>
  <c r="X345" s="1"/>
  <c r="Y345" s="1"/>
  <c r="C344"/>
  <c r="D344" s="1"/>
  <c r="E344" s="1"/>
  <c r="G344"/>
  <c r="S344" s="1"/>
  <c r="H344"/>
  <c r="K344"/>
  <c r="U344" s="1"/>
  <c r="R344"/>
  <c r="W344"/>
  <c r="X344" s="1"/>
  <c r="Y344" s="1"/>
  <c r="C343"/>
  <c r="D343" s="1"/>
  <c r="E343" s="1"/>
  <c r="G343"/>
  <c r="H343"/>
  <c r="K343"/>
  <c r="U343" s="1"/>
  <c r="R343"/>
  <c r="S343"/>
  <c r="W343"/>
  <c r="X343" s="1"/>
  <c r="Y343" s="1"/>
  <c r="C342"/>
  <c r="D342" s="1"/>
  <c r="E342" s="1"/>
  <c r="G342"/>
  <c r="S342" s="1"/>
  <c r="H342"/>
  <c r="K342"/>
  <c r="U342" s="1"/>
  <c r="R342"/>
  <c r="W342"/>
  <c r="X342" s="1"/>
  <c r="Y342" s="1"/>
  <c r="C341"/>
  <c r="D341" s="1"/>
  <c r="E341" s="1"/>
  <c r="G341"/>
  <c r="S341" s="1"/>
  <c r="H341"/>
  <c r="K341"/>
  <c r="U341" s="1"/>
  <c r="R341"/>
  <c r="W341"/>
  <c r="X341" s="1"/>
  <c r="Y341" s="1"/>
  <c r="C340"/>
  <c r="D340" s="1"/>
  <c r="E340" s="1"/>
  <c r="G340"/>
  <c r="S340" s="1"/>
  <c r="H340"/>
  <c r="K340"/>
  <c r="U340" s="1"/>
  <c r="R340"/>
  <c r="W340"/>
  <c r="X340" s="1"/>
  <c r="Y340" s="1"/>
  <c r="C339"/>
  <c r="D339" s="1"/>
  <c r="E339" s="1"/>
  <c r="G339"/>
  <c r="H339"/>
  <c r="K339"/>
  <c r="U339" s="1"/>
  <c r="R339"/>
  <c r="S339"/>
  <c r="W339"/>
  <c r="X339" s="1"/>
  <c r="Y339" s="1"/>
  <c r="C338"/>
  <c r="D338" s="1"/>
  <c r="E338" s="1"/>
  <c r="G338"/>
  <c r="S338" s="1"/>
  <c r="H338"/>
  <c r="K338"/>
  <c r="U338" s="1"/>
  <c r="R338"/>
  <c r="W338"/>
  <c r="X338" s="1"/>
  <c r="Y338" s="1"/>
  <c r="C337"/>
  <c r="D337" s="1"/>
  <c r="E337" s="1"/>
  <c r="G337"/>
  <c r="H337"/>
  <c r="K337"/>
  <c r="U337" s="1"/>
  <c r="R337"/>
  <c r="S337"/>
  <c r="W337"/>
  <c r="X337" s="1"/>
  <c r="Y337" s="1"/>
  <c r="C333"/>
  <c r="D333" s="1"/>
  <c r="E333" s="1"/>
  <c r="C336"/>
  <c r="D336" s="1"/>
  <c r="E336" s="1"/>
  <c r="G336"/>
  <c r="S336" s="1"/>
  <c r="H336"/>
  <c r="K336"/>
  <c r="U336" s="1"/>
  <c r="R336"/>
  <c r="W336"/>
  <c r="X336" s="1"/>
  <c r="Y336" s="1"/>
  <c r="D335"/>
  <c r="E335" s="1"/>
  <c r="G335"/>
  <c r="H335"/>
  <c r="K335"/>
  <c r="U335" s="1"/>
  <c r="R335"/>
  <c r="S335"/>
  <c r="W335"/>
  <c r="X335" s="1"/>
  <c r="Y335" s="1"/>
  <c r="D334"/>
  <c r="E334" s="1"/>
  <c r="G334"/>
  <c r="H334"/>
  <c r="K334"/>
  <c r="U334" s="1"/>
  <c r="R334"/>
  <c r="S334"/>
  <c r="W334"/>
  <c r="X334" s="1"/>
  <c r="Y334" s="1"/>
  <c r="G333"/>
  <c r="S333" s="1"/>
  <c r="H333"/>
  <c r="K333"/>
  <c r="U333" s="1"/>
  <c r="R333"/>
  <c r="W333"/>
  <c r="X333" s="1"/>
  <c r="Y333" s="1"/>
  <c r="C332"/>
  <c r="D332" s="1"/>
  <c r="E332" s="1"/>
  <c r="G332"/>
  <c r="H332"/>
  <c r="K332"/>
  <c r="U332" s="1"/>
  <c r="R332"/>
  <c r="S332"/>
  <c r="W332"/>
  <c r="X332" s="1"/>
  <c r="Y332" s="1"/>
  <c r="C331"/>
  <c r="D331" s="1"/>
  <c r="E331" s="1"/>
  <c r="G331"/>
  <c r="H331"/>
  <c r="K331"/>
  <c r="U331" s="1"/>
  <c r="R331"/>
  <c r="S331"/>
  <c r="W331"/>
  <c r="X331" s="1"/>
  <c r="Y331" s="1"/>
  <c r="C330"/>
  <c r="D330" s="1"/>
  <c r="E330" s="1"/>
  <c r="G330"/>
  <c r="S330" s="1"/>
  <c r="H330"/>
  <c r="K330"/>
  <c r="U330" s="1"/>
  <c r="R330"/>
  <c r="W330"/>
  <c r="X330" s="1"/>
  <c r="Y330" s="1"/>
  <c r="C329"/>
  <c r="D329" s="1"/>
  <c r="E329" s="1"/>
  <c r="G329"/>
  <c r="S329" s="1"/>
  <c r="H329"/>
  <c r="K329"/>
  <c r="U329" s="1"/>
  <c r="R329"/>
  <c r="W329"/>
  <c r="X329" s="1"/>
  <c r="Y329" s="1"/>
  <c r="C328"/>
  <c r="D328" s="1"/>
  <c r="E328" s="1"/>
  <c r="G328"/>
  <c r="S328" s="1"/>
  <c r="H328"/>
  <c r="K328"/>
  <c r="U328" s="1"/>
  <c r="R328"/>
  <c r="W328"/>
  <c r="X328" s="1"/>
  <c r="Y328" s="1"/>
  <c r="C327"/>
  <c r="D327" s="1"/>
  <c r="E327" s="1"/>
  <c r="G327"/>
  <c r="S327" s="1"/>
  <c r="H327"/>
  <c r="K327"/>
  <c r="U327" s="1"/>
  <c r="R327"/>
  <c r="W327"/>
  <c r="X327" s="1"/>
  <c r="Y327" s="1"/>
  <c r="C326"/>
  <c r="D326" s="1"/>
  <c r="E326" s="1"/>
  <c r="G326"/>
  <c r="H326"/>
  <c r="K326"/>
  <c r="U326" s="1"/>
  <c r="R326"/>
  <c r="S326"/>
  <c r="W326"/>
  <c r="X326" s="1"/>
  <c r="Y326" s="1"/>
  <c r="C325"/>
  <c r="D325" s="1"/>
  <c r="E325" s="1"/>
  <c r="G325"/>
  <c r="H325"/>
  <c r="K325"/>
  <c r="U325" s="1"/>
  <c r="R325"/>
  <c r="S325"/>
  <c r="W325"/>
  <c r="X325" s="1"/>
  <c r="Y325" s="1"/>
  <c r="C324"/>
  <c r="D324" s="1"/>
  <c r="E324" s="1"/>
  <c r="G324"/>
  <c r="H324"/>
  <c r="K324"/>
  <c r="U324" s="1"/>
  <c r="R324"/>
  <c r="S324"/>
  <c r="W324"/>
  <c r="X324" s="1"/>
  <c r="Y324" s="1"/>
  <c r="C323"/>
  <c r="D323" s="1"/>
  <c r="E323" s="1"/>
  <c r="G323"/>
  <c r="S323" s="1"/>
  <c r="H323"/>
  <c r="K323"/>
  <c r="U323" s="1"/>
  <c r="R323"/>
  <c r="W323"/>
  <c r="X323" s="1"/>
  <c r="Y323" s="1"/>
  <c r="C322"/>
  <c r="D322" s="1"/>
  <c r="E322" s="1"/>
  <c r="G322"/>
  <c r="S322" s="1"/>
  <c r="H322"/>
  <c r="K322"/>
  <c r="U322" s="1"/>
  <c r="R322"/>
  <c r="W322"/>
  <c r="X322" s="1"/>
  <c r="Y322" s="1"/>
  <c r="C321"/>
  <c r="D321" s="1"/>
  <c r="E321" s="1"/>
  <c r="G321"/>
  <c r="S321" s="1"/>
  <c r="H321"/>
  <c r="K321"/>
  <c r="U321" s="1"/>
  <c r="R321"/>
  <c r="W321"/>
  <c r="X321" s="1"/>
  <c r="Y321" s="1"/>
  <c r="C320"/>
  <c r="D320" s="1"/>
  <c r="E320" s="1"/>
  <c r="G320"/>
  <c r="S320" s="1"/>
  <c r="H320"/>
  <c r="K320"/>
  <c r="U320" s="1"/>
  <c r="R320"/>
  <c r="W320"/>
  <c r="X320" s="1"/>
  <c r="Y320" s="1"/>
  <c r="C319"/>
  <c r="D319" s="1"/>
  <c r="E319" s="1"/>
  <c r="G319"/>
  <c r="S319" s="1"/>
  <c r="H319"/>
  <c r="K319"/>
  <c r="U319" s="1"/>
  <c r="R319"/>
  <c r="W319"/>
  <c r="X319" s="1"/>
  <c r="Y319" s="1"/>
  <c r="C318"/>
  <c r="D318" s="1"/>
  <c r="E318" s="1"/>
  <c r="G318"/>
  <c r="S318" s="1"/>
  <c r="H318"/>
  <c r="K318"/>
  <c r="U318" s="1"/>
  <c r="R318"/>
  <c r="W318"/>
  <c r="X318" s="1"/>
  <c r="Y318" s="1"/>
  <c r="C317"/>
  <c r="D317" s="1"/>
  <c r="E317" s="1"/>
  <c r="G317"/>
  <c r="S317" s="1"/>
  <c r="H317"/>
  <c r="K317"/>
  <c r="U317" s="1"/>
  <c r="R317"/>
  <c r="W317"/>
  <c r="X317" s="1"/>
  <c r="Y317" s="1"/>
  <c r="C316"/>
  <c r="D316" s="1"/>
  <c r="E316" s="1"/>
  <c r="G316"/>
  <c r="S316" s="1"/>
  <c r="H316"/>
  <c r="K316"/>
  <c r="U316" s="1"/>
  <c r="R316"/>
  <c r="W316"/>
  <c r="X316" s="1"/>
  <c r="Y316" s="1"/>
  <c r="C315"/>
  <c r="D315" s="1"/>
  <c r="E315" s="1"/>
  <c r="G315"/>
  <c r="S315" s="1"/>
  <c r="H315"/>
  <c r="K315"/>
  <c r="U315" s="1"/>
  <c r="R315"/>
  <c r="W315"/>
  <c r="X315" s="1"/>
  <c r="Y315" s="1"/>
  <c r="C314"/>
  <c r="D314" s="1"/>
  <c r="E314" s="1"/>
  <c r="G314"/>
  <c r="H314"/>
  <c r="K314"/>
  <c r="U314" s="1"/>
  <c r="R314"/>
  <c r="S314"/>
  <c r="W314"/>
  <c r="X314" s="1"/>
  <c r="Y314" s="1"/>
  <c r="C313"/>
  <c r="D313" s="1"/>
  <c r="E313" s="1"/>
  <c r="G313"/>
  <c r="H313"/>
  <c r="K313"/>
  <c r="U313" s="1"/>
  <c r="R313"/>
  <c r="S313"/>
  <c r="W313"/>
  <c r="X313" s="1"/>
  <c r="Y313" s="1"/>
  <c r="C312"/>
  <c r="D312" s="1"/>
  <c r="E312" s="1"/>
  <c r="G312"/>
  <c r="S312" s="1"/>
  <c r="H312"/>
  <c r="K312"/>
  <c r="U312" s="1"/>
  <c r="R312"/>
  <c r="X312"/>
  <c r="Y312" s="1"/>
  <c r="C311"/>
  <c r="D311" s="1"/>
  <c r="E311" s="1"/>
  <c r="G311"/>
  <c r="S311" s="1"/>
  <c r="H311"/>
  <c r="K311"/>
  <c r="U311" s="1"/>
  <c r="R311"/>
  <c r="W311"/>
  <c r="X311" s="1"/>
  <c r="Y311" s="1"/>
  <c r="C310"/>
  <c r="D310" s="1"/>
  <c r="E310" s="1"/>
  <c r="G310"/>
  <c r="S310" s="1"/>
  <c r="H310"/>
  <c r="K310"/>
  <c r="U310" s="1"/>
  <c r="R310"/>
  <c r="W310"/>
  <c r="X310" s="1"/>
  <c r="Y310" s="1"/>
  <c r="E309"/>
  <c r="G309"/>
  <c r="S309" s="1"/>
  <c r="H309"/>
  <c r="K309"/>
  <c r="U309" s="1"/>
  <c r="R309"/>
  <c r="W309"/>
  <c r="X309" s="1"/>
  <c r="Y309" s="1"/>
  <c r="E308"/>
  <c r="G308"/>
  <c r="H308"/>
  <c r="K308"/>
  <c r="U308" s="1"/>
  <c r="R308"/>
  <c r="S308"/>
  <c r="W308"/>
  <c r="X308" s="1"/>
  <c r="Y308" s="1"/>
  <c r="C307"/>
  <c r="D307" s="1"/>
  <c r="E307" s="1"/>
  <c r="G307"/>
  <c r="S307" s="1"/>
  <c r="H307"/>
  <c r="K307"/>
  <c r="U307" s="1"/>
  <c r="R307"/>
  <c r="W307"/>
  <c r="X307" s="1"/>
  <c r="Y307" s="1"/>
  <c r="C306"/>
  <c r="D306" s="1"/>
  <c r="E306" s="1"/>
  <c r="G306"/>
  <c r="S306" s="1"/>
  <c r="H306"/>
  <c r="K306"/>
  <c r="U306" s="1"/>
  <c r="R306"/>
  <c r="W306"/>
  <c r="X306" s="1"/>
  <c r="Y306" s="1"/>
  <c r="C305"/>
  <c r="D305" s="1"/>
  <c r="E305" s="1"/>
  <c r="G305"/>
  <c r="S305" s="1"/>
  <c r="H305"/>
  <c r="K305"/>
  <c r="U305" s="1"/>
  <c r="R305"/>
  <c r="W305"/>
  <c r="X305" s="1"/>
  <c r="Y305" s="1"/>
  <c r="C304"/>
  <c r="D304" s="1"/>
  <c r="E304" s="1"/>
  <c r="G304"/>
  <c r="S304" s="1"/>
  <c r="H304"/>
  <c r="K304"/>
  <c r="U304" s="1"/>
  <c r="R304"/>
  <c r="W304"/>
  <c r="X304" s="1"/>
  <c r="Y304" s="1"/>
  <c r="C303"/>
  <c r="D303" s="1"/>
  <c r="E303" s="1"/>
  <c r="G303"/>
  <c r="H303"/>
  <c r="K303"/>
  <c r="U303" s="1"/>
  <c r="R303"/>
  <c r="S303"/>
  <c r="W303"/>
  <c r="X303" s="1"/>
  <c r="Y303" s="1"/>
  <c r="C302"/>
  <c r="D302" s="1"/>
  <c r="E302" s="1"/>
  <c r="G302"/>
  <c r="S302" s="1"/>
  <c r="H302"/>
  <c r="K302"/>
  <c r="U302" s="1"/>
  <c r="R302"/>
  <c r="W302"/>
  <c r="X302" s="1"/>
  <c r="Y302" s="1"/>
  <c r="C301"/>
  <c r="D301" s="1"/>
  <c r="E301" s="1"/>
  <c r="G301"/>
  <c r="S301" s="1"/>
  <c r="H301"/>
  <c r="K301"/>
  <c r="U301" s="1"/>
  <c r="R301"/>
  <c r="W301"/>
  <c r="X301" s="1"/>
  <c r="Y301" s="1"/>
  <c r="C300"/>
  <c r="D300" s="1"/>
  <c r="E300" s="1"/>
  <c r="G300"/>
  <c r="S300" s="1"/>
  <c r="H300"/>
  <c r="K300"/>
  <c r="U300" s="1"/>
  <c r="R300"/>
  <c r="W300"/>
  <c r="X300" s="1"/>
  <c r="Y300" s="1"/>
  <c r="C299"/>
  <c r="D299" s="1"/>
  <c r="E299" s="1"/>
  <c r="G299"/>
  <c r="H299"/>
  <c r="K299"/>
  <c r="U299" s="1"/>
  <c r="R299"/>
  <c r="S299"/>
  <c r="W299"/>
  <c r="X299" s="1"/>
  <c r="Y299" s="1"/>
  <c r="C298"/>
  <c r="D298" s="1"/>
  <c r="E298" s="1"/>
  <c r="G298"/>
  <c r="S298" s="1"/>
  <c r="H298"/>
  <c r="K298"/>
  <c r="U298" s="1"/>
  <c r="R298"/>
  <c r="W298"/>
  <c r="X298" s="1"/>
  <c r="Y298" s="1"/>
  <c r="C297"/>
  <c r="D297" s="1"/>
  <c r="E297" s="1"/>
  <c r="G297"/>
  <c r="S297" s="1"/>
  <c r="H297"/>
  <c r="K297"/>
  <c r="U297" s="1"/>
  <c r="R297"/>
  <c r="W297"/>
  <c r="X297" s="1"/>
  <c r="Y297" s="1"/>
  <c r="E296"/>
  <c r="G296"/>
  <c r="S296" s="1"/>
  <c r="H296"/>
  <c r="K296"/>
  <c r="U296" s="1"/>
  <c r="R296"/>
  <c r="W296"/>
  <c r="X296" s="1"/>
  <c r="Y296" s="1"/>
  <c r="E295"/>
  <c r="G295"/>
  <c r="S295" s="1"/>
  <c r="H295"/>
  <c r="K295"/>
  <c r="U295" s="1"/>
  <c r="R295"/>
  <c r="W295"/>
  <c r="X295" s="1"/>
  <c r="Y295" s="1"/>
  <c r="C294"/>
  <c r="D294" s="1"/>
  <c r="E294" s="1"/>
  <c r="G294"/>
  <c r="S294" s="1"/>
  <c r="H294"/>
  <c r="K294"/>
  <c r="U294" s="1"/>
  <c r="R294"/>
  <c r="W294"/>
  <c r="X294" s="1"/>
  <c r="Y294" s="1"/>
  <c r="C293"/>
  <c r="D293" s="1"/>
  <c r="E293" s="1"/>
  <c r="G293"/>
  <c r="H293"/>
  <c r="K293"/>
  <c r="U293" s="1"/>
  <c r="R293"/>
  <c r="S293"/>
  <c r="W293"/>
  <c r="X293" s="1"/>
  <c r="Y293" s="1"/>
  <c r="C292"/>
  <c r="D292" s="1"/>
  <c r="E292" s="1"/>
  <c r="G292"/>
  <c r="S292" s="1"/>
  <c r="H292"/>
  <c r="K292"/>
  <c r="U292" s="1"/>
  <c r="R292"/>
  <c r="W292"/>
  <c r="X292" s="1"/>
  <c r="Y292" s="1"/>
  <c r="C291"/>
  <c r="D291" s="1"/>
  <c r="E291" s="1"/>
  <c r="G291"/>
  <c r="S291" s="1"/>
  <c r="H291"/>
  <c r="K291"/>
  <c r="U291" s="1"/>
  <c r="R291"/>
  <c r="W291"/>
  <c r="X291" s="1"/>
  <c r="Y291" s="1"/>
  <c r="C290"/>
  <c r="D290" s="1"/>
  <c r="E290" s="1"/>
  <c r="G290"/>
  <c r="S290" s="1"/>
  <c r="H290"/>
  <c r="K290"/>
  <c r="U290" s="1"/>
  <c r="R290"/>
  <c r="W290"/>
  <c r="X290" s="1"/>
  <c r="Y290" s="1"/>
  <c r="C289"/>
  <c r="D289" s="1"/>
  <c r="E289" s="1"/>
  <c r="G289"/>
  <c r="S289" s="1"/>
  <c r="H289"/>
  <c r="K289"/>
  <c r="U289" s="1"/>
  <c r="R289"/>
  <c r="W289"/>
  <c r="X289" s="1"/>
  <c r="Y289" s="1"/>
  <c r="C288"/>
  <c r="D288" s="1"/>
  <c r="E288" s="1"/>
  <c r="G288"/>
  <c r="S288" s="1"/>
  <c r="H288"/>
  <c r="K288"/>
  <c r="U288" s="1"/>
  <c r="R288"/>
  <c r="W288"/>
  <c r="X288" s="1"/>
  <c r="Y288" s="1"/>
  <c r="C287"/>
  <c r="D287" s="1"/>
  <c r="E287" s="1"/>
  <c r="G287"/>
  <c r="S287" s="1"/>
  <c r="H287"/>
  <c r="K287"/>
  <c r="U287" s="1"/>
  <c r="R287"/>
  <c r="W287"/>
  <c r="X287" s="1"/>
  <c r="Y287" s="1"/>
  <c r="C286"/>
  <c r="D286" s="1"/>
  <c r="E286" s="1"/>
  <c r="G286"/>
  <c r="H286"/>
  <c r="K286"/>
  <c r="U286" s="1"/>
  <c r="R286"/>
  <c r="S286"/>
  <c r="W286"/>
  <c r="X286" s="1"/>
  <c r="Y286" s="1"/>
  <c r="C285"/>
  <c r="D285" s="1"/>
  <c r="E285" s="1"/>
  <c r="G285"/>
  <c r="H285"/>
  <c r="K285"/>
  <c r="U285" s="1"/>
  <c r="R285"/>
  <c r="S285"/>
  <c r="W285"/>
  <c r="X285" s="1"/>
  <c r="Y285" s="1"/>
  <c r="C284"/>
  <c r="D284" s="1"/>
  <c r="E284" s="1"/>
  <c r="G284"/>
  <c r="S284" s="1"/>
  <c r="H284"/>
  <c r="K284"/>
  <c r="U284" s="1"/>
  <c r="R284"/>
  <c r="W284"/>
  <c r="X284" s="1"/>
  <c r="Y284" s="1"/>
  <c r="C283"/>
  <c r="D283" s="1"/>
  <c r="E283" s="1"/>
  <c r="G283"/>
  <c r="S283" s="1"/>
  <c r="H283"/>
  <c r="K283"/>
  <c r="U283" s="1"/>
  <c r="R283"/>
  <c r="W283"/>
  <c r="X283" s="1"/>
  <c r="Y283" s="1"/>
  <c r="C282"/>
  <c r="D282" s="1"/>
  <c r="E282" s="1"/>
  <c r="G282"/>
  <c r="H282"/>
  <c r="K282"/>
  <c r="U282" s="1"/>
  <c r="R282"/>
  <c r="S282"/>
  <c r="W282"/>
  <c r="X282" s="1"/>
  <c r="Y282" s="1"/>
  <c r="C281"/>
  <c r="D281" s="1"/>
  <c r="E281" s="1"/>
  <c r="G281"/>
  <c r="H281"/>
  <c r="K281"/>
  <c r="U281" s="1"/>
  <c r="R281"/>
  <c r="S281"/>
  <c r="W281"/>
  <c r="X281" s="1"/>
  <c r="Y281" s="1"/>
  <c r="E280"/>
  <c r="G280"/>
  <c r="H280"/>
  <c r="K280"/>
  <c r="U280" s="1"/>
  <c r="R280"/>
  <c r="S280"/>
  <c r="W280"/>
  <c r="X280" s="1"/>
  <c r="Y280" s="1"/>
  <c r="C279"/>
  <c r="D279" s="1"/>
  <c r="E279" s="1"/>
  <c r="G279"/>
  <c r="S279" s="1"/>
  <c r="H279"/>
  <c r="K279"/>
  <c r="U279" s="1"/>
  <c r="R279"/>
  <c r="W279"/>
  <c r="X279" s="1"/>
  <c r="Y279" s="1"/>
  <c r="C278"/>
  <c r="D278" s="1"/>
  <c r="E278" s="1"/>
  <c r="G278"/>
  <c r="S278" s="1"/>
  <c r="H278"/>
  <c r="K278"/>
  <c r="U278" s="1"/>
  <c r="R278"/>
  <c r="W278"/>
  <c r="X278" s="1"/>
  <c r="Y278" s="1"/>
  <c r="C277"/>
  <c r="D277" s="1"/>
  <c r="E277" s="1"/>
  <c r="G277"/>
  <c r="H277"/>
  <c r="K277"/>
  <c r="U277" s="1"/>
  <c r="R277"/>
  <c r="S277"/>
  <c r="W277"/>
  <c r="X277" s="1"/>
  <c r="Y277" s="1"/>
  <c r="C276"/>
  <c r="D276" s="1"/>
  <c r="E276" s="1"/>
  <c r="G276"/>
  <c r="H276"/>
  <c r="K276"/>
  <c r="U276" s="1"/>
  <c r="R276"/>
  <c r="S276"/>
  <c r="W276"/>
  <c r="X276" s="1"/>
  <c r="Y276" s="1"/>
  <c r="C275"/>
  <c r="D275" s="1"/>
  <c r="E275" s="1"/>
  <c r="G275"/>
  <c r="H275"/>
  <c r="K275"/>
  <c r="U275" s="1"/>
  <c r="R275"/>
  <c r="S275"/>
  <c r="W275"/>
  <c r="X275" s="1"/>
  <c r="Y275" s="1"/>
  <c r="C274"/>
  <c r="D274" s="1"/>
  <c r="E274" s="1"/>
  <c r="G274"/>
  <c r="S274" s="1"/>
  <c r="H274"/>
  <c r="K274"/>
  <c r="U274" s="1"/>
  <c r="R274"/>
  <c r="W274"/>
  <c r="X274" s="1"/>
  <c r="Y274" s="1"/>
  <c r="C273"/>
  <c r="D273" s="1"/>
  <c r="E273" s="1"/>
  <c r="G273"/>
  <c r="S273" s="1"/>
  <c r="H273"/>
  <c r="K273"/>
  <c r="U273" s="1"/>
  <c r="R273"/>
  <c r="W273"/>
  <c r="X273" s="1"/>
  <c r="Y273" s="1"/>
  <c r="E272"/>
  <c r="G272"/>
  <c r="H272"/>
  <c r="K272"/>
  <c r="U272" s="1"/>
  <c r="R272"/>
  <c r="S272"/>
  <c r="W272"/>
  <c r="X272" s="1"/>
  <c r="Y272" s="1"/>
  <c r="C271"/>
  <c r="D271" s="1"/>
  <c r="E271" s="1"/>
  <c r="G271"/>
  <c r="S271" s="1"/>
  <c r="H271"/>
  <c r="K271"/>
  <c r="U271" s="1"/>
  <c r="R271"/>
  <c r="W271"/>
  <c r="X271" s="1"/>
  <c r="Y271" s="1"/>
  <c r="C270"/>
  <c r="D270" s="1"/>
  <c r="E270" s="1"/>
  <c r="G270"/>
  <c r="H270"/>
  <c r="K270"/>
  <c r="U270" s="1"/>
  <c r="R270"/>
  <c r="S270"/>
  <c r="W270"/>
  <c r="X270" s="1"/>
  <c r="Y270" s="1"/>
  <c r="C269"/>
  <c r="D269" s="1"/>
  <c r="E269" s="1"/>
  <c r="G269"/>
  <c r="S269" s="1"/>
  <c r="H269"/>
  <c r="K269"/>
  <c r="U269" s="1"/>
  <c r="R269"/>
  <c r="W269"/>
  <c r="X269" s="1"/>
  <c r="Y269" s="1"/>
  <c r="C268"/>
  <c r="D268" s="1"/>
  <c r="E268" s="1"/>
  <c r="G268"/>
  <c r="S268" s="1"/>
  <c r="H268"/>
  <c r="K268"/>
  <c r="U268" s="1"/>
  <c r="R268"/>
  <c r="W268"/>
  <c r="X268" s="1"/>
  <c r="Y268" s="1"/>
  <c r="C267"/>
  <c r="D267" s="1"/>
  <c r="E267" s="1"/>
  <c r="G267"/>
  <c r="S267" s="1"/>
  <c r="H267"/>
  <c r="K267"/>
  <c r="U267" s="1"/>
  <c r="R267"/>
  <c r="W267"/>
  <c r="X267" s="1"/>
  <c r="Y267" s="1"/>
  <c r="C266"/>
  <c r="D266" s="1"/>
  <c r="E266" s="1"/>
  <c r="G266"/>
  <c r="H266"/>
  <c r="K266"/>
  <c r="U266" s="1"/>
  <c r="R266"/>
  <c r="S266"/>
  <c r="W266"/>
  <c r="X266" s="1"/>
  <c r="Y266" s="1"/>
  <c r="C265"/>
  <c r="D265" s="1"/>
  <c r="E265" s="1"/>
  <c r="G265"/>
  <c r="H265"/>
  <c r="K265"/>
  <c r="U265" s="1"/>
  <c r="R265"/>
  <c r="S265"/>
  <c r="W265"/>
  <c r="X265" s="1"/>
  <c r="Y265" s="1"/>
  <c r="C264"/>
  <c r="D264" s="1"/>
  <c r="E264" s="1"/>
  <c r="G264"/>
  <c r="S264" s="1"/>
  <c r="H264"/>
  <c r="K264"/>
  <c r="U264" s="1"/>
  <c r="R264"/>
  <c r="W264"/>
  <c r="X264" s="1"/>
  <c r="Y264" s="1"/>
  <c r="C263"/>
  <c r="D263" s="1"/>
  <c r="E263" s="1"/>
  <c r="G263"/>
  <c r="S263" s="1"/>
  <c r="H263"/>
  <c r="K263"/>
  <c r="U263" s="1"/>
  <c r="R263"/>
  <c r="W263"/>
  <c r="X263" s="1"/>
  <c r="Y263" s="1"/>
  <c r="C262"/>
  <c r="D262" s="1"/>
  <c r="E262" s="1"/>
  <c r="G262"/>
  <c r="S262" s="1"/>
  <c r="H262"/>
  <c r="K262"/>
  <c r="U262" s="1"/>
  <c r="R262"/>
  <c r="W262"/>
  <c r="X262" s="1"/>
  <c r="Y262" s="1"/>
  <c r="C261"/>
  <c r="D261" s="1"/>
  <c r="E261" s="1"/>
  <c r="G261"/>
  <c r="H261"/>
  <c r="K261"/>
  <c r="U261" s="1"/>
  <c r="R261"/>
  <c r="S261"/>
  <c r="W261"/>
  <c r="X261" s="1"/>
  <c r="Y261" s="1"/>
  <c r="C260"/>
  <c r="D260" s="1"/>
  <c r="E260" s="1"/>
  <c r="G260"/>
  <c r="S260" s="1"/>
  <c r="H260"/>
  <c r="K260"/>
  <c r="U260" s="1"/>
  <c r="R260"/>
  <c r="W260"/>
  <c r="X260" s="1"/>
  <c r="Y260" s="1"/>
  <c r="C259"/>
  <c r="D259" s="1"/>
  <c r="E259" s="1"/>
  <c r="G259"/>
  <c r="S259" s="1"/>
  <c r="H259"/>
  <c r="K259"/>
  <c r="U259" s="1"/>
  <c r="R259"/>
  <c r="W259"/>
  <c r="X259" s="1"/>
  <c r="Y259" s="1"/>
  <c r="C258"/>
  <c r="D258" s="1"/>
  <c r="E258" s="1"/>
  <c r="G258"/>
  <c r="S258" s="1"/>
  <c r="H258"/>
  <c r="K258"/>
  <c r="U258" s="1"/>
  <c r="R258"/>
  <c r="W258"/>
  <c r="X258" s="1"/>
  <c r="Y258" s="1"/>
  <c r="C257"/>
  <c r="D257" s="1"/>
  <c r="E257" s="1"/>
  <c r="G257"/>
  <c r="S257" s="1"/>
  <c r="H257"/>
  <c r="K257"/>
  <c r="U257" s="1"/>
  <c r="R257"/>
  <c r="W257"/>
  <c r="X257" s="1"/>
  <c r="Y257" s="1"/>
  <c r="C256"/>
  <c r="D256" s="1"/>
  <c r="E256" s="1"/>
  <c r="G256"/>
  <c r="H256"/>
  <c r="K256"/>
  <c r="U256" s="1"/>
  <c r="R256"/>
  <c r="S256"/>
  <c r="W256"/>
  <c r="X256" s="1"/>
  <c r="Y256" s="1"/>
  <c r="C255"/>
  <c r="D255" s="1"/>
  <c r="E255" s="1"/>
  <c r="G255"/>
  <c r="S255" s="1"/>
  <c r="H255"/>
  <c r="K255"/>
  <c r="U255" s="1"/>
  <c r="R255"/>
  <c r="W255"/>
  <c r="X255" s="1"/>
  <c r="Y255" s="1"/>
  <c r="C254"/>
  <c r="D254" s="1"/>
  <c r="E254" s="1"/>
  <c r="G254"/>
  <c r="H254"/>
  <c r="K254"/>
  <c r="U254" s="1"/>
  <c r="R254"/>
  <c r="S254"/>
  <c r="W254"/>
  <c r="X254" s="1"/>
  <c r="Y254" s="1"/>
  <c r="C253"/>
  <c r="D253" s="1"/>
  <c r="E253" s="1"/>
  <c r="G253"/>
  <c r="S253" s="1"/>
  <c r="H253"/>
  <c r="K253"/>
  <c r="U253" s="1"/>
  <c r="R253"/>
  <c r="W253"/>
  <c r="X253" s="1"/>
  <c r="Y253" s="1"/>
  <c r="C252"/>
  <c r="D252" s="1"/>
  <c r="E252" s="1"/>
  <c r="G252"/>
  <c r="H252"/>
  <c r="K252"/>
  <c r="U252" s="1"/>
  <c r="R252"/>
  <c r="S252"/>
  <c r="W252"/>
  <c r="X252" s="1"/>
  <c r="Y252" s="1"/>
  <c r="E52"/>
  <c r="E50"/>
  <c r="E51"/>
  <c r="C7" i="143"/>
  <c r="D7" s="1"/>
  <c r="E7" s="1"/>
  <c r="C8"/>
  <c r="D8" s="1"/>
  <c r="E8" s="1"/>
  <c r="C9"/>
  <c r="D9" s="1"/>
  <c r="E9" s="1"/>
  <c r="C10"/>
  <c r="D10" s="1"/>
  <c r="E10" s="1"/>
  <c r="C11"/>
  <c r="D11" s="1"/>
  <c r="E11" s="1"/>
  <c r="C12"/>
  <c r="D12" s="1"/>
  <c r="E12" s="1"/>
  <c r="C13"/>
  <c r="D13" s="1"/>
  <c r="E13" s="1"/>
  <c r="C14"/>
  <c r="D14" s="1"/>
  <c r="E14" s="1"/>
  <c r="C16"/>
  <c r="D16" s="1"/>
  <c r="E16" s="1"/>
  <c r="C17"/>
  <c r="D17" s="1"/>
  <c r="E17" s="1"/>
  <c r="C18"/>
  <c r="D18" s="1"/>
  <c r="E18" s="1"/>
  <c r="C20"/>
  <c r="D20" s="1"/>
  <c r="E20" s="1"/>
  <c r="C21"/>
  <c r="D21" s="1"/>
  <c r="E21" s="1"/>
  <c r="C22"/>
  <c r="D22" s="1"/>
  <c r="E22" s="1"/>
  <c r="C23"/>
  <c r="D23" s="1"/>
  <c r="E23" s="1"/>
  <c r="C24"/>
  <c r="D24" s="1"/>
  <c r="E24" s="1"/>
  <c r="C25"/>
  <c r="D25" s="1"/>
  <c r="E25" s="1"/>
  <c r="C26"/>
  <c r="D26" s="1"/>
  <c r="E26" s="1"/>
  <c r="C27"/>
  <c r="D27" s="1"/>
  <c r="E27" s="1"/>
  <c r="C28"/>
  <c r="D28" s="1"/>
  <c r="E28" s="1"/>
  <c r="C29"/>
  <c r="D29" s="1"/>
  <c r="E29" s="1"/>
  <c r="C30"/>
  <c r="D30" s="1"/>
  <c r="E30" s="1"/>
  <c r="C31"/>
  <c r="D31" s="1"/>
  <c r="E31" s="1"/>
  <c r="C32"/>
  <c r="D32" s="1"/>
  <c r="E32" s="1"/>
  <c r="C33"/>
  <c r="D33" s="1"/>
  <c r="E33" s="1"/>
  <c r="C34"/>
  <c r="D34" s="1"/>
  <c r="E34" s="1"/>
  <c r="C35"/>
  <c r="D35" s="1"/>
  <c r="E35" s="1"/>
  <c r="E36"/>
  <c r="E37"/>
  <c r="C38"/>
  <c r="D38" s="1"/>
  <c r="E38" s="1"/>
  <c r="C39"/>
  <c r="D39" s="1"/>
  <c r="E39" s="1"/>
  <c r="C40"/>
  <c r="D40" s="1"/>
  <c r="E40" s="1"/>
  <c r="C41"/>
  <c r="D41" s="1"/>
  <c r="E41" s="1"/>
  <c r="C42"/>
  <c r="D42" s="1"/>
  <c r="E42" s="1"/>
  <c r="C44"/>
  <c r="D44" s="1"/>
  <c r="E44" s="1"/>
  <c r="C45"/>
  <c r="D45" s="1"/>
  <c r="E45" s="1"/>
  <c r="C46"/>
  <c r="D46" s="1"/>
  <c r="E46" s="1"/>
  <c r="C47"/>
  <c r="D47" s="1"/>
  <c r="E47" s="1"/>
  <c r="C48"/>
  <c r="D48" s="1"/>
  <c r="E48" s="1"/>
  <c r="C49"/>
  <c r="D49" s="1"/>
  <c r="E49" s="1"/>
  <c r="C50"/>
  <c r="D50" s="1"/>
  <c r="E50" s="1"/>
  <c r="C51"/>
  <c r="D51" s="1"/>
  <c r="E51" s="1"/>
  <c r="C52"/>
  <c r="D52" s="1"/>
  <c r="E52" s="1"/>
  <c r="C53"/>
  <c r="D53" s="1"/>
  <c r="E53" s="1"/>
  <c r="C54"/>
  <c r="D54" s="1"/>
  <c r="E54" s="1"/>
  <c r="C55"/>
  <c r="D55" s="1"/>
  <c r="E55" s="1"/>
  <c r="C56"/>
  <c r="D56" s="1"/>
  <c r="E56" s="1"/>
  <c r="C57"/>
  <c r="D57" s="1"/>
  <c r="E57" s="1"/>
  <c r="C58"/>
  <c r="D58" s="1"/>
  <c r="E58" s="1"/>
  <c r="C59"/>
  <c r="D59" s="1"/>
  <c r="E59" s="1"/>
  <c r="C60"/>
  <c r="D60" s="1"/>
  <c r="E60" s="1"/>
  <c r="C61"/>
  <c r="D61" s="1"/>
  <c r="E61" s="1"/>
  <c r="C62"/>
  <c r="D62" s="1"/>
  <c r="E62" s="1"/>
  <c r="C64"/>
  <c r="D64" s="1"/>
  <c r="E64" s="1"/>
  <c r="C65"/>
  <c r="D65" s="1"/>
  <c r="E65" s="1"/>
  <c r="C66"/>
  <c r="D66" s="1"/>
  <c r="E66" s="1"/>
  <c r="C67"/>
  <c r="D67" s="1"/>
  <c r="E67" s="1"/>
  <c r="C68"/>
  <c r="D68" s="1"/>
  <c r="E68" s="1"/>
  <c r="C69"/>
  <c r="D69" s="1"/>
  <c r="E69" s="1"/>
  <c r="C70"/>
  <c r="D70" s="1"/>
  <c r="E70" s="1"/>
  <c r="C71"/>
  <c r="D71" s="1"/>
  <c r="E71" s="1"/>
  <c r="C72"/>
  <c r="D72" s="1"/>
  <c r="E72" s="1"/>
  <c r="C73"/>
  <c r="D73" s="1"/>
  <c r="E73" s="1"/>
  <c r="C74"/>
  <c r="D74" s="1"/>
  <c r="E74" s="1"/>
  <c r="C75"/>
  <c r="D75" s="1"/>
  <c r="E75" s="1"/>
  <c r="C76"/>
  <c r="D76" s="1"/>
  <c r="E76" s="1"/>
  <c r="C77"/>
  <c r="D77" s="1"/>
  <c r="E77" s="1"/>
  <c r="C78"/>
  <c r="D78" s="1"/>
  <c r="E78" s="1"/>
  <c r="C79"/>
  <c r="D79" s="1"/>
  <c r="E79" s="1"/>
  <c r="C80"/>
  <c r="D80" s="1"/>
  <c r="E80" s="1"/>
  <c r="C82"/>
  <c r="D82" s="1"/>
  <c r="E82" s="1"/>
  <c r="C83"/>
  <c r="D83" s="1"/>
  <c r="E83" s="1"/>
  <c r="C85"/>
  <c r="D85" s="1"/>
  <c r="E85" s="1"/>
  <c r="C86"/>
  <c r="D86" s="1"/>
  <c r="E86" s="1"/>
  <c r="C87"/>
  <c r="D87" s="1"/>
  <c r="E87" s="1"/>
  <c r="C88"/>
  <c r="D88" s="1"/>
  <c r="E88" s="1"/>
  <c r="C89"/>
  <c r="D89" s="1"/>
  <c r="E89" s="1"/>
  <c r="C90"/>
  <c r="D90" s="1"/>
  <c r="E90" s="1"/>
  <c r="C92"/>
  <c r="D92" s="1"/>
  <c r="E92" s="1"/>
  <c r="C93"/>
  <c r="D93" s="1"/>
  <c r="E93" s="1"/>
  <c r="C95"/>
  <c r="D95" s="1"/>
  <c r="E95" s="1"/>
  <c r="C96"/>
  <c r="D96" s="1"/>
  <c r="E96" s="1"/>
  <c r="C97"/>
  <c r="D97" s="1"/>
  <c r="E97" s="1"/>
  <c r="C98"/>
  <c r="D98" s="1"/>
  <c r="E98" s="1"/>
  <c r="C99"/>
  <c r="D99" s="1"/>
  <c r="E99" s="1"/>
  <c r="C100"/>
  <c r="D100" s="1"/>
  <c r="E100" s="1"/>
  <c r="C101"/>
  <c r="D101" s="1"/>
  <c r="E101" s="1"/>
  <c r="C103"/>
  <c r="D103" s="1"/>
  <c r="E103" s="1"/>
  <c r="C105"/>
  <c r="D105" s="1"/>
  <c r="E105" s="1"/>
  <c r="C106"/>
  <c r="D106" s="1"/>
  <c r="E106" s="1"/>
  <c r="C107"/>
  <c r="D107" s="1"/>
  <c r="E107" s="1"/>
  <c r="C108"/>
  <c r="D108" s="1"/>
  <c r="E108" s="1"/>
  <c r="C109"/>
  <c r="D109" s="1"/>
  <c r="E109" s="1"/>
  <c r="C111"/>
  <c r="D111" s="1"/>
  <c r="E111" s="1"/>
  <c r="C112"/>
  <c r="D112" s="1"/>
  <c r="E112" s="1"/>
  <c r="C113"/>
  <c r="D113" s="1"/>
  <c r="E113" s="1"/>
  <c r="C114"/>
  <c r="D114" s="1"/>
  <c r="E114" s="1"/>
  <c r="C116"/>
  <c r="D116" s="1"/>
  <c r="E116" s="1"/>
  <c r="C117"/>
  <c r="D117" s="1"/>
  <c r="E117" s="1"/>
  <c r="C118"/>
  <c r="D118" s="1"/>
  <c r="E118" s="1"/>
  <c r="C119"/>
  <c r="D119" s="1"/>
  <c r="E119" s="1"/>
  <c r="C120"/>
  <c r="D120" s="1"/>
  <c r="E120" s="1"/>
  <c r="C121"/>
  <c r="D121" s="1"/>
  <c r="E121" s="1"/>
  <c r="C122"/>
  <c r="D122" s="1"/>
  <c r="E122" s="1"/>
  <c r="C123"/>
  <c r="D123" s="1"/>
  <c r="E123" s="1"/>
  <c r="C124"/>
  <c r="D124" s="1"/>
  <c r="E124" s="1"/>
  <c r="C125"/>
  <c r="D125" s="1"/>
  <c r="E125" s="1"/>
  <c r="C126"/>
  <c r="D126" s="1"/>
  <c r="E126" s="1"/>
  <c r="C127"/>
  <c r="D127" s="1"/>
  <c r="E127" s="1"/>
  <c r="C128"/>
  <c r="D128" s="1"/>
  <c r="E128" s="1"/>
  <c r="C129"/>
  <c r="D129" s="1"/>
  <c r="E129" s="1"/>
  <c r="C130"/>
  <c r="D130" s="1"/>
  <c r="E130" s="1"/>
  <c r="C131"/>
  <c r="D131" s="1"/>
  <c r="E131" s="1"/>
  <c r="C132"/>
  <c r="D132" s="1"/>
  <c r="E132" s="1"/>
  <c r="C133"/>
  <c r="D133" s="1"/>
  <c r="E133" s="1"/>
  <c r="C134"/>
  <c r="D134" s="1"/>
  <c r="E134" s="1"/>
  <c r="C135"/>
  <c r="D135" s="1"/>
  <c r="E135" s="1"/>
  <c r="C136"/>
  <c r="D136" s="1"/>
  <c r="E136" s="1"/>
  <c r="C137"/>
  <c r="D137" s="1"/>
  <c r="E137" s="1"/>
  <c r="C138"/>
  <c r="D138" s="1"/>
  <c r="E138" s="1"/>
  <c r="C139"/>
  <c r="D139" s="1"/>
  <c r="E139" s="1"/>
  <c r="C140"/>
  <c r="D140" s="1"/>
  <c r="E140" s="1"/>
  <c r="C141"/>
  <c r="D141" s="1"/>
  <c r="E141" s="1"/>
  <c r="C142"/>
  <c r="D142" s="1"/>
  <c r="E142" s="1"/>
  <c r="C143"/>
  <c r="D143" s="1"/>
  <c r="E143" s="1"/>
  <c r="C144"/>
  <c r="D144" s="1"/>
  <c r="E144" s="1"/>
  <c r="C145"/>
  <c r="D145" s="1"/>
  <c r="E145" s="1"/>
  <c r="C146"/>
  <c r="D146" s="1"/>
  <c r="E146" s="1"/>
  <c r="C148"/>
  <c r="D148" s="1"/>
  <c r="E148" s="1"/>
  <c r="C149"/>
  <c r="D149" s="1"/>
  <c r="E149" s="1"/>
  <c r="C150"/>
  <c r="D150" s="1"/>
  <c r="E150" s="1"/>
  <c r="C151"/>
  <c r="D151" s="1"/>
  <c r="E151" s="1"/>
  <c r="C152"/>
  <c r="D152" s="1"/>
  <c r="E152" s="1"/>
  <c r="C153"/>
  <c r="D153" s="1"/>
  <c r="E153" s="1"/>
  <c r="C154"/>
  <c r="D154" s="1"/>
  <c r="E154" s="1"/>
  <c r="C155"/>
  <c r="D155" s="1"/>
  <c r="E155" s="1"/>
  <c r="C158"/>
  <c r="D158" s="1"/>
  <c r="E158" s="1"/>
  <c r="C159"/>
  <c r="D159" s="1"/>
  <c r="E159" s="1"/>
  <c r="C160"/>
  <c r="D160" s="1"/>
  <c r="E160" s="1"/>
  <c r="C161"/>
  <c r="D161" s="1"/>
  <c r="E161" s="1"/>
  <c r="C162"/>
  <c r="D162" s="1"/>
  <c r="E162" s="1"/>
  <c r="C163"/>
  <c r="D163" s="1"/>
  <c r="E163" s="1"/>
  <c r="C164"/>
  <c r="D164" s="1"/>
  <c r="E164" s="1"/>
  <c r="C165"/>
  <c r="D165" s="1"/>
  <c r="E165" s="1"/>
  <c r="C166"/>
  <c r="D166" s="1"/>
  <c r="E166" s="1"/>
  <c r="C167"/>
  <c r="D167" s="1"/>
  <c r="E167" s="1"/>
  <c r="C168"/>
  <c r="D168" s="1"/>
  <c r="E168" s="1"/>
  <c r="C169"/>
  <c r="D169" s="1"/>
  <c r="E169" s="1"/>
  <c r="C170"/>
  <c r="D170" s="1"/>
  <c r="E170" s="1"/>
  <c r="E171"/>
  <c r="C172"/>
  <c r="D172" s="1"/>
  <c r="E172" s="1"/>
  <c r="C173"/>
  <c r="D173" s="1"/>
  <c r="E173" s="1"/>
  <c r="C174"/>
  <c r="D174" s="1"/>
  <c r="E174" s="1"/>
  <c r="C175"/>
  <c r="D175" s="1"/>
  <c r="E175" s="1"/>
  <c r="C176"/>
  <c r="D176" s="1"/>
  <c r="E176" s="1"/>
  <c r="C177"/>
  <c r="D177" s="1"/>
  <c r="E177" s="1"/>
  <c r="C178"/>
  <c r="D178" s="1"/>
  <c r="E178" s="1"/>
  <c r="C179"/>
  <c r="D179" s="1"/>
  <c r="E179" s="1"/>
  <c r="C180"/>
  <c r="D180" s="1"/>
  <c r="E180" s="1"/>
  <c r="E181"/>
  <c r="C182"/>
  <c r="D182" s="1"/>
  <c r="E182" s="1"/>
  <c r="C183"/>
  <c r="D183" s="1"/>
  <c r="E183" s="1"/>
  <c r="C184"/>
  <c r="D184" s="1"/>
  <c r="E184" s="1"/>
  <c r="C185"/>
  <c r="D185" s="1"/>
  <c r="E185" s="1"/>
  <c r="C186"/>
  <c r="D186" s="1"/>
  <c r="E186" s="1"/>
  <c r="E187"/>
  <c r="C188"/>
  <c r="D188" s="1"/>
  <c r="E188" s="1"/>
  <c r="E189"/>
  <c r="C190"/>
  <c r="D190" s="1"/>
  <c r="E190" s="1"/>
  <c r="C191"/>
  <c r="D191" s="1"/>
  <c r="E191" s="1"/>
  <c r="C192"/>
  <c r="D192" s="1"/>
  <c r="E192" s="1"/>
  <c r="C193"/>
  <c r="D193" s="1"/>
  <c r="E193" s="1"/>
  <c r="C194"/>
  <c r="D194" s="1"/>
  <c r="E194" s="1"/>
  <c r="C195"/>
  <c r="D195" s="1"/>
  <c r="E195" s="1"/>
  <c r="C196"/>
  <c r="D196" s="1"/>
  <c r="E196" s="1"/>
  <c r="C197"/>
  <c r="D197" s="1"/>
  <c r="E197" s="1"/>
  <c r="C206"/>
  <c r="D206" s="1"/>
  <c r="E206" s="1"/>
  <c r="C207"/>
  <c r="D207" s="1"/>
  <c r="E207" s="1"/>
  <c r="C208"/>
  <c r="D208" s="1"/>
  <c r="E208" s="1"/>
  <c r="C209"/>
  <c r="D209" s="1"/>
  <c r="E209" s="1"/>
  <c r="C210"/>
  <c r="D210" s="1"/>
  <c r="E210" s="1"/>
  <c r="C211"/>
  <c r="D211" s="1"/>
  <c r="E211" s="1"/>
  <c r="C212"/>
  <c r="D212" s="1"/>
  <c r="E212" s="1"/>
  <c r="C213"/>
  <c r="D213" s="1"/>
  <c r="E213" s="1"/>
  <c r="C214"/>
  <c r="D214" s="1"/>
  <c r="E214" s="1"/>
  <c r="C215"/>
  <c r="D215" s="1"/>
  <c r="E215" s="1"/>
  <c r="C216"/>
  <c r="D216" s="1"/>
  <c r="E216" s="1"/>
  <c r="C217"/>
  <c r="D217" s="1"/>
  <c r="E217" s="1"/>
  <c r="C218"/>
  <c r="D218" s="1"/>
  <c r="E218" s="1"/>
  <c r="C219"/>
  <c r="D219" s="1"/>
  <c r="E219" s="1"/>
  <c r="C220"/>
  <c r="D220" s="1"/>
  <c r="E220" s="1"/>
  <c r="C221"/>
  <c r="D221" s="1"/>
  <c r="E221" s="1"/>
  <c r="E222"/>
  <c r="C223"/>
  <c r="D223" s="1"/>
  <c r="E223" s="1"/>
  <c r="E224"/>
  <c r="C225"/>
  <c r="D225" s="1"/>
  <c r="E225" s="1"/>
  <c r="C226"/>
  <c r="D226" s="1"/>
  <c r="E226" s="1"/>
  <c r="C227"/>
  <c r="D227" s="1"/>
  <c r="E227" s="1"/>
  <c r="C228"/>
  <c r="D228" s="1"/>
  <c r="E228" s="1"/>
  <c r="C229"/>
  <c r="D229" s="1"/>
  <c r="E229" s="1"/>
  <c r="C230"/>
  <c r="D230" s="1"/>
  <c r="E230" s="1"/>
  <c r="E231"/>
  <c r="C232"/>
  <c r="D232" s="1"/>
  <c r="E232" s="1"/>
  <c r="C233"/>
  <c r="D233" s="1"/>
  <c r="E233" s="1"/>
  <c r="E15"/>
  <c r="E19"/>
  <c r="E43"/>
  <c r="D102"/>
  <c r="E102" s="1"/>
  <c r="E104"/>
  <c r="E110"/>
  <c r="E115"/>
  <c r="E6"/>
  <c r="E63"/>
  <c r="E81"/>
  <c r="E84"/>
  <c r="E91"/>
  <c r="E94"/>
  <c r="E147"/>
  <c r="E156"/>
  <c r="E157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K6"/>
  <c r="U6" s="1"/>
  <c r="K7"/>
  <c r="U7" s="1"/>
  <c r="K8"/>
  <c r="U8" s="1"/>
  <c r="K9"/>
  <c r="U9" s="1"/>
  <c r="K10"/>
  <c r="U10" s="1"/>
  <c r="K11"/>
  <c r="U11" s="1"/>
  <c r="K12"/>
  <c r="U12" s="1"/>
  <c r="K13"/>
  <c r="U13" s="1"/>
  <c r="K14"/>
  <c r="U14" s="1"/>
  <c r="K15"/>
  <c r="U15" s="1"/>
  <c r="K16"/>
  <c r="U16" s="1"/>
  <c r="K17"/>
  <c r="U17" s="1"/>
  <c r="K18"/>
  <c r="U18" s="1"/>
  <c r="K19"/>
  <c r="U19" s="1"/>
  <c r="K20"/>
  <c r="U20" s="1"/>
  <c r="K21"/>
  <c r="U21" s="1"/>
  <c r="K22"/>
  <c r="U22" s="1"/>
  <c r="K23"/>
  <c r="U23" s="1"/>
  <c r="K24"/>
  <c r="U24" s="1"/>
  <c r="K25"/>
  <c r="U25" s="1"/>
  <c r="K26"/>
  <c r="U26" s="1"/>
  <c r="K27"/>
  <c r="U27" s="1"/>
  <c r="K28"/>
  <c r="U28" s="1"/>
  <c r="K29"/>
  <c r="U29" s="1"/>
  <c r="K30"/>
  <c r="U30" s="1"/>
  <c r="K31"/>
  <c r="U31" s="1"/>
  <c r="K32"/>
  <c r="U32" s="1"/>
  <c r="K33"/>
  <c r="U33" s="1"/>
  <c r="K34"/>
  <c r="U34" s="1"/>
  <c r="K35"/>
  <c r="U35" s="1"/>
  <c r="K36"/>
  <c r="U36" s="1"/>
  <c r="K37"/>
  <c r="U37" s="1"/>
  <c r="K38"/>
  <c r="U38" s="1"/>
  <c r="K39"/>
  <c r="U39" s="1"/>
  <c r="K40"/>
  <c r="U40" s="1"/>
  <c r="K41"/>
  <c r="U41" s="1"/>
  <c r="K42"/>
  <c r="U42" s="1"/>
  <c r="K43"/>
  <c r="U43" s="1"/>
  <c r="K44"/>
  <c r="U44" s="1"/>
  <c r="K45"/>
  <c r="U45" s="1"/>
  <c r="K46"/>
  <c r="U46" s="1"/>
  <c r="K47"/>
  <c r="U47" s="1"/>
  <c r="K48"/>
  <c r="U48" s="1"/>
  <c r="K49"/>
  <c r="U49" s="1"/>
  <c r="K50"/>
  <c r="U50" s="1"/>
  <c r="K51"/>
  <c r="U51" s="1"/>
  <c r="K52"/>
  <c r="U52" s="1"/>
  <c r="K53"/>
  <c r="U53" s="1"/>
  <c r="K54"/>
  <c r="U54" s="1"/>
  <c r="K55"/>
  <c r="U55" s="1"/>
  <c r="K56"/>
  <c r="U56" s="1"/>
  <c r="K57"/>
  <c r="U57" s="1"/>
  <c r="K58"/>
  <c r="U58" s="1"/>
  <c r="K59"/>
  <c r="U59" s="1"/>
  <c r="K60"/>
  <c r="U60" s="1"/>
  <c r="K61"/>
  <c r="U61" s="1"/>
  <c r="K62"/>
  <c r="U62" s="1"/>
  <c r="K63"/>
  <c r="U63" s="1"/>
  <c r="K64"/>
  <c r="U64" s="1"/>
  <c r="K65"/>
  <c r="U65" s="1"/>
  <c r="K66"/>
  <c r="U66" s="1"/>
  <c r="K67"/>
  <c r="U67" s="1"/>
  <c r="K68"/>
  <c r="U68" s="1"/>
  <c r="K69"/>
  <c r="U69" s="1"/>
  <c r="K70"/>
  <c r="U70" s="1"/>
  <c r="K71"/>
  <c r="U71" s="1"/>
  <c r="K72"/>
  <c r="U72" s="1"/>
  <c r="K73"/>
  <c r="U73" s="1"/>
  <c r="K74"/>
  <c r="U74" s="1"/>
  <c r="K75"/>
  <c r="U75" s="1"/>
  <c r="K76"/>
  <c r="U76" s="1"/>
  <c r="K77"/>
  <c r="U77" s="1"/>
  <c r="K78"/>
  <c r="U78" s="1"/>
  <c r="K79"/>
  <c r="U79" s="1"/>
  <c r="K80"/>
  <c r="U80" s="1"/>
  <c r="K81"/>
  <c r="U81" s="1"/>
  <c r="K82"/>
  <c r="U82" s="1"/>
  <c r="K83"/>
  <c r="U83" s="1"/>
  <c r="K84"/>
  <c r="U84" s="1"/>
  <c r="K85"/>
  <c r="U85" s="1"/>
  <c r="K86"/>
  <c r="U86" s="1"/>
  <c r="K87"/>
  <c r="U87" s="1"/>
  <c r="K88"/>
  <c r="U88" s="1"/>
  <c r="K89"/>
  <c r="U89" s="1"/>
  <c r="K90"/>
  <c r="U90" s="1"/>
  <c r="K91"/>
  <c r="U91" s="1"/>
  <c r="K92"/>
  <c r="U92" s="1"/>
  <c r="K93"/>
  <c r="U93" s="1"/>
  <c r="K94"/>
  <c r="U94" s="1"/>
  <c r="K95"/>
  <c r="U95" s="1"/>
  <c r="K96"/>
  <c r="U96" s="1"/>
  <c r="K97"/>
  <c r="U97" s="1"/>
  <c r="K98"/>
  <c r="U98" s="1"/>
  <c r="K99"/>
  <c r="U99" s="1"/>
  <c r="K100"/>
  <c r="U100" s="1"/>
  <c r="K101"/>
  <c r="U101" s="1"/>
  <c r="K102"/>
  <c r="U102" s="1"/>
  <c r="K103"/>
  <c r="U103" s="1"/>
  <c r="K104"/>
  <c r="U104" s="1"/>
  <c r="K105"/>
  <c r="U105" s="1"/>
  <c r="K106"/>
  <c r="U106" s="1"/>
  <c r="K107"/>
  <c r="U107" s="1"/>
  <c r="K108"/>
  <c r="U108" s="1"/>
  <c r="K109"/>
  <c r="U109" s="1"/>
  <c r="K110"/>
  <c r="U110" s="1"/>
  <c r="K111"/>
  <c r="U111" s="1"/>
  <c r="K112"/>
  <c r="U112" s="1"/>
  <c r="K113"/>
  <c r="U113" s="1"/>
  <c r="K114"/>
  <c r="U114" s="1"/>
  <c r="K115"/>
  <c r="U115" s="1"/>
  <c r="K116"/>
  <c r="U116" s="1"/>
  <c r="K117"/>
  <c r="U117" s="1"/>
  <c r="K118"/>
  <c r="U118" s="1"/>
  <c r="K119"/>
  <c r="U119" s="1"/>
  <c r="K120"/>
  <c r="U120" s="1"/>
  <c r="K121"/>
  <c r="U121" s="1"/>
  <c r="K122"/>
  <c r="U122" s="1"/>
  <c r="K123"/>
  <c r="U123" s="1"/>
  <c r="K124"/>
  <c r="U124" s="1"/>
  <c r="K125"/>
  <c r="U125" s="1"/>
  <c r="K126"/>
  <c r="U126" s="1"/>
  <c r="K127"/>
  <c r="U127" s="1"/>
  <c r="K128"/>
  <c r="U128" s="1"/>
  <c r="K129"/>
  <c r="U129" s="1"/>
  <c r="K130"/>
  <c r="U130" s="1"/>
  <c r="K131"/>
  <c r="U131" s="1"/>
  <c r="K132"/>
  <c r="U132" s="1"/>
  <c r="K133"/>
  <c r="U133" s="1"/>
  <c r="K134"/>
  <c r="U134" s="1"/>
  <c r="K135"/>
  <c r="U135" s="1"/>
  <c r="K136"/>
  <c r="U136" s="1"/>
  <c r="K137"/>
  <c r="U137" s="1"/>
  <c r="K138"/>
  <c r="U138" s="1"/>
  <c r="K139"/>
  <c r="U139" s="1"/>
  <c r="K140"/>
  <c r="U140" s="1"/>
  <c r="K141"/>
  <c r="U141" s="1"/>
  <c r="K142"/>
  <c r="U142" s="1"/>
  <c r="K143"/>
  <c r="U143" s="1"/>
  <c r="K144"/>
  <c r="U144" s="1"/>
  <c r="K145"/>
  <c r="U145" s="1"/>
  <c r="K146"/>
  <c r="U146" s="1"/>
  <c r="K147"/>
  <c r="U147" s="1"/>
  <c r="K148"/>
  <c r="U148" s="1"/>
  <c r="K149"/>
  <c r="U149" s="1"/>
  <c r="K150"/>
  <c r="U150" s="1"/>
  <c r="K151"/>
  <c r="U151" s="1"/>
  <c r="K152"/>
  <c r="U152" s="1"/>
  <c r="K153"/>
  <c r="U153" s="1"/>
  <c r="K154"/>
  <c r="U154" s="1"/>
  <c r="K155"/>
  <c r="U155" s="1"/>
  <c r="K156"/>
  <c r="U156" s="1"/>
  <c r="K157"/>
  <c r="U157" s="1"/>
  <c r="K158"/>
  <c r="U158" s="1"/>
  <c r="K159"/>
  <c r="U159" s="1"/>
  <c r="K160"/>
  <c r="U160" s="1"/>
  <c r="K161"/>
  <c r="U161" s="1"/>
  <c r="K162"/>
  <c r="U162" s="1"/>
  <c r="K163"/>
  <c r="U163" s="1"/>
  <c r="K164"/>
  <c r="U164" s="1"/>
  <c r="K165"/>
  <c r="U165" s="1"/>
  <c r="K166"/>
  <c r="U166" s="1"/>
  <c r="K167"/>
  <c r="U167" s="1"/>
  <c r="K168"/>
  <c r="U168" s="1"/>
  <c r="K169"/>
  <c r="U169" s="1"/>
  <c r="K170"/>
  <c r="U170" s="1"/>
  <c r="K171"/>
  <c r="U171" s="1"/>
  <c r="K172"/>
  <c r="U172" s="1"/>
  <c r="K173"/>
  <c r="U173" s="1"/>
  <c r="K174"/>
  <c r="U174" s="1"/>
  <c r="K175"/>
  <c r="U175" s="1"/>
  <c r="K176"/>
  <c r="U176" s="1"/>
  <c r="K177"/>
  <c r="U177" s="1"/>
  <c r="K178"/>
  <c r="U178" s="1"/>
  <c r="K179"/>
  <c r="U179" s="1"/>
  <c r="K180"/>
  <c r="U180" s="1"/>
  <c r="K181"/>
  <c r="U181" s="1"/>
  <c r="K182"/>
  <c r="U182" s="1"/>
  <c r="K183"/>
  <c r="U183" s="1"/>
  <c r="K184"/>
  <c r="U184" s="1"/>
  <c r="K185"/>
  <c r="U185" s="1"/>
  <c r="K186"/>
  <c r="U186" s="1"/>
  <c r="K187"/>
  <c r="U187" s="1"/>
  <c r="K188"/>
  <c r="U188" s="1"/>
  <c r="K189"/>
  <c r="U189" s="1"/>
  <c r="K190"/>
  <c r="U190" s="1"/>
  <c r="K191"/>
  <c r="U191" s="1"/>
  <c r="K192"/>
  <c r="U192" s="1"/>
  <c r="K193"/>
  <c r="U193" s="1"/>
  <c r="K194"/>
  <c r="U194" s="1"/>
  <c r="K195"/>
  <c r="U195" s="1"/>
  <c r="K196"/>
  <c r="U196" s="1"/>
  <c r="K197"/>
  <c r="U197" s="1"/>
  <c r="K198"/>
  <c r="U198" s="1"/>
  <c r="K199"/>
  <c r="U199" s="1"/>
  <c r="K200"/>
  <c r="U200" s="1"/>
  <c r="K201"/>
  <c r="U201" s="1"/>
  <c r="K202"/>
  <c r="U202" s="1"/>
  <c r="K203"/>
  <c r="U203" s="1"/>
  <c r="K204"/>
  <c r="U204" s="1"/>
  <c r="K205"/>
  <c r="U205" s="1"/>
  <c r="K206"/>
  <c r="U206" s="1"/>
  <c r="K207"/>
  <c r="U207" s="1"/>
  <c r="K208"/>
  <c r="U208" s="1"/>
  <c r="K209"/>
  <c r="U209" s="1"/>
  <c r="K210"/>
  <c r="U210" s="1"/>
  <c r="K211"/>
  <c r="U211" s="1"/>
  <c r="K212"/>
  <c r="U212" s="1"/>
  <c r="K213"/>
  <c r="U213" s="1"/>
  <c r="K214"/>
  <c r="U214" s="1"/>
  <c r="K215"/>
  <c r="U215" s="1"/>
  <c r="K216"/>
  <c r="U216" s="1"/>
  <c r="K217"/>
  <c r="U217" s="1"/>
  <c r="K218"/>
  <c r="U218" s="1"/>
  <c r="K219"/>
  <c r="U219" s="1"/>
  <c r="K220"/>
  <c r="U220" s="1"/>
  <c r="K221"/>
  <c r="U221" s="1"/>
  <c r="K222"/>
  <c r="U222" s="1"/>
  <c r="K223"/>
  <c r="U223" s="1"/>
  <c r="K224"/>
  <c r="U224" s="1"/>
  <c r="K225"/>
  <c r="U225" s="1"/>
  <c r="K226"/>
  <c r="U226" s="1"/>
  <c r="K227"/>
  <c r="U227" s="1"/>
  <c r="K228"/>
  <c r="U228" s="1"/>
  <c r="K229"/>
  <c r="U229" s="1"/>
  <c r="K230"/>
  <c r="U230" s="1"/>
  <c r="K231"/>
  <c r="U231" s="1"/>
  <c r="K232"/>
  <c r="U232" s="1"/>
  <c r="K233"/>
  <c r="U233" s="1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W6"/>
  <c r="Y6" s="1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W38"/>
  <c r="Y38" s="1"/>
  <c r="W39"/>
  <c r="Y39" s="1"/>
  <c r="W40"/>
  <c r="Y40" s="1"/>
  <c r="W41"/>
  <c r="Y41" s="1"/>
  <c r="W42"/>
  <c r="Y42" s="1"/>
  <c r="W43"/>
  <c r="Y43" s="1"/>
  <c r="W44"/>
  <c r="Y44" s="1"/>
  <c r="W45"/>
  <c r="Y45" s="1"/>
  <c r="W46"/>
  <c r="Y46" s="1"/>
  <c r="W47"/>
  <c r="Y47" s="1"/>
  <c r="W48"/>
  <c r="Y48" s="1"/>
  <c r="W49"/>
  <c r="Y49" s="1"/>
  <c r="W50"/>
  <c r="Y50" s="1"/>
  <c r="W51"/>
  <c r="Y51" s="1"/>
  <c r="W52"/>
  <c r="Y52" s="1"/>
  <c r="W53"/>
  <c r="Y53" s="1"/>
  <c r="W54"/>
  <c r="Y54" s="1"/>
  <c r="W55"/>
  <c r="Y55" s="1"/>
  <c r="W56"/>
  <c r="Y56" s="1"/>
  <c r="W57"/>
  <c r="Y57" s="1"/>
  <c r="W58"/>
  <c r="Y58" s="1"/>
  <c r="W59"/>
  <c r="Y59" s="1"/>
  <c r="W60"/>
  <c r="Y60" s="1"/>
  <c r="W61"/>
  <c r="Y61" s="1"/>
  <c r="W62"/>
  <c r="Y62" s="1"/>
  <c r="W63"/>
  <c r="Y63" s="1"/>
  <c r="W64"/>
  <c r="Y64" s="1"/>
  <c r="W65"/>
  <c r="Y65" s="1"/>
  <c r="W66"/>
  <c r="Y66" s="1"/>
  <c r="W67"/>
  <c r="Y67" s="1"/>
  <c r="W68"/>
  <c r="Y68" s="1"/>
  <c r="W69"/>
  <c r="Y69" s="1"/>
  <c r="W70"/>
  <c r="Y70" s="1"/>
  <c r="W71"/>
  <c r="Y71" s="1"/>
  <c r="W72"/>
  <c r="Y72" s="1"/>
  <c r="W73"/>
  <c r="Y73" s="1"/>
  <c r="W74"/>
  <c r="Y74" s="1"/>
  <c r="W75"/>
  <c r="Y75" s="1"/>
  <c r="W76"/>
  <c r="Y76" s="1"/>
  <c r="W77"/>
  <c r="Y77" s="1"/>
  <c r="W78"/>
  <c r="Y78" s="1"/>
  <c r="W79"/>
  <c r="Y79" s="1"/>
  <c r="W80"/>
  <c r="Y80" s="1"/>
  <c r="W81"/>
  <c r="Y81" s="1"/>
  <c r="W82"/>
  <c r="Y82" s="1"/>
  <c r="W83"/>
  <c r="Y83" s="1"/>
  <c r="W84"/>
  <c r="Y84" s="1"/>
  <c r="W85"/>
  <c r="Y85" s="1"/>
  <c r="W86"/>
  <c r="Y86" s="1"/>
  <c r="W87"/>
  <c r="Y87" s="1"/>
  <c r="W88"/>
  <c r="Y88" s="1"/>
  <c r="W89"/>
  <c r="Y89" s="1"/>
  <c r="W90"/>
  <c r="Y90" s="1"/>
  <c r="W91"/>
  <c r="Y91" s="1"/>
  <c r="W92"/>
  <c r="Y92" s="1"/>
  <c r="W93"/>
  <c r="Y93" s="1"/>
  <c r="W94"/>
  <c r="Y94" s="1"/>
  <c r="W95"/>
  <c r="Y95" s="1"/>
  <c r="W96"/>
  <c r="Y96" s="1"/>
  <c r="W97"/>
  <c r="Y97" s="1"/>
  <c r="W98"/>
  <c r="Y98" s="1"/>
  <c r="W99"/>
  <c r="Y99" s="1"/>
  <c r="W100"/>
  <c r="Y100" s="1"/>
  <c r="W101"/>
  <c r="Y101" s="1"/>
  <c r="W102"/>
  <c r="Y102" s="1"/>
  <c r="W103"/>
  <c r="Y103" s="1"/>
  <c r="W104"/>
  <c r="Y104" s="1"/>
  <c r="W105"/>
  <c r="Y105" s="1"/>
  <c r="W106"/>
  <c r="Y106" s="1"/>
  <c r="W107"/>
  <c r="Y107" s="1"/>
  <c r="W108"/>
  <c r="Y108" s="1"/>
  <c r="W109"/>
  <c r="Y109" s="1"/>
  <c r="W110"/>
  <c r="Y110" s="1"/>
  <c r="W111"/>
  <c r="Y111" s="1"/>
  <c r="W112"/>
  <c r="Y112" s="1"/>
  <c r="W113"/>
  <c r="Y113" s="1"/>
  <c r="W114"/>
  <c r="Y114" s="1"/>
  <c r="W115"/>
  <c r="Y115" s="1"/>
  <c r="W116"/>
  <c r="Y116" s="1"/>
  <c r="W117"/>
  <c r="Y117" s="1"/>
  <c r="W118"/>
  <c r="Y118" s="1"/>
  <c r="W119"/>
  <c r="Y119" s="1"/>
  <c r="W120"/>
  <c r="Y120" s="1"/>
  <c r="W121"/>
  <c r="Y121" s="1"/>
  <c r="W122"/>
  <c r="Y122" s="1"/>
  <c r="W123"/>
  <c r="Y123" s="1"/>
  <c r="W124"/>
  <c r="Y124" s="1"/>
  <c r="W125"/>
  <c r="Y125" s="1"/>
  <c r="W126"/>
  <c r="Y126" s="1"/>
  <c r="W127"/>
  <c r="Y127" s="1"/>
  <c r="W128"/>
  <c r="Y128" s="1"/>
  <c r="W129"/>
  <c r="Y129" s="1"/>
  <c r="W130"/>
  <c r="Y130" s="1"/>
  <c r="W131"/>
  <c r="Y131" s="1"/>
  <c r="W132"/>
  <c r="Y132" s="1"/>
  <c r="W133"/>
  <c r="Y133" s="1"/>
  <c r="W134"/>
  <c r="Y134" s="1"/>
  <c r="W135"/>
  <c r="Y135" s="1"/>
  <c r="W136"/>
  <c r="Y136" s="1"/>
  <c r="W137"/>
  <c r="Y137" s="1"/>
  <c r="W138"/>
  <c r="Y138" s="1"/>
  <c r="W139"/>
  <c r="Y139" s="1"/>
  <c r="W140"/>
  <c r="Y140" s="1"/>
  <c r="W141"/>
  <c r="Y141" s="1"/>
  <c r="W142"/>
  <c r="Y142" s="1"/>
  <c r="W143"/>
  <c r="Y143" s="1"/>
  <c r="W144"/>
  <c r="Y144" s="1"/>
  <c r="W145"/>
  <c r="Y145" s="1"/>
  <c r="W146"/>
  <c r="Y146" s="1"/>
  <c r="W147"/>
  <c r="Y147" s="1"/>
  <c r="W148"/>
  <c r="Y148" s="1"/>
  <c r="W149"/>
  <c r="Y149" s="1"/>
  <c r="W150"/>
  <c r="Y150" s="1"/>
  <c r="W151"/>
  <c r="Y151" s="1"/>
  <c r="W152"/>
  <c r="Y152" s="1"/>
  <c r="W154"/>
  <c r="Y154" s="1"/>
  <c r="W155"/>
  <c r="Y155" s="1"/>
  <c r="W156"/>
  <c r="Y156" s="1"/>
  <c r="W157"/>
  <c r="Y157" s="1"/>
  <c r="W158"/>
  <c r="Y158" s="1"/>
  <c r="W159"/>
  <c r="Y159" s="1"/>
  <c r="W160"/>
  <c r="Y160" s="1"/>
  <c r="W161"/>
  <c r="Y161" s="1"/>
  <c r="W162"/>
  <c r="Y162" s="1"/>
  <c r="W163"/>
  <c r="Y163" s="1"/>
  <c r="W164"/>
  <c r="Y164" s="1"/>
  <c r="W165"/>
  <c r="Y165" s="1"/>
  <c r="W166"/>
  <c r="Y166" s="1"/>
  <c r="W167"/>
  <c r="Y167" s="1"/>
  <c r="W168"/>
  <c r="Y168" s="1"/>
  <c r="W169"/>
  <c r="Y169" s="1"/>
  <c r="W170"/>
  <c r="Y170" s="1"/>
  <c r="W171"/>
  <c r="Y171" s="1"/>
  <c r="W172"/>
  <c r="Y172" s="1"/>
  <c r="W173"/>
  <c r="Y173" s="1"/>
  <c r="W174"/>
  <c r="Y174" s="1"/>
  <c r="W175"/>
  <c r="Y175" s="1"/>
  <c r="W176"/>
  <c r="Y176" s="1"/>
  <c r="W177"/>
  <c r="Y177" s="1"/>
  <c r="W178"/>
  <c r="Y178" s="1"/>
  <c r="W179"/>
  <c r="Y179" s="1"/>
  <c r="W180"/>
  <c r="Y180" s="1"/>
  <c r="W181"/>
  <c r="Y181" s="1"/>
  <c r="W182"/>
  <c r="Y182" s="1"/>
  <c r="W183"/>
  <c r="Y183" s="1"/>
  <c r="W184"/>
  <c r="Y184" s="1"/>
  <c r="W185"/>
  <c r="Y185" s="1"/>
  <c r="W186"/>
  <c r="Y186" s="1"/>
  <c r="W187"/>
  <c r="W188"/>
  <c r="W189"/>
  <c r="Y189" s="1"/>
  <c r="W190"/>
  <c r="Y190" s="1"/>
  <c r="W191"/>
  <c r="W192"/>
  <c r="Y192" s="1"/>
  <c r="W193"/>
  <c r="W194"/>
  <c r="Y194" s="1"/>
  <c r="W195"/>
  <c r="Y195" s="1"/>
  <c r="W196"/>
  <c r="Y196" s="1"/>
  <c r="W197"/>
  <c r="Y197" s="1"/>
  <c r="W198"/>
  <c r="Y198" s="1"/>
  <c r="W199"/>
  <c r="Y199" s="1"/>
  <c r="W200"/>
  <c r="Y200" s="1"/>
  <c r="W201"/>
  <c r="Y201" s="1"/>
  <c r="W202"/>
  <c r="Y202" s="1"/>
  <c r="W203"/>
  <c r="Y203" s="1"/>
  <c r="W204"/>
  <c r="Y204" s="1"/>
  <c r="W205"/>
  <c r="Y205" s="1"/>
  <c r="W206"/>
  <c r="Y206" s="1"/>
  <c r="W207"/>
  <c r="W208"/>
  <c r="Y208" s="1"/>
  <c r="W209"/>
  <c r="Y209" s="1"/>
  <c r="W210"/>
  <c r="Y210" s="1"/>
  <c r="W211"/>
  <c r="W212"/>
  <c r="W213"/>
  <c r="Y213" s="1"/>
  <c r="W214"/>
  <c r="Y214" s="1"/>
  <c r="W215"/>
  <c r="W216"/>
  <c r="W217"/>
  <c r="Y217" s="1"/>
  <c r="W218"/>
  <c r="Y218" s="1"/>
  <c r="W219"/>
  <c r="Y219" s="1"/>
  <c r="W220"/>
  <c r="Y220" s="1"/>
  <c r="W221"/>
  <c r="Y221" s="1"/>
  <c r="W222"/>
  <c r="Y222" s="1"/>
  <c r="W223"/>
  <c r="Y223" s="1"/>
  <c r="W224"/>
  <c r="Y224" s="1"/>
  <c r="W225"/>
  <c r="W226"/>
  <c r="Y226" s="1"/>
  <c r="W227"/>
  <c r="W228"/>
  <c r="W229"/>
  <c r="Y229" s="1"/>
  <c r="W230"/>
  <c r="Y230" s="1"/>
  <c r="W231"/>
  <c r="Y231" s="1"/>
  <c r="W232"/>
  <c r="Y232" s="1"/>
  <c r="W233"/>
  <c r="Y233" s="1"/>
  <c r="Y153"/>
  <c r="Y187"/>
  <c r="Y188"/>
  <c r="Y191"/>
  <c r="Y193"/>
  <c r="Y207"/>
  <c r="Y211"/>
  <c r="Y212"/>
  <c r="Y215"/>
  <c r="Y216"/>
  <c r="Y225"/>
  <c r="Y227"/>
  <c r="Y228"/>
  <c r="C179" i="137"/>
  <c r="D179" s="1"/>
  <c r="E179" s="1"/>
  <c r="C180"/>
  <c r="C181"/>
  <c r="C182"/>
  <c r="D182" s="1"/>
  <c r="E182" s="1"/>
  <c r="C183"/>
  <c r="C184"/>
  <c r="D184" s="1"/>
  <c r="E184" s="1"/>
  <c r="C185"/>
  <c r="D185" s="1"/>
  <c r="E185" s="1"/>
  <c r="C186"/>
  <c r="D186" s="1"/>
  <c r="E186" s="1"/>
  <c r="C187"/>
  <c r="D187" s="1"/>
  <c r="E187" s="1"/>
  <c r="C188"/>
  <c r="D188" s="1"/>
  <c r="E188" s="1"/>
  <c r="C189"/>
  <c r="D189" s="1"/>
  <c r="E189" s="1"/>
  <c r="C190"/>
  <c r="D190" s="1"/>
  <c r="E190" s="1"/>
  <c r="C191"/>
  <c r="D191" s="1"/>
  <c r="E191" s="1"/>
  <c r="C192"/>
  <c r="D192" s="1"/>
  <c r="E192" s="1"/>
  <c r="C193"/>
  <c r="D193" s="1"/>
  <c r="E193" s="1"/>
  <c r="C194"/>
  <c r="D194" s="1"/>
  <c r="E194" s="1"/>
  <c r="C195"/>
  <c r="D195" s="1"/>
  <c r="E195" s="1"/>
  <c r="C196"/>
  <c r="D196" s="1"/>
  <c r="E196" s="1"/>
  <c r="C197"/>
  <c r="D197" s="1"/>
  <c r="E197" s="1"/>
  <c r="C198"/>
  <c r="D198" s="1"/>
  <c r="E198" s="1"/>
  <c r="C199"/>
  <c r="D199" s="1"/>
  <c r="E199" s="1"/>
  <c r="C200"/>
  <c r="D200" s="1"/>
  <c r="E200" s="1"/>
  <c r="C201"/>
  <c r="D201" s="1"/>
  <c r="E201" s="1"/>
  <c r="C202"/>
  <c r="D202" s="1"/>
  <c r="E202" s="1"/>
  <c r="C203"/>
  <c r="D203" s="1"/>
  <c r="E203" s="1"/>
  <c r="C204"/>
  <c r="D204" s="1"/>
  <c r="E204" s="1"/>
  <c r="C205"/>
  <c r="D205" s="1"/>
  <c r="E205" s="1"/>
  <c r="C206"/>
  <c r="D206" s="1"/>
  <c r="E206" s="1"/>
  <c r="C207"/>
  <c r="D207" s="1"/>
  <c r="E207" s="1"/>
  <c r="C208"/>
  <c r="D208" s="1"/>
  <c r="E208" s="1"/>
  <c r="C209"/>
  <c r="D209" s="1"/>
  <c r="E209" s="1"/>
  <c r="C210"/>
  <c r="D210" s="1"/>
  <c r="E210" s="1"/>
  <c r="C211"/>
  <c r="D211" s="1"/>
  <c r="E211" s="1"/>
  <c r="C212"/>
  <c r="D212" s="1"/>
  <c r="E212" s="1"/>
  <c r="C213"/>
  <c r="D213" s="1"/>
  <c r="E213" s="1"/>
  <c r="C214"/>
  <c r="D214" s="1"/>
  <c r="E214" s="1"/>
  <c r="C215"/>
  <c r="D215" s="1"/>
  <c r="E215" s="1"/>
  <c r="C216"/>
  <c r="D216" s="1"/>
  <c r="E216" s="1"/>
  <c r="C217"/>
  <c r="D217" s="1"/>
  <c r="E217" s="1"/>
  <c r="C218"/>
  <c r="D218" s="1"/>
  <c r="E218" s="1"/>
  <c r="C219"/>
  <c r="D219" s="1"/>
  <c r="E219" s="1"/>
  <c r="C220"/>
  <c r="D220" s="1"/>
  <c r="E220" s="1"/>
  <c r="C221"/>
  <c r="D221" s="1"/>
  <c r="E221" s="1"/>
  <c r="C222"/>
  <c r="D222" s="1"/>
  <c r="E222" s="1"/>
  <c r="C223"/>
  <c r="D223" s="1"/>
  <c r="E223" s="1"/>
  <c r="C224"/>
  <c r="D224" s="1"/>
  <c r="E224" s="1"/>
  <c r="C225"/>
  <c r="D225" s="1"/>
  <c r="E225" s="1"/>
  <c r="C226"/>
  <c r="D226" s="1"/>
  <c r="E226" s="1"/>
  <c r="C227"/>
  <c r="D227" s="1"/>
  <c r="E227" s="1"/>
  <c r="C228"/>
  <c r="D228" s="1"/>
  <c r="E228" s="1"/>
  <c r="C229"/>
  <c r="D229" s="1"/>
  <c r="E229" s="1"/>
  <c r="C230"/>
  <c r="D230" s="1"/>
  <c r="E230" s="1"/>
  <c r="C231"/>
  <c r="D231" s="1"/>
  <c r="E231" s="1"/>
  <c r="C232"/>
  <c r="D232" s="1"/>
  <c r="E232" s="1"/>
  <c r="C233"/>
  <c r="D233" s="1"/>
  <c r="E233" s="1"/>
  <c r="C234"/>
  <c r="D234" s="1"/>
  <c r="E234" s="1"/>
  <c r="C235"/>
  <c r="D235" s="1"/>
  <c r="E235" s="1"/>
  <c r="C236"/>
  <c r="D236" s="1"/>
  <c r="E236" s="1"/>
  <c r="C237"/>
  <c r="D237" s="1"/>
  <c r="E237" s="1"/>
  <c r="C238"/>
  <c r="D238" s="1"/>
  <c r="E238" s="1"/>
  <c r="C239"/>
  <c r="D239" s="1"/>
  <c r="E239" s="1"/>
  <c r="C240"/>
  <c r="D240" s="1"/>
  <c r="E240" s="1"/>
  <c r="C241"/>
  <c r="D241" s="1"/>
  <c r="E241" s="1"/>
  <c r="C242"/>
  <c r="D242" s="1"/>
  <c r="E242" s="1"/>
  <c r="C243"/>
  <c r="D243" s="1"/>
  <c r="E243" s="1"/>
  <c r="C244"/>
  <c r="D244" s="1"/>
  <c r="E244" s="1"/>
  <c r="C245"/>
  <c r="D245" s="1"/>
  <c r="E245" s="1"/>
  <c r="C246"/>
  <c r="D246" s="1"/>
  <c r="E246" s="1"/>
  <c r="C247"/>
  <c r="D247" s="1"/>
  <c r="E247" s="1"/>
  <c r="C248"/>
  <c r="D248" s="1"/>
  <c r="E248" s="1"/>
  <c r="C249"/>
  <c r="D249" s="1"/>
  <c r="E249" s="1"/>
  <c r="C250"/>
  <c r="D250" s="1"/>
  <c r="E250" s="1"/>
  <c r="D251"/>
  <c r="E251" s="1"/>
  <c r="D180"/>
  <c r="E180" s="1"/>
  <c r="D181"/>
  <c r="E181" s="1"/>
  <c r="D183"/>
  <c r="E183" s="1"/>
  <c r="G179"/>
  <c r="S179" s="1"/>
  <c r="G180"/>
  <c r="S180" s="1"/>
  <c r="G181"/>
  <c r="S181" s="1"/>
  <c r="G182"/>
  <c r="S182" s="1"/>
  <c r="G183"/>
  <c r="S183" s="1"/>
  <c r="G184"/>
  <c r="S184" s="1"/>
  <c r="G185"/>
  <c r="S185" s="1"/>
  <c r="G186"/>
  <c r="S186" s="1"/>
  <c r="G187"/>
  <c r="S187" s="1"/>
  <c r="G188"/>
  <c r="S188" s="1"/>
  <c r="G189"/>
  <c r="S189" s="1"/>
  <c r="G190"/>
  <c r="S190" s="1"/>
  <c r="G191"/>
  <c r="S191" s="1"/>
  <c r="G192"/>
  <c r="S192" s="1"/>
  <c r="G193"/>
  <c r="S193" s="1"/>
  <c r="G194"/>
  <c r="S194" s="1"/>
  <c r="G195"/>
  <c r="S195" s="1"/>
  <c r="G196"/>
  <c r="S196" s="1"/>
  <c r="G197"/>
  <c r="S197" s="1"/>
  <c r="G198"/>
  <c r="S198" s="1"/>
  <c r="G199"/>
  <c r="S199" s="1"/>
  <c r="G200"/>
  <c r="S200" s="1"/>
  <c r="G201"/>
  <c r="S201" s="1"/>
  <c r="G202"/>
  <c r="S202" s="1"/>
  <c r="G203"/>
  <c r="S203" s="1"/>
  <c r="G204"/>
  <c r="S204" s="1"/>
  <c r="G205"/>
  <c r="S205" s="1"/>
  <c r="G206"/>
  <c r="S206" s="1"/>
  <c r="G207"/>
  <c r="S207" s="1"/>
  <c r="G208"/>
  <c r="S208" s="1"/>
  <c r="G209"/>
  <c r="S209" s="1"/>
  <c r="G210"/>
  <c r="S210" s="1"/>
  <c r="G211"/>
  <c r="S211" s="1"/>
  <c r="G212"/>
  <c r="S212" s="1"/>
  <c r="G213"/>
  <c r="S213" s="1"/>
  <c r="G214"/>
  <c r="S214" s="1"/>
  <c r="G215"/>
  <c r="S215" s="1"/>
  <c r="G216"/>
  <c r="S216" s="1"/>
  <c r="G217"/>
  <c r="S217" s="1"/>
  <c r="G218"/>
  <c r="S218" s="1"/>
  <c r="G219"/>
  <c r="S219" s="1"/>
  <c r="G220"/>
  <c r="S220" s="1"/>
  <c r="G221"/>
  <c r="S221" s="1"/>
  <c r="G222"/>
  <c r="S222" s="1"/>
  <c r="G223"/>
  <c r="S223" s="1"/>
  <c r="G224"/>
  <c r="S224" s="1"/>
  <c r="G225"/>
  <c r="S225" s="1"/>
  <c r="G226"/>
  <c r="S226" s="1"/>
  <c r="G227"/>
  <c r="S227" s="1"/>
  <c r="G228"/>
  <c r="S228" s="1"/>
  <c r="G229"/>
  <c r="S229" s="1"/>
  <c r="G230"/>
  <c r="S230" s="1"/>
  <c r="G231"/>
  <c r="S231" s="1"/>
  <c r="G232"/>
  <c r="S232" s="1"/>
  <c r="G233"/>
  <c r="S233" s="1"/>
  <c r="G234"/>
  <c r="S234" s="1"/>
  <c r="G235"/>
  <c r="S235" s="1"/>
  <c r="G236"/>
  <c r="S236" s="1"/>
  <c r="G237"/>
  <c r="S237" s="1"/>
  <c r="G238"/>
  <c r="S238" s="1"/>
  <c r="G239"/>
  <c r="S239" s="1"/>
  <c r="G240"/>
  <c r="S240" s="1"/>
  <c r="G241"/>
  <c r="S241" s="1"/>
  <c r="G242"/>
  <c r="S242" s="1"/>
  <c r="G243"/>
  <c r="S243" s="1"/>
  <c r="G244"/>
  <c r="S244" s="1"/>
  <c r="G245"/>
  <c r="S245" s="1"/>
  <c r="G246"/>
  <c r="S246" s="1"/>
  <c r="G247"/>
  <c r="S247" s="1"/>
  <c r="G248"/>
  <c r="S248" s="1"/>
  <c r="G249"/>
  <c r="S249" s="1"/>
  <c r="G250"/>
  <c r="S250" s="1"/>
  <c r="G251"/>
  <c r="S251" s="1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K179"/>
  <c r="U179" s="1"/>
  <c r="K180"/>
  <c r="U180" s="1"/>
  <c r="K181"/>
  <c r="U181" s="1"/>
  <c r="K182"/>
  <c r="U182" s="1"/>
  <c r="K183"/>
  <c r="U183" s="1"/>
  <c r="K184"/>
  <c r="U184" s="1"/>
  <c r="K185"/>
  <c r="U185" s="1"/>
  <c r="K186"/>
  <c r="U186" s="1"/>
  <c r="K187"/>
  <c r="U187" s="1"/>
  <c r="K188"/>
  <c r="U188" s="1"/>
  <c r="K189"/>
  <c r="U189" s="1"/>
  <c r="K190"/>
  <c r="U190" s="1"/>
  <c r="K191"/>
  <c r="U191" s="1"/>
  <c r="K192"/>
  <c r="U192" s="1"/>
  <c r="K193"/>
  <c r="U193" s="1"/>
  <c r="K194"/>
  <c r="U194" s="1"/>
  <c r="K195"/>
  <c r="U195" s="1"/>
  <c r="K196"/>
  <c r="U196" s="1"/>
  <c r="K197"/>
  <c r="U197" s="1"/>
  <c r="K198"/>
  <c r="U198" s="1"/>
  <c r="K199"/>
  <c r="U199" s="1"/>
  <c r="K200"/>
  <c r="U200" s="1"/>
  <c r="K201"/>
  <c r="U201" s="1"/>
  <c r="K202"/>
  <c r="U202" s="1"/>
  <c r="K203"/>
  <c r="U203" s="1"/>
  <c r="K204"/>
  <c r="U204" s="1"/>
  <c r="K205"/>
  <c r="U205" s="1"/>
  <c r="K206"/>
  <c r="U206" s="1"/>
  <c r="K207"/>
  <c r="U207" s="1"/>
  <c r="K208"/>
  <c r="U208" s="1"/>
  <c r="K209"/>
  <c r="U209" s="1"/>
  <c r="K210"/>
  <c r="U210" s="1"/>
  <c r="K211"/>
  <c r="U211" s="1"/>
  <c r="K212"/>
  <c r="U212" s="1"/>
  <c r="K213"/>
  <c r="U213" s="1"/>
  <c r="K214"/>
  <c r="U214" s="1"/>
  <c r="K215"/>
  <c r="U215" s="1"/>
  <c r="K216"/>
  <c r="U216" s="1"/>
  <c r="K217"/>
  <c r="U217" s="1"/>
  <c r="K218"/>
  <c r="U218" s="1"/>
  <c r="K219"/>
  <c r="U219" s="1"/>
  <c r="K220"/>
  <c r="U220" s="1"/>
  <c r="K221"/>
  <c r="U221" s="1"/>
  <c r="K222"/>
  <c r="U222" s="1"/>
  <c r="K223"/>
  <c r="U223" s="1"/>
  <c r="K224"/>
  <c r="U224" s="1"/>
  <c r="K225"/>
  <c r="U225" s="1"/>
  <c r="K226"/>
  <c r="U226" s="1"/>
  <c r="K227"/>
  <c r="U227" s="1"/>
  <c r="K228"/>
  <c r="U228" s="1"/>
  <c r="K229"/>
  <c r="U229" s="1"/>
  <c r="K230"/>
  <c r="U230" s="1"/>
  <c r="K231"/>
  <c r="U231" s="1"/>
  <c r="K232"/>
  <c r="U232" s="1"/>
  <c r="K233"/>
  <c r="U233" s="1"/>
  <c r="K234"/>
  <c r="U234" s="1"/>
  <c r="K235"/>
  <c r="U235" s="1"/>
  <c r="K236"/>
  <c r="U236" s="1"/>
  <c r="K237"/>
  <c r="U237" s="1"/>
  <c r="K238"/>
  <c r="U238" s="1"/>
  <c r="K239"/>
  <c r="U239" s="1"/>
  <c r="K240"/>
  <c r="U240" s="1"/>
  <c r="K241"/>
  <c r="U241" s="1"/>
  <c r="K242"/>
  <c r="U242" s="1"/>
  <c r="K243"/>
  <c r="U243" s="1"/>
  <c r="K244"/>
  <c r="U244" s="1"/>
  <c r="K245"/>
  <c r="U245" s="1"/>
  <c r="K246"/>
  <c r="U246" s="1"/>
  <c r="K247"/>
  <c r="U247" s="1"/>
  <c r="K248"/>
  <c r="U248" s="1"/>
  <c r="K249"/>
  <c r="U249" s="1"/>
  <c r="K250"/>
  <c r="U250" s="1"/>
  <c r="K251"/>
  <c r="U251" s="1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W179"/>
  <c r="X179" s="1"/>
  <c r="Y179" s="1"/>
  <c r="W180"/>
  <c r="X180" s="1"/>
  <c r="Y180" s="1"/>
  <c r="W181"/>
  <c r="X181" s="1"/>
  <c r="Y181" s="1"/>
  <c r="W182"/>
  <c r="X182" s="1"/>
  <c r="Y182" s="1"/>
  <c r="W183"/>
  <c r="X183" s="1"/>
  <c r="Y183" s="1"/>
  <c r="W184"/>
  <c r="X184" s="1"/>
  <c r="Y184" s="1"/>
  <c r="W185"/>
  <c r="X185" s="1"/>
  <c r="Y185" s="1"/>
  <c r="W186"/>
  <c r="X186" s="1"/>
  <c r="Y186" s="1"/>
  <c r="W187"/>
  <c r="X187" s="1"/>
  <c r="Y187" s="1"/>
  <c r="W188"/>
  <c r="X188" s="1"/>
  <c r="Y188" s="1"/>
  <c r="W189"/>
  <c r="X189" s="1"/>
  <c r="Y189" s="1"/>
  <c r="W190"/>
  <c r="X190" s="1"/>
  <c r="Y190" s="1"/>
  <c r="W191"/>
  <c r="X191" s="1"/>
  <c r="Y191" s="1"/>
  <c r="W192"/>
  <c r="X192" s="1"/>
  <c r="Y192" s="1"/>
  <c r="W193"/>
  <c r="X193" s="1"/>
  <c r="Y193" s="1"/>
  <c r="W194"/>
  <c r="X194" s="1"/>
  <c r="Y194" s="1"/>
  <c r="W195"/>
  <c r="X195" s="1"/>
  <c r="Y195" s="1"/>
  <c r="W196"/>
  <c r="X196" s="1"/>
  <c r="Y196" s="1"/>
  <c r="W197"/>
  <c r="X197" s="1"/>
  <c r="Y197" s="1"/>
  <c r="W198"/>
  <c r="X198" s="1"/>
  <c r="Y198" s="1"/>
  <c r="W199"/>
  <c r="X199" s="1"/>
  <c r="Y199" s="1"/>
  <c r="W200"/>
  <c r="X200" s="1"/>
  <c r="Y200" s="1"/>
  <c r="W201"/>
  <c r="X201" s="1"/>
  <c r="Y201" s="1"/>
  <c r="W202"/>
  <c r="X202" s="1"/>
  <c r="Y202" s="1"/>
  <c r="W203"/>
  <c r="X203" s="1"/>
  <c r="Y203" s="1"/>
  <c r="W204"/>
  <c r="X204" s="1"/>
  <c r="Y204" s="1"/>
  <c r="W205"/>
  <c r="X205" s="1"/>
  <c r="W206"/>
  <c r="X206" s="1"/>
  <c r="W207"/>
  <c r="X207" s="1"/>
  <c r="Y207" s="1"/>
  <c r="W208"/>
  <c r="X208" s="1"/>
  <c r="W209"/>
  <c r="X209" s="1"/>
  <c r="Y209" s="1"/>
  <c r="W210"/>
  <c r="X210" s="1"/>
  <c r="Y210" s="1"/>
  <c r="W211"/>
  <c r="X211" s="1"/>
  <c r="W212"/>
  <c r="X212" s="1"/>
  <c r="W213"/>
  <c r="X213" s="1"/>
  <c r="W214"/>
  <c r="X214" s="1"/>
  <c r="Y214" s="1"/>
  <c r="W215"/>
  <c r="X215" s="1"/>
  <c r="Y215" s="1"/>
  <c r="W216"/>
  <c r="X216" s="1"/>
  <c r="W217"/>
  <c r="X217" s="1"/>
  <c r="Y217" s="1"/>
  <c r="W218"/>
  <c r="X218" s="1"/>
  <c r="W219"/>
  <c r="X219" s="1"/>
  <c r="W220"/>
  <c r="X220" s="1"/>
  <c r="W221"/>
  <c r="X221" s="1"/>
  <c r="Y221" s="1"/>
  <c r="W222"/>
  <c r="X222" s="1"/>
  <c r="W223"/>
  <c r="X223" s="1"/>
  <c r="W224"/>
  <c r="X224" s="1"/>
  <c r="Y224" s="1"/>
  <c r="W225"/>
  <c r="X225" s="1"/>
  <c r="Y225" s="1"/>
  <c r="W226"/>
  <c r="X226" s="1"/>
  <c r="Y226" s="1"/>
  <c r="W227"/>
  <c r="X227" s="1"/>
  <c r="Y227" s="1"/>
  <c r="W228"/>
  <c r="X228" s="1"/>
  <c r="W229"/>
  <c r="X229" s="1"/>
  <c r="Y229" s="1"/>
  <c r="W230"/>
  <c r="X230" s="1"/>
  <c r="W231"/>
  <c r="X231" s="1"/>
  <c r="Y231" s="1"/>
  <c r="W232"/>
  <c r="X232" s="1"/>
  <c r="Y232" s="1"/>
  <c r="W233"/>
  <c r="X233" s="1"/>
  <c r="Y233" s="1"/>
  <c r="W234"/>
  <c r="X234" s="1"/>
  <c r="W235"/>
  <c r="X235" s="1"/>
  <c r="W236"/>
  <c r="X236" s="1"/>
  <c r="Y236" s="1"/>
  <c r="W237"/>
  <c r="X237" s="1"/>
  <c r="W238"/>
  <c r="X238" s="1"/>
  <c r="Y238" s="1"/>
  <c r="W239"/>
  <c r="X239" s="1"/>
  <c r="Y239" s="1"/>
  <c r="W240"/>
  <c r="X240" s="1"/>
  <c r="W241"/>
  <c r="X241" s="1"/>
  <c r="W242"/>
  <c r="X242" s="1"/>
  <c r="W243"/>
  <c r="X243" s="1"/>
  <c r="Y243" s="1"/>
  <c r="W244"/>
  <c r="X244" s="1"/>
  <c r="W245"/>
  <c r="X245" s="1"/>
  <c r="Y245" s="1"/>
  <c r="W246"/>
  <c r="X246" s="1"/>
  <c r="Y246" s="1"/>
  <c r="W247"/>
  <c r="X247" s="1"/>
  <c r="W248"/>
  <c r="X248" s="1"/>
  <c r="W249"/>
  <c r="X249" s="1"/>
  <c r="W250"/>
  <c r="X250" s="1"/>
  <c r="Y250" s="1"/>
  <c r="W251"/>
  <c r="X251" s="1"/>
  <c r="Y251" s="1"/>
  <c r="C6"/>
  <c r="D6" s="1"/>
  <c r="E6" s="1"/>
  <c r="C8"/>
  <c r="D8" s="1"/>
  <c r="E8" s="1"/>
  <c r="C9"/>
  <c r="D9" s="1"/>
  <c r="E9" s="1"/>
  <c r="C10"/>
  <c r="D10" s="1"/>
  <c r="E10" s="1"/>
  <c r="C11"/>
  <c r="D11" s="1"/>
  <c r="E11" s="1"/>
  <c r="C12"/>
  <c r="D12" s="1"/>
  <c r="E12" s="1"/>
  <c r="C13"/>
  <c r="D13" s="1"/>
  <c r="E13" s="1"/>
  <c r="C14"/>
  <c r="D14" s="1"/>
  <c r="E14" s="1"/>
  <c r="C15"/>
  <c r="D15" s="1"/>
  <c r="E15" s="1"/>
  <c r="C16"/>
  <c r="D16" s="1"/>
  <c r="E16" s="1"/>
  <c r="C18"/>
  <c r="D18" s="1"/>
  <c r="E18" s="1"/>
  <c r="C19"/>
  <c r="D19" s="1"/>
  <c r="E19" s="1"/>
  <c r="C20"/>
  <c r="D20" s="1"/>
  <c r="E20" s="1"/>
  <c r="C21"/>
  <c r="D21" s="1"/>
  <c r="E21" s="1"/>
  <c r="C22"/>
  <c r="D22" s="1"/>
  <c r="E22" s="1"/>
  <c r="C23"/>
  <c r="D23" s="1"/>
  <c r="E23" s="1"/>
  <c r="C24"/>
  <c r="D24" s="1"/>
  <c r="E24" s="1"/>
  <c r="C25"/>
  <c r="D25" s="1"/>
  <c r="E25" s="1"/>
  <c r="C26"/>
  <c r="D26" s="1"/>
  <c r="E26" s="1"/>
  <c r="C27"/>
  <c r="D27" s="1"/>
  <c r="E27" s="1"/>
  <c r="C28"/>
  <c r="D28" s="1"/>
  <c r="E28" s="1"/>
  <c r="C29"/>
  <c r="D29" s="1"/>
  <c r="E29" s="1"/>
  <c r="C30"/>
  <c r="D30" s="1"/>
  <c r="E30" s="1"/>
  <c r="C31"/>
  <c r="D31" s="1"/>
  <c r="E31" s="1"/>
  <c r="C32"/>
  <c r="D32" s="1"/>
  <c r="E32" s="1"/>
  <c r="C33"/>
  <c r="D33" s="1"/>
  <c r="E33" s="1"/>
  <c r="C34"/>
  <c r="D34" s="1"/>
  <c r="E34" s="1"/>
  <c r="C35"/>
  <c r="D35" s="1"/>
  <c r="E35" s="1"/>
  <c r="C36"/>
  <c r="D36" s="1"/>
  <c r="E36" s="1"/>
  <c r="C37"/>
  <c r="D37" s="1"/>
  <c r="E37" s="1"/>
  <c r="C38"/>
  <c r="D38" s="1"/>
  <c r="E38" s="1"/>
  <c r="C39"/>
  <c r="D39" s="1"/>
  <c r="E39" s="1"/>
  <c r="C40"/>
  <c r="D40" s="1"/>
  <c r="E40" s="1"/>
  <c r="C41"/>
  <c r="D41" s="1"/>
  <c r="E41" s="1"/>
  <c r="C42"/>
  <c r="D42" s="1"/>
  <c r="E42" s="1"/>
  <c r="C43"/>
  <c r="D43" s="1"/>
  <c r="E43" s="1"/>
  <c r="C44"/>
  <c r="D44" s="1"/>
  <c r="E44" s="1"/>
  <c r="C45"/>
  <c r="D45" s="1"/>
  <c r="E45" s="1"/>
  <c r="C46"/>
  <c r="D46" s="1"/>
  <c r="E46" s="1"/>
  <c r="C47"/>
  <c r="D47" s="1"/>
  <c r="E47" s="1"/>
  <c r="C48"/>
  <c r="D48" s="1"/>
  <c r="E48" s="1"/>
  <c r="C49"/>
  <c r="D49" s="1"/>
  <c r="E49" s="1"/>
  <c r="C53"/>
  <c r="D53" s="1"/>
  <c r="E53" s="1"/>
  <c r="C54"/>
  <c r="D54" s="1"/>
  <c r="E54" s="1"/>
  <c r="C55"/>
  <c r="D55" s="1"/>
  <c r="E55" s="1"/>
  <c r="C56"/>
  <c r="D56" s="1"/>
  <c r="E56" s="1"/>
  <c r="C57"/>
  <c r="D57" s="1"/>
  <c r="E57" s="1"/>
  <c r="C58"/>
  <c r="D58" s="1"/>
  <c r="E58" s="1"/>
  <c r="C59"/>
  <c r="D59" s="1"/>
  <c r="E59" s="1"/>
  <c r="C60"/>
  <c r="D60" s="1"/>
  <c r="E60" s="1"/>
  <c r="C61"/>
  <c r="D61" s="1"/>
  <c r="E61" s="1"/>
  <c r="C62"/>
  <c r="D62" s="1"/>
  <c r="E62" s="1"/>
  <c r="C63"/>
  <c r="D63" s="1"/>
  <c r="E63" s="1"/>
  <c r="C64"/>
  <c r="D64" s="1"/>
  <c r="E64" s="1"/>
  <c r="C65"/>
  <c r="D65" s="1"/>
  <c r="E65" s="1"/>
  <c r="C66"/>
  <c r="D66" s="1"/>
  <c r="E66" s="1"/>
  <c r="C67"/>
  <c r="D67" s="1"/>
  <c r="E67" s="1"/>
  <c r="C68"/>
  <c r="D68" s="1"/>
  <c r="E68" s="1"/>
  <c r="C69"/>
  <c r="D69" s="1"/>
  <c r="E69" s="1"/>
  <c r="C70"/>
  <c r="D70" s="1"/>
  <c r="E70" s="1"/>
  <c r="C71"/>
  <c r="D71" s="1"/>
  <c r="E71" s="1"/>
  <c r="C72"/>
  <c r="D72" s="1"/>
  <c r="E72" s="1"/>
  <c r="C73"/>
  <c r="D73" s="1"/>
  <c r="E73" s="1"/>
  <c r="C74"/>
  <c r="D74" s="1"/>
  <c r="E74" s="1"/>
  <c r="C75"/>
  <c r="D75" s="1"/>
  <c r="E75" s="1"/>
  <c r="C76"/>
  <c r="D76" s="1"/>
  <c r="E76" s="1"/>
  <c r="C77"/>
  <c r="D77" s="1"/>
  <c r="E77" s="1"/>
  <c r="D78"/>
  <c r="E78" s="1"/>
  <c r="C79"/>
  <c r="D79" s="1"/>
  <c r="E79" s="1"/>
  <c r="C80"/>
  <c r="D80" s="1"/>
  <c r="E80" s="1"/>
  <c r="C81"/>
  <c r="D81" s="1"/>
  <c r="E81" s="1"/>
  <c r="C82"/>
  <c r="D82" s="1"/>
  <c r="E82" s="1"/>
  <c r="C83"/>
  <c r="D83" s="1"/>
  <c r="E83" s="1"/>
  <c r="C84"/>
  <c r="D84" s="1"/>
  <c r="E84" s="1"/>
  <c r="C85"/>
  <c r="D85" s="1"/>
  <c r="E85" s="1"/>
  <c r="C86"/>
  <c r="D86" s="1"/>
  <c r="E86" s="1"/>
  <c r="C87"/>
  <c r="D87" s="1"/>
  <c r="E87" s="1"/>
  <c r="C88"/>
  <c r="D88" s="1"/>
  <c r="E88" s="1"/>
  <c r="C90"/>
  <c r="D90" s="1"/>
  <c r="E90" s="1"/>
  <c r="C91"/>
  <c r="D91" s="1"/>
  <c r="E91" s="1"/>
  <c r="C92"/>
  <c r="D92" s="1"/>
  <c r="E92" s="1"/>
  <c r="C93"/>
  <c r="D93" s="1"/>
  <c r="E93" s="1"/>
  <c r="C94"/>
  <c r="D94" s="1"/>
  <c r="E94" s="1"/>
  <c r="C95"/>
  <c r="D95" s="1"/>
  <c r="E95" s="1"/>
  <c r="C96"/>
  <c r="D96" s="1"/>
  <c r="E96" s="1"/>
  <c r="C97"/>
  <c r="C98"/>
  <c r="D98" s="1"/>
  <c r="E98" s="1"/>
  <c r="C99"/>
  <c r="D99" s="1"/>
  <c r="E99" s="1"/>
  <c r="C100"/>
  <c r="D100" s="1"/>
  <c r="E100" s="1"/>
  <c r="C101"/>
  <c r="D101" s="1"/>
  <c r="E101" s="1"/>
  <c r="C102"/>
  <c r="D102" s="1"/>
  <c r="E102" s="1"/>
  <c r="C103"/>
  <c r="C104"/>
  <c r="D104" s="1"/>
  <c r="E104" s="1"/>
  <c r="C105"/>
  <c r="D105" s="1"/>
  <c r="E105" s="1"/>
  <c r="C106"/>
  <c r="D106" s="1"/>
  <c r="E106" s="1"/>
  <c r="C107"/>
  <c r="D107" s="1"/>
  <c r="E107" s="1"/>
  <c r="C108"/>
  <c r="D108" s="1"/>
  <c r="E108" s="1"/>
  <c r="C109"/>
  <c r="C110"/>
  <c r="C111"/>
  <c r="D111" s="1"/>
  <c r="E111" s="1"/>
  <c r="C112"/>
  <c r="D112" s="1"/>
  <c r="E112" s="1"/>
  <c r="C113"/>
  <c r="D113" s="1"/>
  <c r="E113" s="1"/>
  <c r="C114"/>
  <c r="D114" s="1"/>
  <c r="E114" s="1"/>
  <c r="C115"/>
  <c r="D115" s="1"/>
  <c r="E115" s="1"/>
  <c r="C116"/>
  <c r="D116" s="1"/>
  <c r="E116" s="1"/>
  <c r="C117"/>
  <c r="D117" s="1"/>
  <c r="E117" s="1"/>
  <c r="C118"/>
  <c r="D118" s="1"/>
  <c r="E118" s="1"/>
  <c r="C119"/>
  <c r="D119" s="1"/>
  <c r="E119" s="1"/>
  <c r="C120"/>
  <c r="D120" s="1"/>
  <c r="E120" s="1"/>
  <c r="C121"/>
  <c r="C122"/>
  <c r="D122" s="1"/>
  <c r="E122" s="1"/>
  <c r="C123"/>
  <c r="D123" s="1"/>
  <c r="E123" s="1"/>
  <c r="C124"/>
  <c r="D124" s="1"/>
  <c r="E124" s="1"/>
  <c r="C125"/>
  <c r="C126"/>
  <c r="D126" s="1"/>
  <c r="E126" s="1"/>
  <c r="C127"/>
  <c r="D127" s="1"/>
  <c r="E127" s="1"/>
  <c r="C128"/>
  <c r="D128" s="1"/>
  <c r="E128" s="1"/>
  <c r="C129"/>
  <c r="D129" s="1"/>
  <c r="E129" s="1"/>
  <c r="C130"/>
  <c r="D130" s="1"/>
  <c r="E130" s="1"/>
  <c r="C131"/>
  <c r="D131" s="1"/>
  <c r="E131" s="1"/>
  <c r="C132"/>
  <c r="D132" s="1"/>
  <c r="E132" s="1"/>
  <c r="C133"/>
  <c r="D133" s="1"/>
  <c r="E133" s="1"/>
  <c r="C134"/>
  <c r="D134" s="1"/>
  <c r="E134" s="1"/>
  <c r="C135"/>
  <c r="D135" s="1"/>
  <c r="E135" s="1"/>
  <c r="C136"/>
  <c r="D136" s="1"/>
  <c r="E136" s="1"/>
  <c r="C137"/>
  <c r="D137" s="1"/>
  <c r="E137" s="1"/>
  <c r="C138"/>
  <c r="D138" s="1"/>
  <c r="E138" s="1"/>
  <c r="C139"/>
  <c r="C140"/>
  <c r="D140" s="1"/>
  <c r="E140" s="1"/>
  <c r="C141"/>
  <c r="D141" s="1"/>
  <c r="E141" s="1"/>
  <c r="C142"/>
  <c r="C143"/>
  <c r="D143" s="1"/>
  <c r="E143" s="1"/>
  <c r="C144"/>
  <c r="D144" s="1"/>
  <c r="E144" s="1"/>
  <c r="C145"/>
  <c r="C146"/>
  <c r="D146" s="1"/>
  <c r="E146" s="1"/>
  <c r="C147"/>
  <c r="D147" s="1"/>
  <c r="E147" s="1"/>
  <c r="C148"/>
  <c r="D148" s="1"/>
  <c r="E148" s="1"/>
  <c r="C149"/>
  <c r="D149" s="1"/>
  <c r="E149" s="1"/>
  <c r="C150"/>
  <c r="D150" s="1"/>
  <c r="E150" s="1"/>
  <c r="C151"/>
  <c r="D151" s="1"/>
  <c r="E151" s="1"/>
  <c r="C152"/>
  <c r="D152" s="1"/>
  <c r="E152" s="1"/>
  <c r="C153"/>
  <c r="D153" s="1"/>
  <c r="E153" s="1"/>
  <c r="C154"/>
  <c r="D154" s="1"/>
  <c r="E154" s="1"/>
  <c r="C155"/>
  <c r="D155" s="1"/>
  <c r="E155" s="1"/>
  <c r="C156"/>
  <c r="D156" s="1"/>
  <c r="E156" s="1"/>
  <c r="C157"/>
  <c r="C158"/>
  <c r="C159"/>
  <c r="D159" s="1"/>
  <c r="E159" s="1"/>
  <c r="C160"/>
  <c r="D160" s="1"/>
  <c r="E160" s="1"/>
  <c r="E162"/>
  <c r="C163"/>
  <c r="D163" s="1"/>
  <c r="E163" s="1"/>
  <c r="C164"/>
  <c r="C165"/>
  <c r="D165" s="1"/>
  <c r="E165" s="1"/>
  <c r="C166"/>
  <c r="D166" s="1"/>
  <c r="E166" s="1"/>
  <c r="C167"/>
  <c r="D167" s="1"/>
  <c r="E167" s="1"/>
  <c r="C168"/>
  <c r="D168" s="1"/>
  <c r="E168" s="1"/>
  <c r="C169"/>
  <c r="C170"/>
  <c r="D170" s="1"/>
  <c r="E170" s="1"/>
  <c r="E171"/>
  <c r="C172"/>
  <c r="D172" s="1"/>
  <c r="E172" s="1"/>
  <c r="C173"/>
  <c r="D173" s="1"/>
  <c r="E173" s="1"/>
  <c r="C174"/>
  <c r="D174" s="1"/>
  <c r="E174" s="1"/>
  <c r="C175"/>
  <c r="D175" s="1"/>
  <c r="E175" s="1"/>
  <c r="C176"/>
  <c r="D176" s="1"/>
  <c r="E176" s="1"/>
  <c r="C177"/>
  <c r="D177" s="1"/>
  <c r="E177" s="1"/>
  <c r="C178"/>
  <c r="D178" s="1"/>
  <c r="E178" s="1"/>
  <c r="E7"/>
  <c r="E17"/>
  <c r="E89"/>
  <c r="D97"/>
  <c r="E97" s="1"/>
  <c r="D103"/>
  <c r="E103" s="1"/>
  <c r="D109"/>
  <c r="E109" s="1"/>
  <c r="D110"/>
  <c r="D121"/>
  <c r="E121" s="1"/>
  <c r="D125"/>
  <c r="E125" s="1"/>
  <c r="D139"/>
  <c r="E139" s="1"/>
  <c r="D142"/>
  <c r="E142" s="1"/>
  <c r="D145"/>
  <c r="D157"/>
  <c r="E157" s="1"/>
  <c r="D158"/>
  <c r="E158" s="1"/>
  <c r="E161"/>
  <c r="D164"/>
  <c r="E164" s="1"/>
  <c r="D169"/>
  <c r="E169" s="1"/>
  <c r="E110"/>
  <c r="E145"/>
  <c r="G6"/>
  <c r="S6" s="1"/>
  <c r="G7"/>
  <c r="S7" s="1"/>
  <c r="G8"/>
  <c r="S8" s="1"/>
  <c r="G9"/>
  <c r="S9" s="1"/>
  <c r="G10"/>
  <c r="S10" s="1"/>
  <c r="G11"/>
  <c r="S11" s="1"/>
  <c r="G12"/>
  <c r="S12" s="1"/>
  <c r="G13"/>
  <c r="S13" s="1"/>
  <c r="G14"/>
  <c r="S14" s="1"/>
  <c r="G15"/>
  <c r="S15" s="1"/>
  <c r="G16"/>
  <c r="S16" s="1"/>
  <c r="G17"/>
  <c r="S17" s="1"/>
  <c r="G18"/>
  <c r="S18" s="1"/>
  <c r="G19"/>
  <c r="S19" s="1"/>
  <c r="G20"/>
  <c r="S20" s="1"/>
  <c r="G21"/>
  <c r="S21" s="1"/>
  <c r="G22"/>
  <c r="S22" s="1"/>
  <c r="G23"/>
  <c r="S23" s="1"/>
  <c r="G24"/>
  <c r="S24" s="1"/>
  <c r="G25"/>
  <c r="S25" s="1"/>
  <c r="G26"/>
  <c r="S26" s="1"/>
  <c r="G27"/>
  <c r="S27" s="1"/>
  <c r="G28"/>
  <c r="S28" s="1"/>
  <c r="G29"/>
  <c r="S29" s="1"/>
  <c r="G30"/>
  <c r="S30" s="1"/>
  <c r="G31"/>
  <c r="S31" s="1"/>
  <c r="G32"/>
  <c r="S32" s="1"/>
  <c r="G33"/>
  <c r="S33" s="1"/>
  <c r="G34"/>
  <c r="S34" s="1"/>
  <c r="G35"/>
  <c r="S35" s="1"/>
  <c r="G36"/>
  <c r="S36" s="1"/>
  <c r="G37"/>
  <c r="S37" s="1"/>
  <c r="G38"/>
  <c r="S38" s="1"/>
  <c r="G39"/>
  <c r="S39" s="1"/>
  <c r="G40"/>
  <c r="S40" s="1"/>
  <c r="G41"/>
  <c r="S41" s="1"/>
  <c r="G42"/>
  <c r="S42" s="1"/>
  <c r="G43"/>
  <c r="S43" s="1"/>
  <c r="G44"/>
  <c r="S44" s="1"/>
  <c r="G45"/>
  <c r="S45" s="1"/>
  <c r="G46"/>
  <c r="S46" s="1"/>
  <c r="G47"/>
  <c r="S47" s="1"/>
  <c r="G48"/>
  <c r="S48" s="1"/>
  <c r="G49"/>
  <c r="S49" s="1"/>
  <c r="G50"/>
  <c r="S50" s="1"/>
  <c r="G51"/>
  <c r="S51" s="1"/>
  <c r="G52"/>
  <c r="S52" s="1"/>
  <c r="G53"/>
  <c r="S53" s="1"/>
  <c r="G54"/>
  <c r="S54" s="1"/>
  <c r="G55"/>
  <c r="S55" s="1"/>
  <c r="G56"/>
  <c r="S56" s="1"/>
  <c r="G57"/>
  <c r="S57" s="1"/>
  <c r="G58"/>
  <c r="S58" s="1"/>
  <c r="G59"/>
  <c r="S59" s="1"/>
  <c r="G60"/>
  <c r="S60" s="1"/>
  <c r="G61"/>
  <c r="S61" s="1"/>
  <c r="G62"/>
  <c r="S62" s="1"/>
  <c r="G63"/>
  <c r="S63" s="1"/>
  <c r="G64"/>
  <c r="S64" s="1"/>
  <c r="G65"/>
  <c r="S65" s="1"/>
  <c r="G66"/>
  <c r="S66" s="1"/>
  <c r="G67"/>
  <c r="S67" s="1"/>
  <c r="G68"/>
  <c r="S68" s="1"/>
  <c r="G69"/>
  <c r="S69" s="1"/>
  <c r="G70"/>
  <c r="S70" s="1"/>
  <c r="G71"/>
  <c r="S71" s="1"/>
  <c r="G72"/>
  <c r="S72" s="1"/>
  <c r="G73"/>
  <c r="S73" s="1"/>
  <c r="G74"/>
  <c r="S74" s="1"/>
  <c r="G75"/>
  <c r="S75" s="1"/>
  <c r="G76"/>
  <c r="S76" s="1"/>
  <c r="G77"/>
  <c r="S77" s="1"/>
  <c r="G78"/>
  <c r="S78" s="1"/>
  <c r="G79"/>
  <c r="S79" s="1"/>
  <c r="G80"/>
  <c r="S80" s="1"/>
  <c r="G81"/>
  <c r="S81" s="1"/>
  <c r="G82"/>
  <c r="S82" s="1"/>
  <c r="G83"/>
  <c r="S83" s="1"/>
  <c r="G84"/>
  <c r="S84" s="1"/>
  <c r="G85"/>
  <c r="S85" s="1"/>
  <c r="G86"/>
  <c r="S86" s="1"/>
  <c r="G87"/>
  <c r="S87" s="1"/>
  <c r="G88"/>
  <c r="S88" s="1"/>
  <c r="G89"/>
  <c r="S89" s="1"/>
  <c r="G90"/>
  <c r="S90" s="1"/>
  <c r="G91"/>
  <c r="S91" s="1"/>
  <c r="G92"/>
  <c r="S92" s="1"/>
  <c r="G93"/>
  <c r="S93" s="1"/>
  <c r="G94"/>
  <c r="S94" s="1"/>
  <c r="G95"/>
  <c r="S95" s="1"/>
  <c r="G96"/>
  <c r="S96" s="1"/>
  <c r="G97"/>
  <c r="S97" s="1"/>
  <c r="G98"/>
  <c r="S98" s="1"/>
  <c r="G99"/>
  <c r="S99" s="1"/>
  <c r="G100"/>
  <c r="S100" s="1"/>
  <c r="G101"/>
  <c r="S101" s="1"/>
  <c r="G102"/>
  <c r="S102" s="1"/>
  <c r="G103"/>
  <c r="S103" s="1"/>
  <c r="G104"/>
  <c r="S104" s="1"/>
  <c r="G105"/>
  <c r="S105" s="1"/>
  <c r="G106"/>
  <c r="S106" s="1"/>
  <c r="G107"/>
  <c r="S107" s="1"/>
  <c r="G108"/>
  <c r="S108" s="1"/>
  <c r="G109"/>
  <c r="S109" s="1"/>
  <c r="G110"/>
  <c r="S110" s="1"/>
  <c r="G111"/>
  <c r="S111" s="1"/>
  <c r="G112"/>
  <c r="S112" s="1"/>
  <c r="G113"/>
  <c r="S113" s="1"/>
  <c r="G114"/>
  <c r="S114" s="1"/>
  <c r="G115"/>
  <c r="S115" s="1"/>
  <c r="G116"/>
  <c r="S116" s="1"/>
  <c r="G117"/>
  <c r="S117" s="1"/>
  <c r="G118"/>
  <c r="S118" s="1"/>
  <c r="G119"/>
  <c r="S119" s="1"/>
  <c r="G120"/>
  <c r="S120" s="1"/>
  <c r="G121"/>
  <c r="S121" s="1"/>
  <c r="G122"/>
  <c r="S122" s="1"/>
  <c r="G123"/>
  <c r="S123" s="1"/>
  <c r="G124"/>
  <c r="S124" s="1"/>
  <c r="G125"/>
  <c r="S125" s="1"/>
  <c r="G126"/>
  <c r="S126" s="1"/>
  <c r="G127"/>
  <c r="S127" s="1"/>
  <c r="G128"/>
  <c r="S128" s="1"/>
  <c r="G129"/>
  <c r="S129" s="1"/>
  <c r="G130"/>
  <c r="S130" s="1"/>
  <c r="G131"/>
  <c r="S131" s="1"/>
  <c r="G132"/>
  <c r="S132" s="1"/>
  <c r="G133"/>
  <c r="S133" s="1"/>
  <c r="G134"/>
  <c r="S134" s="1"/>
  <c r="G135"/>
  <c r="S135" s="1"/>
  <c r="G136"/>
  <c r="S136" s="1"/>
  <c r="G137"/>
  <c r="S137" s="1"/>
  <c r="G138"/>
  <c r="S138" s="1"/>
  <c r="G139"/>
  <c r="S139" s="1"/>
  <c r="G140"/>
  <c r="S140" s="1"/>
  <c r="G141"/>
  <c r="S141" s="1"/>
  <c r="G142"/>
  <c r="S142" s="1"/>
  <c r="G143"/>
  <c r="S143" s="1"/>
  <c r="G144"/>
  <c r="S144" s="1"/>
  <c r="G145"/>
  <c r="S145" s="1"/>
  <c r="G146"/>
  <c r="S146" s="1"/>
  <c r="G147"/>
  <c r="S147" s="1"/>
  <c r="G148"/>
  <c r="S148" s="1"/>
  <c r="G149"/>
  <c r="S149" s="1"/>
  <c r="G150"/>
  <c r="S150" s="1"/>
  <c r="G151"/>
  <c r="S151" s="1"/>
  <c r="G152"/>
  <c r="S152" s="1"/>
  <c r="G153"/>
  <c r="S153" s="1"/>
  <c r="G154"/>
  <c r="S154" s="1"/>
  <c r="G155"/>
  <c r="S155" s="1"/>
  <c r="G156"/>
  <c r="S156" s="1"/>
  <c r="G157"/>
  <c r="S157" s="1"/>
  <c r="G158"/>
  <c r="S158" s="1"/>
  <c r="G159"/>
  <c r="S159" s="1"/>
  <c r="G160"/>
  <c r="S160" s="1"/>
  <c r="G161"/>
  <c r="S161" s="1"/>
  <c r="G162"/>
  <c r="S162" s="1"/>
  <c r="G163"/>
  <c r="S163" s="1"/>
  <c r="G164"/>
  <c r="S164" s="1"/>
  <c r="G165"/>
  <c r="S165" s="1"/>
  <c r="G166"/>
  <c r="S166" s="1"/>
  <c r="G167"/>
  <c r="S167" s="1"/>
  <c r="G168"/>
  <c r="S168" s="1"/>
  <c r="G169"/>
  <c r="S169" s="1"/>
  <c r="G170"/>
  <c r="S170" s="1"/>
  <c r="G171"/>
  <c r="S171" s="1"/>
  <c r="G172"/>
  <c r="S172" s="1"/>
  <c r="G173"/>
  <c r="S173" s="1"/>
  <c r="G174"/>
  <c r="S174" s="1"/>
  <c r="G175"/>
  <c r="S175" s="1"/>
  <c r="G176"/>
  <c r="S176" s="1"/>
  <c r="G177"/>
  <c r="S177" s="1"/>
  <c r="G178"/>
  <c r="S178" s="1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K6"/>
  <c r="U6" s="1"/>
  <c r="K7"/>
  <c r="U7" s="1"/>
  <c r="K8"/>
  <c r="U8" s="1"/>
  <c r="K9"/>
  <c r="U9" s="1"/>
  <c r="K10"/>
  <c r="U10" s="1"/>
  <c r="K11"/>
  <c r="U11" s="1"/>
  <c r="K12"/>
  <c r="U12" s="1"/>
  <c r="K13"/>
  <c r="U13" s="1"/>
  <c r="K14"/>
  <c r="U14" s="1"/>
  <c r="K15"/>
  <c r="U15" s="1"/>
  <c r="K16"/>
  <c r="U16" s="1"/>
  <c r="K17"/>
  <c r="U17" s="1"/>
  <c r="K18"/>
  <c r="U18" s="1"/>
  <c r="K19"/>
  <c r="U19" s="1"/>
  <c r="K20"/>
  <c r="U20" s="1"/>
  <c r="K21"/>
  <c r="U21" s="1"/>
  <c r="K22"/>
  <c r="U22" s="1"/>
  <c r="K23"/>
  <c r="U23" s="1"/>
  <c r="K24"/>
  <c r="U24" s="1"/>
  <c r="K25"/>
  <c r="U25" s="1"/>
  <c r="K26"/>
  <c r="U26" s="1"/>
  <c r="K27"/>
  <c r="U27" s="1"/>
  <c r="K28"/>
  <c r="U28" s="1"/>
  <c r="K29"/>
  <c r="U29" s="1"/>
  <c r="K30"/>
  <c r="U30" s="1"/>
  <c r="K31"/>
  <c r="U31" s="1"/>
  <c r="K32"/>
  <c r="U32" s="1"/>
  <c r="K33"/>
  <c r="U33" s="1"/>
  <c r="K34"/>
  <c r="U34" s="1"/>
  <c r="K35"/>
  <c r="U35" s="1"/>
  <c r="K36"/>
  <c r="U36" s="1"/>
  <c r="K37"/>
  <c r="U37" s="1"/>
  <c r="K38"/>
  <c r="U38" s="1"/>
  <c r="K39"/>
  <c r="U39" s="1"/>
  <c r="K40"/>
  <c r="U40" s="1"/>
  <c r="K41"/>
  <c r="U41" s="1"/>
  <c r="K42"/>
  <c r="U42" s="1"/>
  <c r="K43"/>
  <c r="U43" s="1"/>
  <c r="K44"/>
  <c r="U44" s="1"/>
  <c r="K45"/>
  <c r="U45" s="1"/>
  <c r="K46"/>
  <c r="U46" s="1"/>
  <c r="K47"/>
  <c r="U47" s="1"/>
  <c r="K48"/>
  <c r="U48" s="1"/>
  <c r="K49"/>
  <c r="U49" s="1"/>
  <c r="K50"/>
  <c r="U50" s="1"/>
  <c r="K51"/>
  <c r="U51" s="1"/>
  <c r="K52"/>
  <c r="U52" s="1"/>
  <c r="K53"/>
  <c r="U53" s="1"/>
  <c r="K54"/>
  <c r="U54" s="1"/>
  <c r="K55"/>
  <c r="U55" s="1"/>
  <c r="K56"/>
  <c r="U56" s="1"/>
  <c r="K57"/>
  <c r="U57" s="1"/>
  <c r="K58"/>
  <c r="U58" s="1"/>
  <c r="K59"/>
  <c r="U59" s="1"/>
  <c r="K60"/>
  <c r="U60" s="1"/>
  <c r="K61"/>
  <c r="U61" s="1"/>
  <c r="K62"/>
  <c r="U62" s="1"/>
  <c r="K63"/>
  <c r="U63" s="1"/>
  <c r="K64"/>
  <c r="U64" s="1"/>
  <c r="K65"/>
  <c r="U65" s="1"/>
  <c r="K66"/>
  <c r="U66" s="1"/>
  <c r="K67"/>
  <c r="U67" s="1"/>
  <c r="K68"/>
  <c r="U68" s="1"/>
  <c r="K69"/>
  <c r="U69" s="1"/>
  <c r="K70"/>
  <c r="U70" s="1"/>
  <c r="K71"/>
  <c r="U71" s="1"/>
  <c r="K72"/>
  <c r="U72" s="1"/>
  <c r="K73"/>
  <c r="U73" s="1"/>
  <c r="K74"/>
  <c r="U74" s="1"/>
  <c r="K75"/>
  <c r="U75" s="1"/>
  <c r="K76"/>
  <c r="U76" s="1"/>
  <c r="K77"/>
  <c r="U77" s="1"/>
  <c r="K78"/>
  <c r="U78" s="1"/>
  <c r="K79"/>
  <c r="U79" s="1"/>
  <c r="K80"/>
  <c r="U80" s="1"/>
  <c r="K81"/>
  <c r="U81" s="1"/>
  <c r="K82"/>
  <c r="U82" s="1"/>
  <c r="K83"/>
  <c r="U83" s="1"/>
  <c r="K84"/>
  <c r="U84" s="1"/>
  <c r="K85"/>
  <c r="U85" s="1"/>
  <c r="K86"/>
  <c r="U86" s="1"/>
  <c r="K87"/>
  <c r="U87" s="1"/>
  <c r="K88"/>
  <c r="U88" s="1"/>
  <c r="K89"/>
  <c r="U89" s="1"/>
  <c r="K90"/>
  <c r="U90" s="1"/>
  <c r="K91"/>
  <c r="U91" s="1"/>
  <c r="K92"/>
  <c r="U92" s="1"/>
  <c r="K93"/>
  <c r="U93" s="1"/>
  <c r="K94"/>
  <c r="U94" s="1"/>
  <c r="K95"/>
  <c r="U95" s="1"/>
  <c r="K96"/>
  <c r="U96" s="1"/>
  <c r="K97"/>
  <c r="U97" s="1"/>
  <c r="K98"/>
  <c r="U98" s="1"/>
  <c r="K99"/>
  <c r="U99" s="1"/>
  <c r="K100"/>
  <c r="U100" s="1"/>
  <c r="K101"/>
  <c r="U101" s="1"/>
  <c r="K102"/>
  <c r="U102" s="1"/>
  <c r="K103"/>
  <c r="U103" s="1"/>
  <c r="K104"/>
  <c r="U104" s="1"/>
  <c r="K105"/>
  <c r="U105" s="1"/>
  <c r="K106"/>
  <c r="U106" s="1"/>
  <c r="K107"/>
  <c r="U107" s="1"/>
  <c r="K108"/>
  <c r="U108" s="1"/>
  <c r="K109"/>
  <c r="U109" s="1"/>
  <c r="K110"/>
  <c r="U110" s="1"/>
  <c r="K111"/>
  <c r="U111" s="1"/>
  <c r="K112"/>
  <c r="U112" s="1"/>
  <c r="K113"/>
  <c r="U113" s="1"/>
  <c r="K114"/>
  <c r="U114" s="1"/>
  <c r="K115"/>
  <c r="U115" s="1"/>
  <c r="K116"/>
  <c r="U116" s="1"/>
  <c r="K117"/>
  <c r="K118"/>
  <c r="K119"/>
  <c r="U119" s="1"/>
  <c r="K120"/>
  <c r="U120" s="1"/>
  <c r="K121"/>
  <c r="U121" s="1"/>
  <c r="K122"/>
  <c r="U122" s="1"/>
  <c r="K123"/>
  <c r="U123" s="1"/>
  <c r="K124"/>
  <c r="U124" s="1"/>
  <c r="K125"/>
  <c r="U125" s="1"/>
  <c r="K126"/>
  <c r="U126" s="1"/>
  <c r="K127"/>
  <c r="U127" s="1"/>
  <c r="K128"/>
  <c r="U128" s="1"/>
  <c r="K129"/>
  <c r="U129" s="1"/>
  <c r="K130"/>
  <c r="U130" s="1"/>
  <c r="K131"/>
  <c r="U131" s="1"/>
  <c r="K132"/>
  <c r="K133"/>
  <c r="U133" s="1"/>
  <c r="K134"/>
  <c r="U134" s="1"/>
  <c r="K135"/>
  <c r="K136"/>
  <c r="U136" s="1"/>
  <c r="K137"/>
  <c r="U137" s="1"/>
  <c r="K138"/>
  <c r="K139"/>
  <c r="K140"/>
  <c r="U140" s="1"/>
  <c r="K141"/>
  <c r="K142"/>
  <c r="K143"/>
  <c r="U143" s="1"/>
  <c r="K144"/>
  <c r="U144" s="1"/>
  <c r="K145"/>
  <c r="U145" s="1"/>
  <c r="K146"/>
  <c r="K147"/>
  <c r="U147" s="1"/>
  <c r="K148"/>
  <c r="U148" s="1"/>
  <c r="K149"/>
  <c r="U149" s="1"/>
  <c r="K150"/>
  <c r="U150" s="1"/>
  <c r="K151"/>
  <c r="U151" s="1"/>
  <c r="K152"/>
  <c r="U152" s="1"/>
  <c r="K153"/>
  <c r="K154"/>
  <c r="K155"/>
  <c r="U155" s="1"/>
  <c r="K156"/>
  <c r="U156" s="1"/>
  <c r="K157"/>
  <c r="U157" s="1"/>
  <c r="K158"/>
  <c r="U158" s="1"/>
  <c r="K159"/>
  <c r="K160"/>
  <c r="U160" s="1"/>
  <c r="K161"/>
  <c r="U161" s="1"/>
  <c r="K162"/>
  <c r="K163"/>
  <c r="U163" s="1"/>
  <c r="K164"/>
  <c r="U164" s="1"/>
  <c r="K165"/>
  <c r="U165" s="1"/>
  <c r="K166"/>
  <c r="U166" s="1"/>
  <c r="K167"/>
  <c r="U167" s="1"/>
  <c r="K168"/>
  <c r="U168" s="1"/>
  <c r="K169"/>
  <c r="K170"/>
  <c r="U170" s="1"/>
  <c r="K171"/>
  <c r="K172"/>
  <c r="U172" s="1"/>
  <c r="K173"/>
  <c r="U173" s="1"/>
  <c r="K174"/>
  <c r="U174" s="1"/>
  <c r="K175"/>
  <c r="U175" s="1"/>
  <c r="K176"/>
  <c r="K177"/>
  <c r="K178"/>
  <c r="U178" s="1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U117"/>
  <c r="U118"/>
  <c r="U132"/>
  <c r="U135"/>
  <c r="U138"/>
  <c r="U139"/>
  <c r="U141"/>
  <c r="U142"/>
  <c r="U146"/>
  <c r="U153"/>
  <c r="U154"/>
  <c r="U159"/>
  <c r="U162"/>
  <c r="U169"/>
  <c r="U171"/>
  <c r="U176"/>
  <c r="U177"/>
  <c r="W6"/>
  <c r="W7"/>
  <c r="X7" s="1"/>
  <c r="Y7" s="1"/>
  <c r="W8"/>
  <c r="X8" s="1"/>
  <c r="Y8" s="1"/>
  <c r="W9"/>
  <c r="X9" s="1"/>
  <c r="Y9" s="1"/>
  <c r="W10"/>
  <c r="X10" s="1"/>
  <c r="Y10" s="1"/>
  <c r="W11"/>
  <c r="W12"/>
  <c r="X12" s="1"/>
  <c r="Y12" s="1"/>
  <c r="W13"/>
  <c r="X13" s="1"/>
  <c r="Y13" s="1"/>
  <c r="W14"/>
  <c r="X14" s="1"/>
  <c r="Y14" s="1"/>
  <c r="W15"/>
  <c r="X15" s="1"/>
  <c r="Y15" s="1"/>
  <c r="W16"/>
  <c r="X16" s="1"/>
  <c r="Y16" s="1"/>
  <c r="W17"/>
  <c r="X17" s="1"/>
  <c r="Y17" s="1"/>
  <c r="W18"/>
  <c r="X18" s="1"/>
  <c r="Y18" s="1"/>
  <c r="W19"/>
  <c r="X19" s="1"/>
  <c r="Y19" s="1"/>
  <c r="W20"/>
  <c r="X20" s="1"/>
  <c r="Y20" s="1"/>
  <c r="W21"/>
  <c r="X21" s="1"/>
  <c r="Y21" s="1"/>
  <c r="W22"/>
  <c r="X22" s="1"/>
  <c r="Y22" s="1"/>
  <c r="W23"/>
  <c r="X23" s="1"/>
  <c r="W24"/>
  <c r="X24" s="1"/>
  <c r="Y24" s="1"/>
  <c r="W25"/>
  <c r="X25" s="1"/>
  <c r="Y25" s="1"/>
  <c r="W26"/>
  <c r="X26" s="1"/>
  <c r="Y26" s="1"/>
  <c r="W27"/>
  <c r="X27" s="1"/>
  <c r="Y27" s="1"/>
  <c r="W28"/>
  <c r="W29"/>
  <c r="X29" s="1"/>
  <c r="Y29" s="1"/>
  <c r="W30"/>
  <c r="X30" s="1"/>
  <c r="Y30" s="1"/>
  <c r="W31"/>
  <c r="X31" s="1"/>
  <c r="Y31" s="1"/>
  <c r="W32"/>
  <c r="X32" s="1"/>
  <c r="Y32" s="1"/>
  <c r="W33"/>
  <c r="X33" s="1"/>
  <c r="Y33" s="1"/>
  <c r="W34"/>
  <c r="X34" s="1"/>
  <c r="Y34" s="1"/>
  <c r="W35"/>
  <c r="X35" s="1"/>
  <c r="Y35" s="1"/>
  <c r="W36"/>
  <c r="X36" s="1"/>
  <c r="Y36" s="1"/>
  <c r="W37"/>
  <c r="X37" s="1"/>
  <c r="Y37" s="1"/>
  <c r="W38"/>
  <c r="X38" s="1"/>
  <c r="Y38" s="1"/>
  <c r="W39"/>
  <c r="X39" s="1"/>
  <c r="Y39" s="1"/>
  <c r="W40"/>
  <c r="X40" s="1"/>
  <c r="Y40" s="1"/>
  <c r="W41"/>
  <c r="X41" s="1"/>
  <c r="Y41" s="1"/>
  <c r="W42"/>
  <c r="X42" s="1"/>
  <c r="Y42" s="1"/>
  <c r="W43"/>
  <c r="X43" s="1"/>
  <c r="Y43" s="1"/>
  <c r="W44"/>
  <c r="X44" s="1"/>
  <c r="Y44" s="1"/>
  <c r="W45"/>
  <c r="X45" s="1"/>
  <c r="Y45" s="1"/>
  <c r="W46"/>
  <c r="X46" s="1"/>
  <c r="Y46" s="1"/>
  <c r="W47"/>
  <c r="X47" s="1"/>
  <c r="Y47" s="1"/>
  <c r="W48"/>
  <c r="X48" s="1"/>
  <c r="Y48" s="1"/>
  <c r="W49"/>
  <c r="X49" s="1"/>
  <c r="Y49" s="1"/>
  <c r="W50"/>
  <c r="X50" s="1"/>
  <c r="Y50" s="1"/>
  <c r="W51"/>
  <c r="X51" s="1"/>
  <c r="Y51" s="1"/>
  <c r="W52"/>
  <c r="X52" s="1"/>
  <c r="Y52" s="1"/>
  <c r="W53"/>
  <c r="X53" s="1"/>
  <c r="Y53" s="1"/>
  <c r="W54"/>
  <c r="X54" s="1"/>
  <c r="Y54" s="1"/>
  <c r="W55"/>
  <c r="X55" s="1"/>
  <c r="Y55" s="1"/>
  <c r="W56"/>
  <c r="X56" s="1"/>
  <c r="Y56" s="1"/>
  <c r="W57"/>
  <c r="X57" s="1"/>
  <c r="Y57" s="1"/>
  <c r="W58"/>
  <c r="X58" s="1"/>
  <c r="Y58" s="1"/>
  <c r="W59"/>
  <c r="X59" s="1"/>
  <c r="Y59" s="1"/>
  <c r="W60"/>
  <c r="X60" s="1"/>
  <c r="Y60" s="1"/>
  <c r="W61"/>
  <c r="X61" s="1"/>
  <c r="Y61" s="1"/>
  <c r="W62"/>
  <c r="X62" s="1"/>
  <c r="Y62" s="1"/>
  <c r="W63"/>
  <c r="X63" s="1"/>
  <c r="Y63" s="1"/>
  <c r="W64"/>
  <c r="X64" s="1"/>
  <c r="Y64" s="1"/>
  <c r="W65"/>
  <c r="X65" s="1"/>
  <c r="Y65" s="1"/>
  <c r="W66"/>
  <c r="X66" s="1"/>
  <c r="Y66" s="1"/>
  <c r="W67"/>
  <c r="X67" s="1"/>
  <c r="Y67" s="1"/>
  <c r="W68"/>
  <c r="X68" s="1"/>
  <c r="Y68" s="1"/>
  <c r="W69"/>
  <c r="X69" s="1"/>
  <c r="Y69" s="1"/>
  <c r="W70"/>
  <c r="X70" s="1"/>
  <c r="Y70" s="1"/>
  <c r="W71"/>
  <c r="X71" s="1"/>
  <c r="Y71" s="1"/>
  <c r="W73"/>
  <c r="X73" s="1"/>
  <c r="Y73" s="1"/>
  <c r="W74"/>
  <c r="X74" s="1"/>
  <c r="Y74" s="1"/>
  <c r="W75"/>
  <c r="X75" s="1"/>
  <c r="Y75" s="1"/>
  <c r="W76"/>
  <c r="X76" s="1"/>
  <c r="Y76" s="1"/>
  <c r="W77"/>
  <c r="X77" s="1"/>
  <c r="Y77" s="1"/>
  <c r="W78"/>
  <c r="X78" s="1"/>
  <c r="Y78" s="1"/>
  <c r="W79"/>
  <c r="X79" s="1"/>
  <c r="Y79" s="1"/>
  <c r="W80"/>
  <c r="X80" s="1"/>
  <c r="Y80" s="1"/>
  <c r="W81"/>
  <c r="X81" s="1"/>
  <c r="Y81" s="1"/>
  <c r="W82"/>
  <c r="X82" s="1"/>
  <c r="Y82" s="1"/>
  <c r="W83"/>
  <c r="X83" s="1"/>
  <c r="Y83" s="1"/>
  <c r="W84"/>
  <c r="X84" s="1"/>
  <c r="Y84" s="1"/>
  <c r="X85"/>
  <c r="Y85" s="1"/>
  <c r="W86"/>
  <c r="X86" s="1"/>
  <c r="Y86" s="1"/>
  <c r="W87"/>
  <c r="X87" s="1"/>
  <c r="Y87" s="1"/>
  <c r="W88"/>
  <c r="X88" s="1"/>
  <c r="Y88" s="1"/>
  <c r="W89"/>
  <c r="X89" s="1"/>
  <c r="Y89" s="1"/>
  <c r="W90"/>
  <c r="X90" s="1"/>
  <c r="Y90" s="1"/>
  <c r="W91"/>
  <c r="X91" s="1"/>
  <c r="Y91" s="1"/>
  <c r="W92"/>
  <c r="X92" s="1"/>
  <c r="Y92" s="1"/>
  <c r="W93"/>
  <c r="X93" s="1"/>
  <c r="Y93" s="1"/>
  <c r="W94"/>
  <c r="W95"/>
  <c r="X95" s="1"/>
  <c r="Y95" s="1"/>
  <c r="W96"/>
  <c r="X96" s="1"/>
  <c r="Y96" s="1"/>
  <c r="W97"/>
  <c r="X97" s="1"/>
  <c r="Y97" s="1"/>
  <c r="W98"/>
  <c r="X98" s="1"/>
  <c r="Y98" s="1"/>
  <c r="W99"/>
  <c r="X99" s="1"/>
  <c r="Y99" s="1"/>
  <c r="W100"/>
  <c r="X100" s="1"/>
  <c r="Y100" s="1"/>
  <c r="W101"/>
  <c r="X101" s="1"/>
  <c r="Y101" s="1"/>
  <c r="W102"/>
  <c r="W103"/>
  <c r="X103" s="1"/>
  <c r="Y103" s="1"/>
  <c r="W104"/>
  <c r="X104" s="1"/>
  <c r="Y104" s="1"/>
  <c r="W105"/>
  <c r="X105" s="1"/>
  <c r="Y105" s="1"/>
  <c r="W106"/>
  <c r="W107"/>
  <c r="X107" s="1"/>
  <c r="Y107" s="1"/>
  <c r="W108"/>
  <c r="X108" s="1"/>
  <c r="Y108" s="1"/>
  <c r="W109"/>
  <c r="X109" s="1"/>
  <c r="Y109" s="1"/>
  <c r="W110"/>
  <c r="X110" s="1"/>
  <c r="Y110" s="1"/>
  <c r="W111"/>
  <c r="X111" s="1"/>
  <c r="Y111" s="1"/>
  <c r="W112"/>
  <c r="X112" s="1"/>
  <c r="Y112" s="1"/>
  <c r="W113"/>
  <c r="X113" s="1"/>
  <c r="Y113" s="1"/>
  <c r="W114"/>
  <c r="X114" s="1"/>
  <c r="Y114" s="1"/>
  <c r="W115"/>
  <c r="X115" s="1"/>
  <c r="Y115" s="1"/>
  <c r="W116"/>
  <c r="X116" s="1"/>
  <c r="Y116" s="1"/>
  <c r="W117"/>
  <c r="X117" s="1"/>
  <c r="Y117" s="1"/>
  <c r="W118"/>
  <c r="X118" s="1"/>
  <c r="Y118" s="1"/>
  <c r="W119"/>
  <c r="X119" s="1"/>
  <c r="Y119" s="1"/>
  <c r="W120"/>
  <c r="X120" s="1"/>
  <c r="Y120" s="1"/>
  <c r="W121"/>
  <c r="X121" s="1"/>
  <c r="Y121" s="1"/>
  <c r="W122"/>
  <c r="X122" s="1"/>
  <c r="Y122" s="1"/>
  <c r="W123"/>
  <c r="X123" s="1"/>
  <c r="Y123" s="1"/>
  <c r="W124"/>
  <c r="X124" s="1"/>
  <c r="Y124" s="1"/>
  <c r="W125"/>
  <c r="X125" s="1"/>
  <c r="Y125" s="1"/>
  <c r="W126"/>
  <c r="X126" s="1"/>
  <c r="Y126" s="1"/>
  <c r="W127"/>
  <c r="X127" s="1"/>
  <c r="Y127" s="1"/>
  <c r="W128"/>
  <c r="X128" s="1"/>
  <c r="Y128" s="1"/>
  <c r="W129"/>
  <c r="X129" s="1"/>
  <c r="Y129" s="1"/>
  <c r="W130"/>
  <c r="X130" s="1"/>
  <c r="Y130" s="1"/>
  <c r="W131"/>
  <c r="W132"/>
  <c r="X132" s="1"/>
  <c r="Y132" s="1"/>
  <c r="W133"/>
  <c r="X133" s="1"/>
  <c r="Y133" s="1"/>
  <c r="W134"/>
  <c r="X134" s="1"/>
  <c r="Y134" s="1"/>
  <c r="W135"/>
  <c r="X135" s="1"/>
  <c r="Y135" s="1"/>
  <c r="W136"/>
  <c r="X136" s="1"/>
  <c r="Y136" s="1"/>
  <c r="W137"/>
  <c r="X137" s="1"/>
  <c r="Y137" s="1"/>
  <c r="W138"/>
  <c r="X138" s="1"/>
  <c r="Y138" s="1"/>
  <c r="W139"/>
  <c r="X139" s="1"/>
  <c r="Y139" s="1"/>
  <c r="W140"/>
  <c r="X140" s="1"/>
  <c r="Y140" s="1"/>
  <c r="W141"/>
  <c r="X141" s="1"/>
  <c r="Y141" s="1"/>
  <c r="W142"/>
  <c r="X142" s="1"/>
  <c r="Y142" s="1"/>
  <c r="W143"/>
  <c r="X143" s="1"/>
  <c r="Y143" s="1"/>
  <c r="W144"/>
  <c r="W145"/>
  <c r="X145" s="1"/>
  <c r="Y145" s="1"/>
  <c r="W146"/>
  <c r="X146" s="1"/>
  <c r="Y146" s="1"/>
  <c r="W147"/>
  <c r="X147" s="1"/>
  <c r="Y147" s="1"/>
  <c r="W148"/>
  <c r="W149"/>
  <c r="X149" s="1"/>
  <c r="Y149" s="1"/>
  <c r="W150"/>
  <c r="X150" s="1"/>
  <c r="Y150" s="1"/>
  <c r="W151"/>
  <c r="X151" s="1"/>
  <c r="Y151" s="1"/>
  <c r="W152"/>
  <c r="X152" s="1"/>
  <c r="Y152" s="1"/>
  <c r="W153"/>
  <c r="X153" s="1"/>
  <c r="Y153" s="1"/>
  <c r="W154"/>
  <c r="X154" s="1"/>
  <c r="Y154" s="1"/>
  <c r="W155"/>
  <c r="X155" s="1"/>
  <c r="Y155" s="1"/>
  <c r="W156"/>
  <c r="X156" s="1"/>
  <c r="Y156" s="1"/>
  <c r="W157"/>
  <c r="X157" s="1"/>
  <c r="Y157" s="1"/>
  <c r="W158"/>
  <c r="X158" s="1"/>
  <c r="Y158" s="1"/>
  <c r="W159"/>
  <c r="X159" s="1"/>
  <c r="Y159" s="1"/>
  <c r="W160"/>
  <c r="W161"/>
  <c r="X161" s="1"/>
  <c r="Y161" s="1"/>
  <c r="W162"/>
  <c r="X162" s="1"/>
  <c r="Y162" s="1"/>
  <c r="W163"/>
  <c r="X163" s="1"/>
  <c r="Y163" s="1"/>
  <c r="W164"/>
  <c r="X164" s="1"/>
  <c r="Y164" s="1"/>
  <c r="W165"/>
  <c r="X165" s="1"/>
  <c r="Y165" s="1"/>
  <c r="W166"/>
  <c r="W167"/>
  <c r="W168"/>
  <c r="X168" s="1"/>
  <c r="Y168" s="1"/>
  <c r="W169"/>
  <c r="X169" s="1"/>
  <c r="Y169" s="1"/>
  <c r="W170"/>
  <c r="X170" s="1"/>
  <c r="Y170" s="1"/>
  <c r="W171"/>
  <c r="X171" s="1"/>
  <c r="Y171" s="1"/>
  <c r="W172"/>
  <c r="X172" s="1"/>
  <c r="Y172" s="1"/>
  <c r="W173"/>
  <c r="X173" s="1"/>
  <c r="Y173" s="1"/>
  <c r="W174"/>
  <c r="X174" s="1"/>
  <c r="Y174" s="1"/>
  <c r="W175"/>
  <c r="X175" s="1"/>
  <c r="Y175" s="1"/>
  <c r="W176"/>
  <c r="X176" s="1"/>
  <c r="Y176" s="1"/>
  <c r="W177"/>
  <c r="X177" s="1"/>
  <c r="Y177" s="1"/>
  <c r="W178"/>
  <c r="X178" s="1"/>
  <c r="Y178" s="1"/>
  <c r="X6"/>
  <c r="Y6" s="1"/>
  <c r="X11"/>
  <c r="Y11" s="1"/>
  <c r="X28"/>
  <c r="Y28" s="1"/>
  <c r="X72"/>
  <c r="Y72" s="1"/>
  <c r="X94"/>
  <c r="Y94" s="1"/>
  <c r="X102"/>
  <c r="Y102" s="1"/>
  <c r="X106"/>
  <c r="Y106" s="1"/>
  <c r="X131"/>
  <c r="Y131" s="1"/>
  <c r="X144"/>
  <c r="Y144" s="1"/>
  <c r="X148"/>
  <c r="Y148" s="1"/>
  <c r="X160"/>
  <c r="Y160" s="1"/>
  <c r="X166"/>
  <c r="Y166" s="1"/>
  <c r="X167"/>
  <c r="Y167" s="1"/>
  <c r="Y23"/>
  <c r="T503" l="1"/>
  <c r="T463"/>
  <c r="T293"/>
  <c r="T245" i="143"/>
  <c r="T244"/>
  <c r="T240"/>
  <c r="T235"/>
  <c r="T234"/>
  <c r="T387" i="137"/>
  <c r="T554"/>
  <c r="T553"/>
  <c r="T551"/>
  <c r="T549"/>
  <c r="T548"/>
  <c r="T547"/>
  <c r="T545"/>
  <c r="T544"/>
  <c r="T530"/>
  <c r="T523"/>
  <c r="T506"/>
  <c r="T498"/>
  <c r="T243" i="143"/>
  <c r="T242"/>
  <c r="T241"/>
  <c r="T239"/>
  <c r="T237"/>
  <c r="T236"/>
  <c r="T543" i="137"/>
  <c r="T555"/>
  <c r="T552"/>
  <c r="T550"/>
  <c r="T542"/>
  <c r="T541"/>
  <c r="T540"/>
  <c r="T534"/>
  <c r="T527"/>
  <c r="T522"/>
  <c r="T521"/>
  <c r="T519"/>
  <c r="T513"/>
  <c r="T535"/>
  <c r="T539"/>
  <c r="T536"/>
  <c r="T533"/>
  <c r="T531"/>
  <c r="T529"/>
  <c r="T528"/>
  <c r="T526"/>
  <c r="T525"/>
  <c r="T520"/>
  <c r="T518"/>
  <c r="T516"/>
  <c r="T514"/>
  <c r="T489"/>
  <c r="T481"/>
  <c r="T426"/>
  <c r="T496"/>
  <c r="T470"/>
  <c r="T414"/>
  <c r="T413"/>
  <c r="T532"/>
  <c r="T339"/>
  <c r="T511"/>
  <c r="T510"/>
  <c r="T509"/>
  <c r="T508"/>
  <c r="T507"/>
  <c r="T502"/>
  <c r="T501"/>
  <c r="T499"/>
  <c r="T494"/>
  <c r="T491"/>
  <c r="T490"/>
  <c r="T488"/>
  <c r="T487"/>
  <c r="T486"/>
  <c r="T483"/>
  <c r="T512"/>
  <c r="T408"/>
  <c r="T500"/>
  <c r="T497"/>
  <c r="T493"/>
  <c r="T504"/>
  <c r="T495"/>
  <c r="T485"/>
  <c r="T179"/>
  <c r="T185"/>
  <c r="T505"/>
  <c r="T417"/>
  <c r="T393"/>
  <c r="T416"/>
  <c r="T191"/>
  <c r="T197"/>
  <c r="T203"/>
  <c r="T209"/>
  <c r="T407"/>
  <c r="T374"/>
  <c r="T402"/>
  <c r="T410"/>
  <c r="T221"/>
  <c r="T227"/>
  <c r="T394"/>
  <c r="T409"/>
  <c r="T482"/>
  <c r="T478"/>
  <c r="T476"/>
  <c r="T475"/>
  <c r="T474"/>
  <c r="T473"/>
  <c r="T471"/>
  <c r="T233"/>
  <c r="T239"/>
  <c r="T480"/>
  <c r="T477"/>
  <c r="T479"/>
  <c r="T472"/>
  <c r="T412"/>
  <c r="T182"/>
  <c r="T467"/>
  <c r="T466"/>
  <c r="T465"/>
  <c r="T464"/>
  <c r="T462"/>
  <c r="T461"/>
  <c r="T459"/>
  <c r="T455"/>
  <c r="T454"/>
  <c r="T446"/>
  <c r="T440"/>
  <c r="T438"/>
  <c r="T436"/>
  <c r="T435"/>
  <c r="T431"/>
  <c r="T469"/>
  <c r="T457"/>
  <c r="T468"/>
  <c r="T460"/>
  <c r="T458"/>
  <c r="T350"/>
  <c r="T370"/>
  <c r="T330"/>
  <c r="T305"/>
  <c r="T385"/>
  <c r="T317"/>
  <c r="T365"/>
  <c r="T367"/>
  <c r="T352"/>
  <c r="T377"/>
  <c r="T286"/>
  <c r="T456"/>
  <c r="T325"/>
  <c r="T444"/>
  <c r="T442"/>
  <c r="T439"/>
  <c r="T452"/>
  <c r="T445"/>
  <c r="T453"/>
  <c r="T451"/>
  <c r="T450"/>
  <c r="T449"/>
  <c r="T434"/>
  <c r="T432"/>
  <c r="T448"/>
  <c r="T447"/>
  <c r="T443"/>
  <c r="T437"/>
  <c r="T433"/>
  <c r="T344"/>
  <c r="T333"/>
  <c r="T354"/>
  <c r="T347"/>
  <c r="T441"/>
  <c r="T308"/>
  <c r="T300"/>
  <c r="T356"/>
  <c r="T351"/>
  <c r="T341"/>
  <c r="T359"/>
  <c r="T357"/>
  <c r="T353"/>
  <c r="T424"/>
  <c r="T428"/>
  <c r="T429"/>
  <c r="T430"/>
  <c r="T423"/>
  <c r="T422"/>
  <c r="T421"/>
  <c r="T420"/>
  <c r="T419"/>
  <c r="T415"/>
  <c r="T411"/>
  <c r="T404"/>
  <c r="T405"/>
  <c r="T406"/>
  <c r="T403"/>
  <c r="T215"/>
  <c r="T401"/>
  <c r="T400"/>
  <c r="T399"/>
  <c r="T396"/>
  <c r="T392"/>
  <c r="T391"/>
  <c r="T390"/>
  <c r="T389"/>
  <c r="T388"/>
  <c r="T386"/>
  <c r="T384"/>
  <c r="T383"/>
  <c r="T382"/>
  <c r="T381"/>
  <c r="T380"/>
  <c r="T379"/>
  <c r="T378"/>
  <c r="T376"/>
  <c r="T398"/>
  <c r="T395"/>
  <c r="T375"/>
  <c r="T329"/>
  <c r="T397"/>
  <c r="T373"/>
  <c r="T372"/>
  <c r="T371"/>
  <c r="T369"/>
  <c r="T366"/>
  <c r="T364"/>
  <c r="T363"/>
  <c r="T362"/>
  <c r="T361"/>
  <c r="T360"/>
  <c r="T358"/>
  <c r="T355"/>
  <c r="T368"/>
  <c r="T245"/>
  <c r="T349"/>
  <c r="T348"/>
  <c r="T346"/>
  <c r="T345"/>
  <c r="T343"/>
  <c r="T338"/>
  <c r="T337"/>
  <c r="T342"/>
  <c r="T340"/>
  <c r="T316"/>
  <c r="T307"/>
  <c r="T302"/>
  <c r="T301"/>
  <c r="T139"/>
  <c r="T287"/>
  <c r="T35"/>
  <c r="T134"/>
  <c r="T140"/>
  <c r="T155"/>
  <c r="T263"/>
  <c r="T336"/>
  <c r="T335"/>
  <c r="T334"/>
  <c r="T331"/>
  <c r="T328"/>
  <c r="T327"/>
  <c r="T326"/>
  <c r="T323"/>
  <c r="T322"/>
  <c r="T320"/>
  <c r="T319"/>
  <c r="T318"/>
  <c r="T313"/>
  <c r="T312"/>
  <c r="T311"/>
  <c r="T310"/>
  <c r="T292"/>
  <c r="T280"/>
  <c r="T262"/>
  <c r="T332"/>
  <c r="T255"/>
  <c r="T252"/>
  <c r="T321"/>
  <c r="T315"/>
  <c r="T314"/>
  <c r="T309"/>
  <c r="T324"/>
  <c r="T306"/>
  <c r="T299"/>
  <c r="T298"/>
  <c r="T297"/>
  <c r="T296"/>
  <c r="T295"/>
  <c r="T294"/>
  <c r="T291"/>
  <c r="T303"/>
  <c r="T304"/>
  <c r="T290"/>
  <c r="T285"/>
  <c r="T283"/>
  <c r="T282"/>
  <c r="T281"/>
  <c r="T279"/>
  <c r="T278"/>
  <c r="T277"/>
  <c r="T284"/>
  <c r="T289"/>
  <c r="T288"/>
  <c r="T276"/>
  <c r="T274"/>
  <c r="T273"/>
  <c r="T275"/>
  <c r="T272"/>
  <c r="T269"/>
  <c r="T268"/>
  <c r="T267"/>
  <c r="T265"/>
  <c r="T264"/>
  <c r="T271"/>
  <c r="T261"/>
  <c r="T257"/>
  <c r="T270"/>
  <c r="T266"/>
  <c r="T260"/>
  <c r="T259"/>
  <c r="T258"/>
  <c r="T256"/>
  <c r="T254"/>
  <c r="T218"/>
  <c r="T222"/>
  <c r="T230"/>
  <c r="T246"/>
  <c r="T234"/>
  <c r="T253"/>
  <c r="T242"/>
  <c r="T240"/>
  <c r="T228"/>
  <c r="T216"/>
  <c r="T210"/>
  <c r="T198"/>
  <c r="T192"/>
  <c r="T204"/>
  <c r="T194"/>
  <c r="T180"/>
  <c r="T157"/>
  <c r="T169"/>
  <c r="T163"/>
  <c r="T186"/>
  <c r="T174"/>
  <c r="T173"/>
  <c r="T175"/>
  <c r="T145"/>
  <c r="T151"/>
  <c r="T100"/>
  <c r="T109"/>
  <c r="T133"/>
  <c r="T118"/>
  <c r="T127"/>
  <c r="T115"/>
  <c r="T107"/>
  <c r="T121"/>
  <c r="T103"/>
  <c r="T97"/>
  <c r="T85"/>
  <c r="T91"/>
  <c r="T79"/>
  <c r="T73"/>
  <c r="T77"/>
  <c r="T49"/>
  <c r="T58"/>
  <c r="T64"/>
  <c r="T55"/>
  <c r="T67"/>
  <c r="T61"/>
  <c r="T13"/>
  <c r="T43"/>
  <c r="T46"/>
  <c r="T37"/>
  <c r="T29"/>
  <c r="T31"/>
  <c r="T25"/>
  <c r="T19"/>
  <c r="T16"/>
  <c r="T22"/>
  <c r="S6" i="143"/>
  <c r="T6" s="1"/>
  <c r="S7"/>
  <c r="T7" s="1"/>
  <c r="S8"/>
  <c r="T8" s="1"/>
  <c r="S9"/>
  <c r="T9" s="1"/>
  <c r="S10"/>
  <c r="T10" s="1"/>
  <c r="S11"/>
  <c r="T11" s="1"/>
  <c r="S12"/>
  <c r="T12" s="1"/>
  <c r="S13"/>
  <c r="T13" s="1"/>
  <c r="S14"/>
  <c r="T14" s="1"/>
  <c r="S15"/>
  <c r="T15" s="1"/>
  <c r="S16"/>
  <c r="T16" s="1"/>
  <c r="S17"/>
  <c r="T17" s="1"/>
  <c r="S18"/>
  <c r="T18" s="1"/>
  <c r="S19"/>
  <c r="T19" s="1"/>
  <c r="S20"/>
  <c r="T20" s="1"/>
  <c r="S21"/>
  <c r="T21" s="1"/>
  <c r="S22"/>
  <c r="T22" s="1"/>
  <c r="S23"/>
  <c r="T23" s="1"/>
  <c r="S24"/>
  <c r="T24" s="1"/>
  <c r="S25"/>
  <c r="T25" s="1"/>
  <c r="S26"/>
  <c r="T26" s="1"/>
  <c r="S27"/>
  <c r="T27" s="1"/>
  <c r="S28"/>
  <c r="T28" s="1"/>
  <c r="S29"/>
  <c r="T29" s="1"/>
  <c r="S30"/>
  <c r="T30" s="1"/>
  <c r="S31"/>
  <c r="T31" s="1"/>
  <c r="S32"/>
  <c r="T32" s="1"/>
  <c r="S33"/>
  <c r="T33" s="1"/>
  <c r="S34"/>
  <c r="T34" s="1"/>
  <c r="S35"/>
  <c r="T35" s="1"/>
  <c r="S36"/>
  <c r="T36" s="1"/>
  <c r="S37"/>
  <c r="T37" s="1"/>
  <c r="S38"/>
  <c r="T38" s="1"/>
  <c r="S39"/>
  <c r="T39" s="1"/>
  <c r="S40"/>
  <c r="T40" s="1"/>
  <c r="S41"/>
  <c r="T41" s="1"/>
  <c r="S42"/>
  <c r="T42" s="1"/>
  <c r="S43"/>
  <c r="T43" s="1"/>
  <c r="S44"/>
  <c r="T44" s="1"/>
  <c r="S45"/>
  <c r="T45" s="1"/>
  <c r="S46"/>
  <c r="T46" s="1"/>
  <c r="S47"/>
  <c r="T47" s="1"/>
  <c r="S48"/>
  <c r="T48" s="1"/>
  <c r="S49"/>
  <c r="T49" s="1"/>
  <c r="S50"/>
  <c r="T50" s="1"/>
  <c r="S51"/>
  <c r="T51" s="1"/>
  <c r="S52"/>
  <c r="T52" s="1"/>
  <c r="S53"/>
  <c r="T53" s="1"/>
  <c r="S54"/>
  <c r="T54" s="1"/>
  <c r="S55"/>
  <c r="T55" s="1"/>
  <c r="S56"/>
  <c r="T56" s="1"/>
  <c r="S57"/>
  <c r="T57" s="1"/>
  <c r="S58"/>
  <c r="T58" s="1"/>
  <c r="S59"/>
  <c r="T59" s="1"/>
  <c r="S60"/>
  <c r="T60" s="1"/>
  <c r="S61"/>
  <c r="T61" s="1"/>
  <c r="S62"/>
  <c r="T62" s="1"/>
  <c r="S63"/>
  <c r="T63" s="1"/>
  <c r="S64"/>
  <c r="T64" s="1"/>
  <c r="S65"/>
  <c r="T65" s="1"/>
  <c r="S66"/>
  <c r="T66" s="1"/>
  <c r="S67"/>
  <c r="T67" s="1"/>
  <c r="S68"/>
  <c r="T68" s="1"/>
  <c r="S69"/>
  <c r="T69" s="1"/>
  <c r="S70"/>
  <c r="T70" s="1"/>
  <c r="S71"/>
  <c r="T71" s="1"/>
  <c r="S72"/>
  <c r="T72" s="1"/>
  <c r="S73"/>
  <c r="T73" s="1"/>
  <c r="S74"/>
  <c r="T74" s="1"/>
  <c r="S75"/>
  <c r="T75" s="1"/>
  <c r="S76"/>
  <c r="T76" s="1"/>
  <c r="S77"/>
  <c r="T77" s="1"/>
  <c r="S78"/>
  <c r="T78" s="1"/>
  <c r="S79"/>
  <c r="T79" s="1"/>
  <c r="S80"/>
  <c r="T80" s="1"/>
  <c r="S81"/>
  <c r="T81" s="1"/>
  <c r="S82"/>
  <c r="T82" s="1"/>
  <c r="S83"/>
  <c r="T83" s="1"/>
  <c r="S84"/>
  <c r="T84" s="1"/>
  <c r="S85"/>
  <c r="T85" s="1"/>
  <c r="S86"/>
  <c r="T86" s="1"/>
  <c r="S87"/>
  <c r="T87" s="1"/>
  <c r="S88"/>
  <c r="T88" s="1"/>
  <c r="S89"/>
  <c r="T89" s="1"/>
  <c r="S90"/>
  <c r="T90" s="1"/>
  <c r="S91"/>
  <c r="T91" s="1"/>
  <c r="S92"/>
  <c r="T92" s="1"/>
  <c r="S93"/>
  <c r="T93" s="1"/>
  <c r="S94"/>
  <c r="T94" s="1"/>
  <c r="S95"/>
  <c r="T95" s="1"/>
  <c r="S96"/>
  <c r="T96" s="1"/>
  <c r="S97"/>
  <c r="T97" s="1"/>
  <c r="S98"/>
  <c r="T98" s="1"/>
  <c r="S99"/>
  <c r="T99" s="1"/>
  <c r="S100"/>
  <c r="T100" s="1"/>
  <c r="S101"/>
  <c r="T101" s="1"/>
  <c r="S102"/>
  <c r="T102" s="1"/>
  <c r="S103"/>
  <c r="T103" s="1"/>
  <c r="S104"/>
  <c r="T104" s="1"/>
  <c r="S105"/>
  <c r="T105" s="1"/>
  <c r="S106"/>
  <c r="T106" s="1"/>
  <c r="S107"/>
  <c r="T107" s="1"/>
  <c r="S108"/>
  <c r="T108" s="1"/>
  <c r="S109"/>
  <c r="T109" s="1"/>
  <c r="S110"/>
  <c r="T110" s="1"/>
  <c r="S111"/>
  <c r="T111" s="1"/>
  <c r="S112"/>
  <c r="T112" s="1"/>
  <c r="S113"/>
  <c r="T113" s="1"/>
  <c r="S114"/>
  <c r="T114" s="1"/>
  <c r="S115"/>
  <c r="T115" s="1"/>
  <c r="S116"/>
  <c r="T116" s="1"/>
  <c r="S117"/>
  <c r="T117" s="1"/>
  <c r="S118"/>
  <c r="T118" s="1"/>
  <c r="S119"/>
  <c r="T119" s="1"/>
  <c r="S120"/>
  <c r="T120" s="1"/>
  <c r="S121"/>
  <c r="T121" s="1"/>
  <c r="S122"/>
  <c r="T122" s="1"/>
  <c r="S123"/>
  <c r="T123" s="1"/>
  <c r="S124"/>
  <c r="T124" s="1"/>
  <c r="S125"/>
  <c r="T125" s="1"/>
  <c r="S126"/>
  <c r="T126" s="1"/>
  <c r="S127"/>
  <c r="T127" s="1"/>
  <c r="S128"/>
  <c r="T128" s="1"/>
  <c r="S129"/>
  <c r="T129" s="1"/>
  <c r="S130"/>
  <c r="T130" s="1"/>
  <c r="S131"/>
  <c r="T131" s="1"/>
  <c r="S132"/>
  <c r="T132" s="1"/>
  <c r="S133"/>
  <c r="T133" s="1"/>
  <c r="S134"/>
  <c r="T134" s="1"/>
  <c r="S135"/>
  <c r="T135" s="1"/>
  <c r="S136"/>
  <c r="T136" s="1"/>
  <c r="S137"/>
  <c r="T137" s="1"/>
  <c r="S138"/>
  <c r="T138" s="1"/>
  <c r="S139"/>
  <c r="T139" s="1"/>
  <c r="S140"/>
  <c r="T140" s="1"/>
  <c r="S141"/>
  <c r="T141" s="1"/>
  <c r="S142"/>
  <c r="T142" s="1"/>
  <c r="S143"/>
  <c r="T143" s="1"/>
  <c r="S144"/>
  <c r="T144" s="1"/>
  <c r="S145"/>
  <c r="T145" s="1"/>
  <c r="S146"/>
  <c r="T146" s="1"/>
  <c r="S147"/>
  <c r="T147" s="1"/>
  <c r="S148"/>
  <c r="T148" s="1"/>
  <c r="S149"/>
  <c r="T149" s="1"/>
  <c r="S150"/>
  <c r="T150" s="1"/>
  <c r="S151"/>
  <c r="T151" s="1"/>
  <c r="S152"/>
  <c r="T152" s="1"/>
  <c r="S153"/>
  <c r="T153" s="1"/>
  <c r="S154"/>
  <c r="T154" s="1"/>
  <c r="S155"/>
  <c r="T155" s="1"/>
  <c r="S156"/>
  <c r="T156" s="1"/>
  <c r="S157"/>
  <c r="T157" s="1"/>
  <c r="S158"/>
  <c r="T158" s="1"/>
  <c r="S159"/>
  <c r="T159" s="1"/>
  <c r="S160"/>
  <c r="T160" s="1"/>
  <c r="S161"/>
  <c r="T161" s="1"/>
  <c r="S162"/>
  <c r="T162" s="1"/>
  <c r="S163"/>
  <c r="T163" s="1"/>
  <c r="S164"/>
  <c r="T164" s="1"/>
  <c r="S165"/>
  <c r="T165" s="1"/>
  <c r="S166"/>
  <c r="T166" s="1"/>
  <c r="S167"/>
  <c r="T167" s="1"/>
  <c r="S168"/>
  <c r="T168" s="1"/>
  <c r="S169"/>
  <c r="T169" s="1"/>
  <c r="S170"/>
  <c r="T170" s="1"/>
  <c r="S171"/>
  <c r="T171" s="1"/>
  <c r="S172"/>
  <c r="T172" s="1"/>
  <c r="S173"/>
  <c r="T173" s="1"/>
  <c r="S174"/>
  <c r="T174" s="1"/>
  <c r="S175"/>
  <c r="T175" s="1"/>
  <c r="S176"/>
  <c r="T176" s="1"/>
  <c r="S177"/>
  <c r="T177" s="1"/>
  <c r="S178"/>
  <c r="T178" s="1"/>
  <c r="S179"/>
  <c r="T179" s="1"/>
  <c r="S180"/>
  <c r="T180" s="1"/>
  <c r="S181"/>
  <c r="T181" s="1"/>
  <c r="S182"/>
  <c r="T182" s="1"/>
  <c r="S183"/>
  <c r="T183" s="1"/>
  <c r="S184"/>
  <c r="T184" s="1"/>
  <c r="S185"/>
  <c r="T185" s="1"/>
  <c r="S186"/>
  <c r="T186" s="1"/>
  <c r="S187"/>
  <c r="T187" s="1"/>
  <c r="S188"/>
  <c r="T188" s="1"/>
  <c r="S189"/>
  <c r="T189" s="1"/>
  <c r="S190"/>
  <c r="T190" s="1"/>
  <c r="S191"/>
  <c r="T191" s="1"/>
  <c r="S192"/>
  <c r="T192" s="1"/>
  <c r="S193"/>
  <c r="T193" s="1"/>
  <c r="S194"/>
  <c r="T194" s="1"/>
  <c r="S195"/>
  <c r="T195" s="1"/>
  <c r="S196"/>
  <c r="T196" s="1"/>
  <c r="S197"/>
  <c r="T197" s="1"/>
  <c r="S198"/>
  <c r="T198" s="1"/>
  <c r="S199"/>
  <c r="T199" s="1"/>
  <c r="S200"/>
  <c r="T200" s="1"/>
  <c r="S201"/>
  <c r="T201" s="1"/>
  <c r="S202"/>
  <c r="T202" s="1"/>
  <c r="S203"/>
  <c r="T203" s="1"/>
  <c r="S204"/>
  <c r="T204" s="1"/>
  <c r="S205"/>
  <c r="T205" s="1"/>
  <c r="S206"/>
  <c r="T206" s="1"/>
  <c r="S207"/>
  <c r="T207" s="1"/>
  <c r="S208"/>
  <c r="T208" s="1"/>
  <c r="S209"/>
  <c r="T209" s="1"/>
  <c r="S210"/>
  <c r="T210" s="1"/>
  <c r="S211"/>
  <c r="T211" s="1"/>
  <c r="S212"/>
  <c r="T212" s="1"/>
  <c r="S213"/>
  <c r="T213" s="1"/>
  <c r="S214"/>
  <c r="T214" s="1"/>
  <c r="S215"/>
  <c r="T215" s="1"/>
  <c r="S216"/>
  <c r="T216" s="1"/>
  <c r="S217"/>
  <c r="T217" s="1"/>
  <c r="S218"/>
  <c r="T218" s="1"/>
  <c r="S219"/>
  <c r="T219" s="1"/>
  <c r="S220"/>
  <c r="T220" s="1"/>
  <c r="S221"/>
  <c r="T221" s="1"/>
  <c r="S222"/>
  <c r="T222" s="1"/>
  <c r="S223"/>
  <c r="T223" s="1"/>
  <c r="S224"/>
  <c r="T224" s="1"/>
  <c r="S225"/>
  <c r="T225" s="1"/>
  <c r="S226"/>
  <c r="T226" s="1"/>
  <c r="S227"/>
  <c r="T227" s="1"/>
  <c r="S228"/>
  <c r="T228" s="1"/>
  <c r="S229"/>
  <c r="T229" s="1"/>
  <c r="S230"/>
  <c r="T230" s="1"/>
  <c r="S231"/>
  <c r="T231" s="1"/>
  <c r="S232"/>
  <c r="T232" s="1"/>
  <c r="S233"/>
  <c r="T233" s="1"/>
  <c r="T181" i="137"/>
  <c r="T187"/>
  <c r="T193"/>
  <c r="T199"/>
  <c r="T205"/>
  <c r="T211"/>
  <c r="T217"/>
  <c r="T223"/>
  <c r="T229"/>
  <c r="T235"/>
  <c r="T241"/>
  <c r="T247"/>
  <c r="T251"/>
  <c r="T188"/>
  <c r="T200"/>
  <c r="T206"/>
  <c r="T212"/>
  <c r="T224"/>
  <c r="T236"/>
  <c r="T248"/>
  <c r="Y205"/>
  <c r="Y206"/>
  <c r="Y208"/>
  <c r="Y211"/>
  <c r="Y212"/>
  <c r="Y213"/>
  <c r="Y216"/>
  <c r="Y218"/>
  <c r="Y219"/>
  <c r="Y220"/>
  <c r="Y222"/>
  <c r="Y223"/>
  <c r="Y228"/>
  <c r="Y230"/>
  <c r="Y234"/>
  <c r="Y235"/>
  <c r="Y237"/>
  <c r="Y240"/>
  <c r="Y241"/>
  <c r="Y242"/>
  <c r="Y244"/>
  <c r="Y247"/>
  <c r="Y248"/>
  <c r="Y249"/>
  <c r="T68"/>
  <c r="T128"/>
  <c r="T152"/>
  <c r="T170"/>
  <c r="T6"/>
  <c r="T12"/>
  <c r="T18"/>
  <c r="T30"/>
  <c r="T42"/>
  <c r="T54"/>
  <c r="T62"/>
  <c r="T78"/>
  <c r="T84"/>
  <c r="T90"/>
  <c r="T102"/>
  <c r="T114"/>
  <c r="T120"/>
  <c r="T126"/>
  <c r="T138"/>
  <c r="T150"/>
  <c r="T162"/>
  <c r="T167"/>
  <c r="T137"/>
  <c r="T160"/>
  <c r="T136"/>
  <c r="T125"/>
  <c r="T94"/>
  <c r="T243"/>
  <c r="T231"/>
  <c r="T219"/>
  <c r="T207"/>
  <c r="T195"/>
  <c r="T183"/>
  <c r="T124"/>
  <c r="T82"/>
  <c r="T52"/>
  <c r="T161"/>
  <c r="T131"/>
  <c r="T101"/>
  <c r="T83"/>
  <c r="T53"/>
  <c r="T47"/>
  <c r="T178"/>
  <c r="T71"/>
  <c r="T28"/>
  <c r="T10"/>
  <c r="T166"/>
  <c r="T154"/>
  <c r="T130"/>
  <c r="T98"/>
  <c r="T17"/>
  <c r="T177"/>
  <c r="T171"/>
  <c r="T165"/>
  <c r="T159"/>
  <c r="T153"/>
  <c r="T147"/>
  <c r="T141"/>
  <c r="T135"/>
  <c r="T129"/>
  <c r="T123"/>
  <c r="T117"/>
  <c r="T111"/>
  <c r="T105"/>
  <c r="T99"/>
  <c r="T93"/>
  <c r="T87"/>
  <c r="T81"/>
  <c r="T75"/>
  <c r="T69"/>
  <c r="T63"/>
  <c r="T57"/>
  <c r="T51"/>
  <c r="T45"/>
  <c r="T39"/>
  <c r="T33"/>
  <c r="T27"/>
  <c r="T21"/>
  <c r="T15"/>
  <c r="T9"/>
  <c r="T249"/>
  <c r="T237"/>
  <c r="T225"/>
  <c r="T213"/>
  <c r="T201"/>
  <c r="T189"/>
  <c r="T7"/>
  <c r="T149"/>
  <c r="T104"/>
  <c r="T86"/>
  <c r="T59"/>
  <c r="T41"/>
  <c r="T132"/>
  <c r="T24"/>
  <c r="T176"/>
  <c r="T164"/>
  <c r="T158"/>
  <c r="T146"/>
  <c r="T116"/>
  <c r="T110"/>
  <c r="T92"/>
  <c r="T80"/>
  <c r="T56"/>
  <c r="T50"/>
  <c r="T38"/>
  <c r="T32"/>
  <c r="T26"/>
  <c r="T8"/>
  <c r="T156"/>
  <c r="T66"/>
  <c r="T144"/>
  <c r="T74"/>
  <c r="T36"/>
  <c r="T122"/>
  <c r="T44"/>
  <c r="T14"/>
  <c r="T48"/>
  <c r="T20"/>
  <c r="T168"/>
  <c r="T60"/>
  <c r="T143"/>
  <c r="T119"/>
  <c r="T113"/>
  <c r="T95"/>
  <c r="T89"/>
  <c r="T65"/>
  <c r="T23"/>
  <c r="T11"/>
  <c r="T108"/>
  <c r="T148"/>
  <c r="T142"/>
  <c r="T112"/>
  <c r="T106"/>
  <c r="T76"/>
  <c r="T70"/>
  <c r="T40"/>
  <c r="T34"/>
  <c r="T250"/>
  <c r="T244"/>
  <c r="T238"/>
  <c r="T232"/>
  <c r="T226"/>
  <c r="T220"/>
  <c r="T214"/>
  <c r="T208"/>
  <c r="T202"/>
  <c r="T196"/>
  <c r="T190"/>
  <c r="T184"/>
  <c r="T96"/>
  <c r="T172"/>
  <c r="T88"/>
  <c r="T72"/>
  <c r="E5" i="143" l="1"/>
  <c r="H5"/>
  <c r="K5"/>
  <c r="W5" l="1"/>
  <c r="R5" l="1"/>
  <c r="U5"/>
  <c r="G5"/>
  <c r="S5" s="1"/>
  <c r="Q2"/>
  <c r="P2"/>
  <c r="O2"/>
  <c r="N2"/>
  <c r="Y5" l="1"/>
  <c r="R2"/>
  <c r="T5"/>
  <c r="T2" l="1"/>
  <c r="C5" i="137" l="1"/>
  <c r="W5" l="1"/>
  <c r="X5" s="1"/>
  <c r="Y5" s="1"/>
  <c r="O2"/>
  <c r="P2"/>
  <c r="Q2"/>
  <c r="N2"/>
  <c r="R5"/>
  <c r="K5"/>
  <c r="U5" s="1"/>
  <c r="H5"/>
  <c r="G5"/>
  <c r="S5" s="1"/>
  <c r="D5"/>
  <c r="E5" s="1"/>
  <c r="R2" l="1"/>
  <c r="T5"/>
  <c r="T2" l="1"/>
  <c r="X5" i="3" l="1"/>
  <c r="W5"/>
  <c r="V5"/>
  <c r="T5"/>
  <c r="R5"/>
  <c r="Q5"/>
  <c r="K5"/>
  <c r="H5"/>
  <c r="G5"/>
  <c r="E5"/>
  <c r="D5"/>
  <c r="C5"/>
  <c r="Q2"/>
  <c r="P2"/>
  <c r="O2"/>
  <c r="N2"/>
  <c r="M2"/>
  <c r="X26" i="4"/>
  <c r="W26"/>
  <c r="V26"/>
  <c r="T26"/>
  <c r="R26"/>
  <c r="Q26"/>
  <c r="K26"/>
  <c r="H26"/>
  <c r="G26"/>
  <c r="E26"/>
  <c r="D26"/>
  <c r="C26"/>
  <c r="X25"/>
  <c r="W25"/>
  <c r="V25"/>
  <c r="T25"/>
  <c r="R25"/>
  <c r="Q25"/>
  <c r="K25"/>
  <c r="H25"/>
  <c r="G25"/>
  <c r="E25"/>
  <c r="D25"/>
  <c r="C25"/>
  <c r="X24"/>
  <c r="W24"/>
  <c r="V24"/>
  <c r="T24"/>
  <c r="R24"/>
  <c r="Q24"/>
  <c r="K24"/>
  <c r="H24"/>
  <c r="G24"/>
  <c r="E24"/>
  <c r="D24"/>
  <c r="C24"/>
  <c r="X23"/>
  <c r="W23"/>
  <c r="V23"/>
  <c r="T23"/>
  <c r="R23"/>
  <c r="Q23"/>
  <c r="K23"/>
  <c r="H23"/>
  <c r="G23"/>
  <c r="E23"/>
  <c r="D23"/>
  <c r="C23"/>
  <c r="X22"/>
  <c r="W22"/>
  <c r="V22"/>
  <c r="T22"/>
  <c r="R22"/>
  <c r="Q22"/>
  <c r="K22"/>
  <c r="H22"/>
  <c r="G22"/>
  <c r="E22"/>
  <c r="D22"/>
  <c r="C22"/>
  <c r="X21"/>
  <c r="W21"/>
  <c r="V21"/>
  <c r="T21"/>
  <c r="R21"/>
  <c r="Q21"/>
  <c r="K21"/>
  <c r="H21"/>
  <c r="G21"/>
  <c r="E21"/>
  <c r="D21"/>
  <c r="C21"/>
  <c r="X20"/>
  <c r="W20"/>
  <c r="V20"/>
  <c r="T20"/>
  <c r="R20"/>
  <c r="Q20"/>
  <c r="K20"/>
  <c r="H20"/>
  <c r="G20"/>
  <c r="E20"/>
  <c r="D20"/>
  <c r="C20"/>
  <c r="X19"/>
  <c r="W19"/>
  <c r="V19"/>
  <c r="T19"/>
  <c r="R19"/>
  <c r="Q19"/>
  <c r="K19"/>
  <c r="H19"/>
  <c r="G19"/>
  <c r="E19"/>
  <c r="D19"/>
  <c r="C19"/>
  <c r="X18"/>
  <c r="W18"/>
  <c r="V18"/>
  <c r="T18"/>
  <c r="R18"/>
  <c r="Q18"/>
  <c r="K18"/>
  <c r="H18"/>
  <c r="G18"/>
  <c r="E18"/>
  <c r="D18"/>
  <c r="C18"/>
  <c r="X17"/>
  <c r="W17"/>
  <c r="V17"/>
  <c r="T17"/>
  <c r="R17"/>
  <c r="Q17"/>
  <c r="K17"/>
  <c r="H17"/>
  <c r="G17"/>
  <c r="E17"/>
  <c r="D17"/>
  <c r="C17"/>
  <c r="X16"/>
  <c r="W16"/>
  <c r="V16"/>
  <c r="T16"/>
  <c r="R16"/>
  <c r="Q16"/>
  <c r="K16"/>
  <c r="H16"/>
  <c r="G16"/>
  <c r="E16"/>
  <c r="D16"/>
  <c r="C16"/>
  <c r="X15"/>
  <c r="W15"/>
  <c r="V15"/>
  <c r="T15"/>
  <c r="R15"/>
  <c r="Q15"/>
  <c r="K15"/>
  <c r="H15"/>
  <c r="G15"/>
  <c r="E15"/>
  <c r="D15"/>
  <c r="C15"/>
  <c r="X14"/>
  <c r="W14"/>
  <c r="V14"/>
  <c r="T14"/>
  <c r="R14"/>
  <c r="Q14"/>
  <c r="K14"/>
  <c r="H14"/>
  <c r="G14"/>
  <c r="E14"/>
  <c r="D14"/>
  <c r="C14"/>
  <c r="X13"/>
  <c r="W13"/>
  <c r="V13"/>
  <c r="T13"/>
  <c r="R13"/>
  <c r="Q13"/>
  <c r="K13"/>
  <c r="H13"/>
  <c r="G13"/>
  <c r="E13"/>
  <c r="D13"/>
  <c r="C13"/>
  <c r="X12"/>
  <c r="W12"/>
  <c r="V12"/>
  <c r="T12"/>
  <c r="R12"/>
  <c r="Q12"/>
  <c r="K12"/>
  <c r="H12"/>
  <c r="G12"/>
  <c r="E12"/>
  <c r="D12"/>
  <c r="C12"/>
  <c r="X11"/>
  <c r="W11"/>
  <c r="V11"/>
  <c r="T11"/>
  <c r="R11"/>
  <c r="Q11"/>
  <c r="K11"/>
  <c r="H11"/>
  <c r="G11"/>
  <c r="E11"/>
  <c r="D11"/>
  <c r="C11"/>
  <c r="X10"/>
  <c r="W10"/>
  <c r="V10"/>
  <c r="T10"/>
  <c r="R10"/>
  <c r="Q10"/>
  <c r="K10"/>
  <c r="H10"/>
  <c r="G10"/>
  <c r="E10"/>
  <c r="D10"/>
  <c r="C10"/>
  <c r="X9"/>
  <c r="W9"/>
  <c r="V9"/>
  <c r="T9"/>
  <c r="R9"/>
  <c r="Q9"/>
  <c r="K9"/>
  <c r="H9"/>
  <c r="G9"/>
  <c r="E9"/>
  <c r="D9"/>
  <c r="C9"/>
  <c r="X8"/>
  <c r="W8"/>
  <c r="V8"/>
  <c r="T8"/>
  <c r="R8"/>
  <c r="Q8"/>
  <c r="K8"/>
  <c r="H8"/>
  <c r="G8"/>
  <c r="E8"/>
  <c r="D8"/>
  <c r="C8"/>
  <c r="X7"/>
  <c r="W7"/>
  <c r="V7"/>
  <c r="T7"/>
  <c r="R7"/>
  <c r="Q7"/>
  <c r="K7"/>
  <c r="H7"/>
  <c r="G7"/>
  <c r="E7"/>
  <c r="D7"/>
  <c r="C7"/>
  <c r="X6"/>
  <c r="W6"/>
  <c r="V6"/>
  <c r="T6"/>
  <c r="R6"/>
  <c r="Q6"/>
  <c r="K6"/>
  <c r="H6"/>
  <c r="G6"/>
  <c r="E6"/>
  <c r="D6"/>
  <c r="C6"/>
  <c r="X5"/>
  <c r="W5"/>
  <c r="V5"/>
  <c r="T5"/>
  <c r="R5"/>
  <c r="Q5"/>
  <c r="K5"/>
  <c r="H5"/>
  <c r="G5"/>
  <c r="E5"/>
  <c r="D5"/>
  <c r="C5"/>
  <c r="Q2"/>
  <c r="P2"/>
  <c r="O2"/>
  <c r="N2"/>
  <c r="M2"/>
  <c r="S19" l="1"/>
  <c r="S20"/>
  <c r="S21"/>
  <c r="S22"/>
  <c r="S23"/>
  <c r="S24"/>
  <c r="S25"/>
  <c r="S5"/>
  <c r="S2" s="1"/>
  <c r="S7"/>
  <c r="S9"/>
  <c r="S26"/>
  <c r="S6"/>
  <c r="S8"/>
  <c r="S10"/>
  <c r="S11"/>
  <c r="S12"/>
  <c r="S13"/>
  <c r="S14"/>
  <c r="S15"/>
  <c r="S16"/>
  <c r="S17"/>
  <c r="S18"/>
  <c r="S5" i="3"/>
  <c r="S2" s="1"/>
  <c r="X90" i="143"/>
  <c r="X122"/>
  <c r="X186"/>
  <c r="X142"/>
  <c r="X143"/>
  <c r="X56"/>
  <c r="X23"/>
  <c r="X201"/>
  <c r="X237"/>
  <c r="X93"/>
  <c r="X43"/>
  <c r="X25"/>
  <c r="X161"/>
  <c r="X155"/>
  <c r="X76"/>
  <c r="X54"/>
  <c r="X18"/>
  <c r="X159"/>
  <c r="X15"/>
  <c r="X153"/>
  <c r="X205"/>
  <c r="X209"/>
  <c r="X107"/>
  <c r="X92"/>
  <c r="X77"/>
  <c r="X26"/>
  <c r="X233"/>
  <c r="X239"/>
  <c r="X210"/>
  <c r="X59"/>
  <c r="X80"/>
  <c r="X17"/>
  <c r="X63"/>
  <c r="X28"/>
  <c r="X221"/>
  <c r="X24"/>
  <c r="X168"/>
  <c r="X136"/>
  <c r="X192"/>
  <c r="X88"/>
  <c r="X138"/>
  <c r="X227"/>
  <c r="X127"/>
  <c r="X45"/>
  <c r="X21"/>
  <c r="X195"/>
  <c r="X106"/>
  <c r="X197"/>
  <c r="X103"/>
  <c r="X206"/>
  <c r="X116"/>
  <c r="X32"/>
  <c r="X34"/>
  <c r="X150"/>
  <c r="X220"/>
  <c r="X137"/>
  <c r="X240"/>
  <c r="X75"/>
  <c r="X165"/>
  <c r="X85"/>
  <c r="X208"/>
  <c r="X129"/>
  <c r="X157"/>
  <c r="X57"/>
  <c r="X154"/>
  <c r="X49"/>
  <c r="X134"/>
  <c r="X241"/>
  <c r="X44"/>
  <c r="X194"/>
  <c r="X35"/>
  <c r="X243"/>
  <c r="X53"/>
  <c r="X8"/>
  <c r="X180"/>
  <c r="X99"/>
  <c r="X147"/>
  <c r="X123"/>
  <c r="X72"/>
  <c r="X94"/>
  <c r="X13"/>
  <c r="X164"/>
  <c r="X185"/>
  <c r="X105"/>
  <c r="X229"/>
  <c r="X39"/>
  <c r="X66"/>
  <c r="X12"/>
  <c r="X187"/>
  <c r="X238"/>
  <c r="X29"/>
  <c r="X83"/>
  <c r="X215"/>
  <c r="X109"/>
  <c r="X184"/>
  <c r="X188"/>
  <c r="X182"/>
  <c r="X67"/>
  <c r="X144"/>
  <c r="X114"/>
  <c r="X200"/>
  <c r="X113"/>
  <c r="X61"/>
  <c r="X172"/>
  <c r="X69"/>
  <c r="X101"/>
  <c r="X31"/>
  <c r="X110"/>
  <c r="X216"/>
  <c r="X151"/>
  <c r="X100"/>
  <c r="X81"/>
  <c r="X46"/>
  <c r="X230"/>
  <c r="X232"/>
  <c r="X87"/>
  <c r="X121"/>
  <c r="X65"/>
  <c r="X202"/>
  <c r="X135"/>
  <c r="X6"/>
  <c r="X95"/>
  <c r="X190"/>
  <c r="X5"/>
  <c r="X42"/>
  <c r="X74"/>
  <c r="X198"/>
  <c r="X191"/>
  <c r="X36"/>
  <c r="X213"/>
  <c r="X245"/>
  <c r="X225"/>
  <c r="X218"/>
  <c r="X126"/>
  <c r="X64"/>
  <c r="X19"/>
  <c r="X51"/>
  <c r="X174"/>
  <c r="X223"/>
  <c r="X71"/>
  <c r="X235"/>
  <c r="X196"/>
  <c r="X98"/>
  <c r="X169"/>
  <c r="X133"/>
  <c r="X40"/>
  <c r="X84"/>
  <c r="X217"/>
  <c r="X70"/>
  <c r="X62"/>
  <c r="X131"/>
  <c r="X91"/>
  <c r="X22"/>
  <c r="X199"/>
  <c r="X52"/>
  <c r="X145"/>
  <c r="X20"/>
  <c r="X173"/>
  <c r="X219"/>
  <c r="X73"/>
  <c r="X60"/>
  <c r="X204"/>
  <c r="X7"/>
  <c r="X128"/>
  <c r="X132"/>
  <c r="X96"/>
  <c r="X108"/>
  <c r="X120"/>
  <c r="X47"/>
  <c r="X41"/>
  <c r="X246"/>
  <c r="X211"/>
  <c r="X177"/>
  <c r="X181"/>
  <c r="X125"/>
  <c r="X152"/>
  <c r="X130"/>
  <c r="X78"/>
  <c r="X11"/>
  <c r="X212"/>
  <c r="X222"/>
  <c r="X207"/>
  <c r="X162"/>
  <c r="X33"/>
  <c r="X176"/>
  <c r="X163"/>
  <c r="X10"/>
  <c r="X170"/>
  <c r="X244"/>
  <c r="X236"/>
  <c r="X124"/>
  <c r="X214"/>
  <c r="X158"/>
  <c r="X178"/>
  <c r="X27"/>
  <c r="X203"/>
  <c r="X166"/>
  <c r="X171"/>
  <c r="X55"/>
  <c r="X79"/>
  <c r="X160"/>
  <c r="X156"/>
  <c r="X231"/>
  <c r="X16"/>
  <c r="X167"/>
  <c r="X48"/>
  <c r="X38"/>
  <c r="X37"/>
  <c r="X30"/>
  <c r="X68"/>
  <c r="X139"/>
  <c r="X140"/>
  <c r="X228"/>
  <c r="X242"/>
  <c r="X189"/>
  <c r="X193"/>
  <c r="X97"/>
  <c r="X115"/>
  <c r="X89"/>
  <c r="X146"/>
  <c r="X112"/>
  <c r="X111"/>
  <c r="X104"/>
  <c r="X58"/>
  <c r="X14"/>
  <c r="X117"/>
  <c r="X118"/>
  <c r="X50"/>
  <c r="X226"/>
  <c r="X224"/>
  <c r="X9"/>
  <c r="X148"/>
  <c r="X102"/>
  <c r="X179"/>
  <c r="X234"/>
  <c r="X175"/>
  <c r="X149"/>
  <c r="X86"/>
  <c r="X141"/>
  <c r="X119"/>
  <c r="X82"/>
  <c r="X183"/>
</calcChain>
</file>

<file path=xl/sharedStrings.xml><?xml version="1.0" encoding="utf-8"?>
<sst xmlns="http://schemas.openxmlformats.org/spreadsheetml/2006/main" count="1853" uniqueCount="223">
  <si>
    <t xml:space="preserve"> </t>
  </si>
  <si>
    <t>A</t>
  </si>
  <si>
    <t>B</t>
  </si>
  <si>
    <t>C</t>
  </si>
  <si>
    <t>FQC</t>
  </si>
  <si>
    <t>COST OF POOR QUALITY</t>
  </si>
  <si>
    <t>Grand Total:-</t>
  </si>
  <si>
    <t>Rejection Qty</t>
  </si>
  <si>
    <t>Sr. No</t>
  </si>
  <si>
    <t>.Code</t>
  </si>
  <si>
    <t>M/c No</t>
  </si>
  <si>
    <t>M/c Name</t>
  </si>
  <si>
    <t>Oprn.</t>
  </si>
  <si>
    <t>Code</t>
  </si>
  <si>
    <t>Part No.</t>
  </si>
  <si>
    <t>Customer</t>
  </si>
  <si>
    <t>Operator</t>
  </si>
  <si>
    <t>Non Conformance</t>
  </si>
  <si>
    <t>Date</t>
  </si>
  <si>
    <t>1st</t>
  </si>
  <si>
    <t>2nd</t>
  </si>
  <si>
    <t>3rd</t>
  </si>
  <si>
    <t>Total Rej. qty</t>
  </si>
  <si>
    <t>cost per piece</t>
  </si>
  <si>
    <t xml:space="preserve">Total cost </t>
  </si>
  <si>
    <t>SAP CODE</t>
  </si>
  <si>
    <t xml:space="preserve">Code </t>
  </si>
  <si>
    <t>Reason</t>
  </si>
  <si>
    <t>Due To   4M</t>
  </si>
  <si>
    <t>Nature of Problem</t>
  </si>
  <si>
    <t>operator</t>
  </si>
  <si>
    <t>Sr No.</t>
  </si>
  <si>
    <t>Rejection Identified at</t>
  </si>
  <si>
    <t>Rejection Reason</t>
  </si>
  <si>
    <t>RE Hard Turning</t>
  </si>
  <si>
    <t>Machine Breakdown</t>
  </si>
  <si>
    <t>Line audit</t>
  </si>
  <si>
    <t>Setup Rejection</t>
  </si>
  <si>
    <t>APG unit disturb</t>
  </si>
  <si>
    <t>Process Issue</t>
  </si>
  <si>
    <t>Prod Declared</t>
  </si>
  <si>
    <t>Power Cut</t>
  </si>
  <si>
    <t>bush will not use again</t>
  </si>
  <si>
    <t>double loading</t>
  </si>
  <si>
    <t>Rework Rej</t>
  </si>
  <si>
    <t>during insert broken</t>
  </si>
  <si>
    <t>during insert change</t>
  </si>
  <si>
    <t>during rework</t>
  </si>
  <si>
    <t>during segregation</t>
  </si>
  <si>
    <t>during setup time</t>
  </si>
  <si>
    <t>during tool change</t>
  </si>
  <si>
    <t>fqc return</t>
  </si>
  <si>
    <t>input material problem</t>
  </si>
  <si>
    <t>kept inside m/c</t>
  </si>
  <si>
    <t>m/c Accident</t>
  </si>
  <si>
    <t>part not rest properly</t>
  </si>
  <si>
    <t>running m/c</t>
  </si>
  <si>
    <t>size variation in m/c</t>
  </si>
  <si>
    <t>tool broken</t>
  </si>
  <si>
    <t>wrong correction</t>
  </si>
  <si>
    <t>wrong loading</t>
  </si>
  <si>
    <t>after dressing</t>
  </si>
  <si>
    <t>burn test</t>
  </si>
  <si>
    <t xml:space="preserve">carier bolt broken </t>
  </si>
  <si>
    <t>carier bolt slip</t>
  </si>
  <si>
    <t>Carier sleep</t>
  </si>
  <si>
    <t>During Rework time</t>
  </si>
  <si>
    <t>during size correciton</t>
  </si>
  <si>
    <t>during wheel change</t>
  </si>
  <si>
    <t>m/c under trail</t>
  </si>
  <si>
    <t>marposs disturb</t>
  </si>
  <si>
    <t>new wheel trial</t>
  </si>
  <si>
    <t>part not checked by operator</t>
  </si>
  <si>
    <t xml:space="preserve">Power cut </t>
  </si>
  <si>
    <t>size variation in r/m</t>
  </si>
  <si>
    <t>wheel consume</t>
  </si>
  <si>
    <t>work head not work</t>
  </si>
  <si>
    <t>wrong gauge use</t>
  </si>
  <si>
    <t>Month</t>
  </si>
  <si>
    <t>Code2</t>
  </si>
  <si>
    <t>Code3</t>
  </si>
  <si>
    <t>Code4</t>
  </si>
  <si>
    <t>Rework Qty</t>
  </si>
  <si>
    <t>Row Labels</t>
  </si>
  <si>
    <t>Grand Total</t>
  </si>
  <si>
    <t>Sum of Total Rej. qty</t>
  </si>
  <si>
    <t>Column Labels</t>
  </si>
  <si>
    <t>(blank)</t>
  </si>
  <si>
    <t>01.11.25</t>
  </si>
  <si>
    <t>02.11.25</t>
  </si>
  <si>
    <t>03.11.25</t>
  </si>
  <si>
    <t>04.11.25</t>
  </si>
  <si>
    <t>05.11.25</t>
  </si>
  <si>
    <t>06.11.25</t>
  </si>
  <si>
    <t>07.11.25</t>
  </si>
  <si>
    <t>08.11.25</t>
  </si>
  <si>
    <t>09.11.25</t>
  </si>
  <si>
    <t>10.11.25</t>
  </si>
  <si>
    <t>11.11.25</t>
  </si>
  <si>
    <t>12.11.25</t>
  </si>
  <si>
    <t>13.11.25</t>
  </si>
  <si>
    <t>14.11.25</t>
  </si>
  <si>
    <t>15.11.25</t>
  </si>
  <si>
    <t>16.11.25</t>
  </si>
  <si>
    <t>17.11.25</t>
  </si>
  <si>
    <t>18.11.25</t>
  </si>
  <si>
    <t>19.11.25</t>
  </si>
  <si>
    <t>20.11.25</t>
  </si>
  <si>
    <t>21.11.25</t>
  </si>
  <si>
    <t>22.11.25</t>
  </si>
  <si>
    <t>23.11.25</t>
  </si>
  <si>
    <t>24.11.25</t>
  </si>
  <si>
    <t>25.11.25</t>
  </si>
  <si>
    <t>Rahul</t>
  </si>
  <si>
    <t>01.09.26</t>
  </si>
  <si>
    <t>Govind</t>
  </si>
  <si>
    <t>ACE-22</t>
  </si>
  <si>
    <t>Micromatic</t>
  </si>
  <si>
    <t>ACE-23</t>
  </si>
  <si>
    <t>Varsha</t>
  </si>
  <si>
    <t>Khushboo</t>
  </si>
  <si>
    <t>Ravina</t>
  </si>
  <si>
    <t>Shubham</t>
  </si>
  <si>
    <t>Aarti</t>
  </si>
  <si>
    <t>Vika</t>
  </si>
  <si>
    <t>Vasna</t>
  </si>
  <si>
    <t>Sonu</t>
  </si>
  <si>
    <t>Ritu</t>
  </si>
  <si>
    <t>Deepak</t>
  </si>
  <si>
    <t>Ravendra</t>
  </si>
  <si>
    <t>Amar</t>
  </si>
  <si>
    <t>Devraj</t>
  </si>
  <si>
    <t>Suraj</t>
  </si>
  <si>
    <t>Rohit</t>
  </si>
  <si>
    <t>Rajesh</t>
  </si>
  <si>
    <t>Vijay</t>
  </si>
  <si>
    <t>Raghvendra</t>
  </si>
  <si>
    <t>Kuldeep</t>
  </si>
  <si>
    <t>Lokesh</t>
  </si>
  <si>
    <t>Rajendra</t>
  </si>
  <si>
    <t>Atul</t>
  </si>
  <si>
    <t>Vikas</t>
  </si>
  <si>
    <t>Manoj</t>
  </si>
  <si>
    <t>Vishal</t>
  </si>
  <si>
    <t>Harshit</t>
  </si>
  <si>
    <t>Durgesh</t>
  </si>
  <si>
    <t>Mahendra</t>
  </si>
  <si>
    <t>Pawan</t>
  </si>
  <si>
    <t>Rahu</t>
  </si>
  <si>
    <t>02.09.26</t>
  </si>
  <si>
    <t>ACE-21</t>
  </si>
  <si>
    <t>Jitendra</t>
  </si>
  <si>
    <t>Shivani</t>
  </si>
  <si>
    <t>Anjali</t>
  </si>
  <si>
    <t>Swati</t>
  </si>
  <si>
    <t>Devendra</t>
  </si>
  <si>
    <t>252-06</t>
  </si>
  <si>
    <t>Hydorlic pressure down</t>
  </si>
  <si>
    <t>Chetan</t>
  </si>
  <si>
    <t>Nilesh</t>
  </si>
  <si>
    <t>Insert loose</t>
  </si>
  <si>
    <t>Sawaliya</t>
  </si>
  <si>
    <t>Ravi</t>
  </si>
  <si>
    <t>03.09.26</t>
  </si>
  <si>
    <t>Pankaj</t>
  </si>
  <si>
    <t>Navin</t>
  </si>
  <si>
    <t>Jaynarayan</t>
  </si>
  <si>
    <t>Narayan</t>
  </si>
  <si>
    <t>Santosh</t>
  </si>
  <si>
    <t>Vivek</t>
  </si>
  <si>
    <t>Ajju</t>
  </si>
  <si>
    <t>Pradeep</t>
  </si>
  <si>
    <t>Arun</t>
  </si>
  <si>
    <t>Krishna</t>
  </si>
  <si>
    <t>Sona</t>
  </si>
  <si>
    <t>Dinesh</t>
  </si>
  <si>
    <t>Rajpal</t>
  </si>
  <si>
    <t>Sahil</t>
  </si>
  <si>
    <t>04.09.26</t>
  </si>
  <si>
    <t>Shital</t>
  </si>
  <si>
    <t>Shailendra</t>
  </si>
  <si>
    <t>Narendra</t>
  </si>
  <si>
    <t>Harendra</t>
  </si>
  <si>
    <t>Motilal</t>
  </si>
  <si>
    <t>Prakasha</t>
  </si>
  <si>
    <t>Mohit</t>
  </si>
  <si>
    <t>Khemraj</t>
  </si>
  <si>
    <t>Prakash</t>
  </si>
  <si>
    <t>05.09.26</t>
  </si>
  <si>
    <t>06.09.26</t>
  </si>
  <si>
    <t>Rishi</t>
  </si>
  <si>
    <t>Rakesh</t>
  </si>
  <si>
    <t>Kamal</t>
  </si>
  <si>
    <t>Manish</t>
  </si>
  <si>
    <t>Dhiraj</t>
  </si>
  <si>
    <t>07.09.26</t>
  </si>
  <si>
    <t>Sunil</t>
  </si>
  <si>
    <t>Rajaram</t>
  </si>
  <si>
    <t>Rajnish</t>
  </si>
  <si>
    <t>Rajat</t>
  </si>
  <si>
    <t>08.09.26</t>
  </si>
  <si>
    <t>Hydrolic pressure down</t>
  </si>
  <si>
    <t>Nikita</t>
  </si>
  <si>
    <t>Jack pressure down</t>
  </si>
  <si>
    <t>09.09.26</t>
  </si>
  <si>
    <t>Anurag</t>
  </si>
  <si>
    <t>Vijendra</t>
  </si>
  <si>
    <t>10.09.26</t>
  </si>
  <si>
    <t>Rajkumar</t>
  </si>
  <si>
    <t>Priyanka</t>
  </si>
  <si>
    <t>11.09.26</t>
  </si>
  <si>
    <t>Lukeshwar</t>
  </si>
  <si>
    <t>AEC-23</t>
  </si>
  <si>
    <t>Varun</t>
  </si>
  <si>
    <t>12.09.26</t>
  </si>
  <si>
    <t>VIkas</t>
  </si>
  <si>
    <t>Ramgopal</t>
  </si>
  <si>
    <t>13.09.26</t>
  </si>
  <si>
    <t>Dharmendra</t>
  </si>
  <si>
    <t>Ravikant</t>
  </si>
  <si>
    <t>Chandar</t>
  </si>
  <si>
    <t>Jiwan</t>
  </si>
  <si>
    <t>Sangita</t>
  </si>
</sst>
</file>

<file path=xl/styles.xml><?xml version="1.0" encoding="utf-8"?>
<styleSheet xmlns="http://schemas.openxmlformats.org/spreadsheetml/2006/main">
  <numFmts count="1">
    <numFmt numFmtId="164" formatCode="&quot;₹&quot;\ #,##0.0"/>
  </numFmts>
  <fonts count="32">
    <font>
      <sz val="10"/>
      <name val="Bookman Old Style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Bookman Old Style"/>
      <family val="1"/>
    </font>
    <font>
      <sz val="14"/>
      <name val="Bookman Old Style"/>
      <family val="1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</font>
    <font>
      <sz val="10"/>
      <name val="Bookman Old Style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Bookman Old Style"/>
      <family val="1"/>
    </font>
    <font>
      <b/>
      <sz val="10"/>
      <color theme="1"/>
      <name val="Calibri"/>
      <family val="2"/>
      <scheme val="minor"/>
    </font>
    <font>
      <sz val="10"/>
      <name val="Calibri"/>
      <scheme val="minor"/>
    </font>
    <font>
      <sz val="8"/>
      <name val="Bookman Old Style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8426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0" fontId="25" fillId="0" borderId="0"/>
    <xf numFmtId="0" fontId="28" fillId="0" borderId="0"/>
    <xf numFmtId="0" fontId="25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2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5">
    <xf numFmtId="0" fontId="0" fillId="0" borderId="0" xfId="0"/>
    <xf numFmtId="1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" fontId="20" fillId="2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64" fontId="20" fillId="3" borderId="0" xfId="0" applyNumberFormat="1" applyFont="1" applyFill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textRotation="90" wrapText="1"/>
    </xf>
    <xf numFmtId="0" fontId="20" fillId="7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textRotation="90" wrapText="1"/>
    </xf>
    <xf numFmtId="0" fontId="20" fillId="3" borderId="6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8" borderId="0" xfId="0" applyFont="1" applyFill="1" applyAlignment="1">
      <alignment horizontal="center" vertical="center"/>
    </xf>
    <xf numFmtId="0" fontId="0" fillId="0" borderId="1" xfId="0" applyBorder="1"/>
    <xf numFmtId="0" fontId="26" fillId="0" borderId="1" xfId="0" applyFont="1" applyBorder="1" applyAlignment="1">
      <alignment horizontal="center" vertical="center"/>
    </xf>
    <xf numFmtId="17" fontId="27" fillId="0" borderId="0" xfId="19" applyNumberFormat="1" applyFont="1" applyAlignment="1">
      <alignment horizontal="center" vertical="center"/>
    </xf>
    <xf numFmtId="0" fontId="27" fillId="0" borderId="1" xfId="19" applyFont="1" applyBorder="1" applyAlignment="1">
      <alignment horizontal="center" vertical="center"/>
    </xf>
    <xf numFmtId="0" fontId="27" fillId="0" borderId="0" xfId="19" applyFont="1" applyAlignment="1">
      <alignment horizontal="center" vertical="center"/>
    </xf>
    <xf numFmtId="0" fontId="27" fillId="0" borderId="0" xfId="19" applyFont="1" applyAlignment="1">
      <alignment horizontal="center" vertical="center" wrapText="1"/>
    </xf>
    <xf numFmtId="0" fontId="26" fillId="0" borderId="0" xfId="19" applyFont="1" applyAlignment="1">
      <alignment horizontal="center" vertical="center" wrapText="1"/>
    </xf>
    <xf numFmtId="0" fontId="26" fillId="0" borderId="0" xfId="19" applyFont="1" applyAlignment="1">
      <alignment horizontal="center" vertical="center"/>
    </xf>
    <xf numFmtId="164" fontId="27" fillId="0" borderId="0" xfId="19" applyNumberFormat="1" applyFont="1" applyAlignment="1">
      <alignment horizontal="center" vertical="center"/>
    </xf>
    <xf numFmtId="0" fontId="27" fillId="0" borderId="3" xfId="19" applyFont="1" applyBorder="1" applyAlignment="1">
      <alignment horizontal="center" vertical="center" wrapText="1"/>
    </xf>
    <xf numFmtId="0" fontId="26" fillId="0" borderId="1" xfId="19" applyFont="1" applyBorder="1" applyAlignment="1">
      <alignment horizontal="center" vertical="center"/>
    </xf>
    <xf numFmtId="17" fontId="27" fillId="10" borderId="1" xfId="19" applyNumberFormat="1" applyFont="1" applyFill="1" applyBorder="1" applyAlignment="1">
      <alignment horizontal="center" vertical="center" wrapText="1"/>
    </xf>
    <xf numFmtId="0" fontId="27" fillId="10" borderId="1" xfId="19" applyFont="1" applyFill="1" applyBorder="1" applyAlignment="1">
      <alignment horizontal="center" vertical="center"/>
    </xf>
    <xf numFmtId="0" fontId="27" fillId="10" borderId="1" xfId="19" applyFont="1" applyFill="1" applyBorder="1" applyAlignment="1">
      <alignment horizontal="center" vertical="center" wrapText="1"/>
    </xf>
    <xf numFmtId="1" fontId="27" fillId="10" borderId="1" xfId="19" applyNumberFormat="1" applyFont="1" applyFill="1" applyBorder="1" applyAlignment="1">
      <alignment horizontal="center" vertical="center"/>
    </xf>
    <xf numFmtId="0" fontId="26" fillId="0" borderId="7" xfId="19" applyFont="1" applyBorder="1" applyAlignment="1">
      <alignment horizontal="center" vertical="center"/>
    </xf>
    <xf numFmtId="0" fontId="29" fillId="11" borderId="7" xfId="19" applyFont="1" applyFill="1" applyBorder="1" applyAlignment="1">
      <alignment horizontal="center" vertical="center" wrapText="1"/>
    </xf>
    <xf numFmtId="0" fontId="29" fillId="11" borderId="1" xfId="19" applyFont="1" applyFill="1" applyBorder="1" applyAlignment="1">
      <alignment horizontal="center" vertical="center" wrapText="1"/>
    </xf>
    <xf numFmtId="0" fontId="29" fillId="11" borderId="9" xfId="19" applyFont="1" applyFill="1" applyBorder="1" applyAlignment="1">
      <alignment horizontal="center" vertical="center" wrapText="1"/>
    </xf>
    <xf numFmtId="0" fontId="29" fillId="11" borderId="6" xfId="19" applyFont="1" applyFill="1" applyBorder="1" applyAlignment="1">
      <alignment horizontal="center" vertical="center" wrapText="1"/>
    </xf>
    <xf numFmtId="0" fontId="29" fillId="11" borderId="5" xfId="19" applyFont="1" applyFill="1" applyBorder="1" applyAlignment="1">
      <alignment horizontal="center" vertical="center" wrapText="1"/>
    </xf>
    <xf numFmtId="17" fontId="26" fillId="0" borderId="1" xfId="19" applyNumberFormat="1" applyFont="1" applyBorder="1" applyAlignment="1">
      <alignment horizontal="center" vertical="center"/>
    </xf>
    <xf numFmtId="14" fontId="26" fillId="0" borderId="0" xfId="19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0" fillId="0" borderId="7" xfId="19" applyFont="1" applyBorder="1" applyAlignment="1">
      <alignment horizontal="center" vertical="center"/>
    </xf>
    <xf numFmtId="0" fontId="30" fillId="0" borderId="1" xfId="19" applyFont="1" applyBorder="1" applyAlignment="1">
      <alignment horizontal="center" vertical="center"/>
    </xf>
    <xf numFmtId="0" fontId="30" fillId="0" borderId="6" xfId="19" applyFont="1" applyBorder="1" applyAlignment="1">
      <alignment horizontal="center" vertical="center"/>
    </xf>
    <xf numFmtId="0" fontId="30" fillId="0" borderId="8" xfId="19" applyFont="1" applyBorder="1" applyAlignment="1">
      <alignment horizontal="center" vertical="center"/>
    </xf>
    <xf numFmtId="0" fontId="30" fillId="0" borderId="5" xfId="19" applyFont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7" fillId="9" borderId="5" xfId="19" applyFont="1" applyFill="1" applyBorder="1" applyAlignment="1">
      <alignment horizontal="center" vertical="center" wrapText="1"/>
    </xf>
    <xf numFmtId="0" fontId="27" fillId="9" borderId="3" xfId="19" applyFont="1" applyFill="1" applyBorder="1" applyAlignment="1">
      <alignment horizontal="center" vertical="center" wrapText="1"/>
    </xf>
    <xf numFmtId="0" fontId="27" fillId="9" borderId="4" xfId="19" applyFont="1" applyFill="1" applyBorder="1" applyAlignment="1">
      <alignment horizontal="center" vertical="center" wrapText="1"/>
    </xf>
    <xf numFmtId="0" fontId="27" fillId="8" borderId="5" xfId="19" applyFont="1" applyFill="1" applyBorder="1" applyAlignment="1">
      <alignment horizontal="center" vertical="center" wrapText="1"/>
    </xf>
    <xf numFmtId="0" fontId="27" fillId="8" borderId="3" xfId="19" applyFont="1" applyFill="1" applyBorder="1" applyAlignment="1">
      <alignment horizontal="center" vertical="center" wrapText="1"/>
    </xf>
    <xf numFmtId="0" fontId="27" fillId="8" borderId="4" xfId="19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</cellXfs>
  <cellStyles count="25">
    <cellStyle name="Normal" xfId="0" builtinId="0"/>
    <cellStyle name="Normal 10" xfId="10"/>
    <cellStyle name="Normal 11" xfId="12"/>
    <cellStyle name="Normal 12" xfId="13"/>
    <cellStyle name="Normal 13" xfId="14"/>
    <cellStyle name="Normal 14" xfId="15"/>
    <cellStyle name="Normal 15" xfId="16"/>
    <cellStyle name="Normal 16" xfId="17"/>
    <cellStyle name="Normal 17" xfId="18"/>
    <cellStyle name="Normal 18" xfId="20"/>
    <cellStyle name="Normal 19" xfId="21"/>
    <cellStyle name="Normal 2" xfId="1"/>
    <cellStyle name="Normal 2 2" xfId="2"/>
    <cellStyle name="Normal 2 2 2" xfId="19"/>
    <cellStyle name="Normal 20" xfId="22"/>
    <cellStyle name="Normal 21" xfId="23"/>
    <cellStyle name="Normal 22" xfId="24"/>
    <cellStyle name="Normal 3" xfId="3"/>
    <cellStyle name="Normal 4" xfId="4"/>
    <cellStyle name="Normal 5" xfId="5"/>
    <cellStyle name="Normal 6" xfId="6"/>
    <cellStyle name="Normal 7" xfId="7"/>
    <cellStyle name="Normal 8" xfId="8"/>
    <cellStyle name="Normal 9" xfId="9"/>
    <cellStyle name="Normal 9 2" xfId="11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dws1fps01\common\Users\vbopche\Desktop\Rinku%20123\RE%20hard%20%20line%20daily%20Rejection%20update%20sheet\Deffect%20Code%20Mazak%20Lin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%20Quality/RE%20Hard/Rejection%20&amp;%20Rework%20Details/Deffect%20Code%20Mazak%20Lin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RE Defect Sheet"/>
      <sheetName val="Sheet5"/>
      <sheetName val="Sheet2"/>
      <sheetName val="Sheet1"/>
      <sheetName val="Sheet3"/>
      <sheetName val="machine Qty"/>
      <sheetName val="cost "/>
      <sheetName val="Sheet4"/>
      <sheetName val="Sheet4 (2)"/>
      <sheetName val="Sheet6"/>
      <sheetName val=""/>
      <sheetName val="New cost sheet"/>
      <sheetName val="Rev.Cost Sheet 01.07.2020"/>
    </sheetNames>
    <sheetDataSet>
      <sheetData sheetId="0" refreshError="1"/>
      <sheetData sheetId="1" refreshError="1">
        <row r="2">
          <cell r="A2" t="str">
            <v>Code</v>
          </cell>
          <cell r="B2" t="str">
            <v>Defect</v>
          </cell>
          <cell r="C2" t="str">
            <v xml:space="preserve">Sap code  </v>
          </cell>
          <cell r="E2" t="str">
            <v>Code</v>
          </cell>
          <cell r="F2" t="str">
            <v>M/c no</v>
          </cell>
          <cell r="G2" t="str">
            <v>M/c  Name</v>
          </cell>
          <cell r="H2" t="str">
            <v>Operation</v>
          </cell>
        </row>
        <row r="3">
          <cell r="A3">
            <v>1</v>
          </cell>
          <cell r="B3" t="str">
            <v>Bore Over size</v>
          </cell>
          <cell r="C3">
            <v>3243</v>
          </cell>
          <cell r="E3">
            <v>1</v>
          </cell>
          <cell r="F3" t="str">
            <v>282-01</v>
          </cell>
          <cell r="G3" t="str">
            <v>Mazak</v>
          </cell>
          <cell r="H3" t="str">
            <v>Turning</v>
          </cell>
          <cell r="K3" t="str">
            <v>Code</v>
          </cell>
          <cell r="L3" t="str">
            <v>PART NO.</v>
          </cell>
          <cell r="M3" t="str">
            <v>Customer</v>
          </cell>
          <cell r="N3" t="str">
            <v>Rate</v>
          </cell>
          <cell r="P3">
            <v>1</v>
          </cell>
          <cell r="Q3" t="str">
            <v xml:space="preserve">During segrigetion </v>
          </cell>
          <cell r="R3" t="str">
            <v xml:space="preserve">During segrigetion </v>
          </cell>
          <cell r="S3" t="str">
            <v>Attitude</v>
          </cell>
        </row>
        <row r="4">
          <cell r="A4">
            <v>2</v>
          </cell>
          <cell r="B4" t="str">
            <v>Bore Less Metal</v>
          </cell>
          <cell r="C4">
            <v>3260</v>
          </cell>
          <cell r="E4">
            <v>2</v>
          </cell>
          <cell r="F4" t="str">
            <v>282-02</v>
          </cell>
          <cell r="G4" t="str">
            <v>Mazak</v>
          </cell>
          <cell r="H4" t="str">
            <v>Turning</v>
          </cell>
          <cell r="K4">
            <v>1</v>
          </cell>
          <cell r="L4">
            <v>2401</v>
          </cell>
          <cell r="M4" t="str">
            <v>RE UCE</v>
          </cell>
          <cell r="N4">
            <v>94.23</v>
          </cell>
          <cell r="P4">
            <v>2</v>
          </cell>
          <cell r="Q4" t="str">
            <v>Insert veriation</v>
          </cell>
          <cell r="R4" t="str">
            <v>Insert veriation</v>
          </cell>
          <cell r="S4" t="str">
            <v>process</v>
          </cell>
        </row>
        <row r="5">
          <cell r="A5">
            <v>3</v>
          </cell>
          <cell r="B5" t="str">
            <v xml:space="preserve">Bore Over size in Ovality </v>
          </cell>
          <cell r="C5">
            <v>3277</v>
          </cell>
          <cell r="E5">
            <v>3</v>
          </cell>
          <cell r="F5" t="str">
            <v>282-03</v>
          </cell>
          <cell r="G5" t="str">
            <v>Mazak</v>
          </cell>
          <cell r="H5" t="str">
            <v>Turning</v>
          </cell>
          <cell r="K5">
            <v>2</v>
          </cell>
          <cell r="L5">
            <v>2402</v>
          </cell>
          <cell r="M5" t="str">
            <v>RE D1</v>
          </cell>
          <cell r="N5">
            <v>201.52</v>
          </cell>
          <cell r="P5">
            <v>3</v>
          </cell>
          <cell r="Q5" t="str">
            <v>After dressing</v>
          </cell>
          <cell r="R5" t="str">
            <v xml:space="preserve">Due to machine </v>
          </cell>
          <cell r="S5" t="str">
            <v>process</v>
          </cell>
        </row>
        <row r="6">
          <cell r="A6">
            <v>4</v>
          </cell>
          <cell r="B6" t="str">
            <v>During Rework Bore Over size</v>
          </cell>
          <cell r="C6">
            <v>3243</v>
          </cell>
          <cell r="E6">
            <v>4</v>
          </cell>
          <cell r="F6" t="str">
            <v>282-04</v>
          </cell>
          <cell r="G6" t="str">
            <v>Mazak</v>
          </cell>
          <cell r="H6" t="str">
            <v>Turning</v>
          </cell>
          <cell r="K6">
            <v>3</v>
          </cell>
          <cell r="L6">
            <v>2403</v>
          </cell>
          <cell r="M6" t="str">
            <v>RE J1</v>
          </cell>
          <cell r="N6">
            <v>0</v>
          </cell>
          <cell r="P6">
            <v>4</v>
          </cell>
          <cell r="Q6" t="str">
            <v>Collent off running m/c</v>
          </cell>
          <cell r="R6" t="str">
            <v xml:space="preserve">Due to machine </v>
          </cell>
          <cell r="S6" t="str">
            <v>process</v>
          </cell>
        </row>
        <row r="7">
          <cell r="A7">
            <v>5</v>
          </cell>
          <cell r="B7" t="str">
            <v>During Rework Thickness under size</v>
          </cell>
          <cell r="C7">
            <v>3247</v>
          </cell>
          <cell r="E7">
            <v>5</v>
          </cell>
          <cell r="F7" t="str">
            <v>282-05</v>
          </cell>
          <cell r="G7" t="str">
            <v>Mazak</v>
          </cell>
          <cell r="H7" t="str">
            <v>Turning</v>
          </cell>
          <cell r="K7">
            <v>4</v>
          </cell>
          <cell r="L7">
            <v>2404</v>
          </cell>
          <cell r="M7" t="str">
            <v>RE UCE</v>
          </cell>
          <cell r="N7">
            <v>54.14</v>
          </cell>
          <cell r="P7">
            <v>5</v>
          </cell>
          <cell r="Q7" t="str">
            <v>Cycle time increase on running m/c</v>
          </cell>
          <cell r="R7" t="str">
            <v xml:space="preserve">Due to machine </v>
          </cell>
          <cell r="S7" t="str">
            <v>process</v>
          </cell>
        </row>
        <row r="8">
          <cell r="A8">
            <v>6</v>
          </cell>
          <cell r="B8" t="str">
            <v>Step on Bore</v>
          </cell>
          <cell r="C8">
            <v>3211</v>
          </cell>
          <cell r="E8">
            <v>6</v>
          </cell>
          <cell r="F8" t="str">
            <v>282-06</v>
          </cell>
          <cell r="G8" t="str">
            <v>Mazak</v>
          </cell>
          <cell r="H8" t="str">
            <v>Turning</v>
          </cell>
          <cell r="K8">
            <v>5</v>
          </cell>
          <cell r="L8">
            <v>2405</v>
          </cell>
          <cell r="M8" t="str">
            <v>RE UCE</v>
          </cell>
          <cell r="N8">
            <v>68.930000000000007</v>
          </cell>
          <cell r="P8">
            <v>6</v>
          </cell>
          <cell r="Q8" t="str">
            <v xml:space="preserve">IPG not working </v>
          </cell>
          <cell r="R8" t="str">
            <v xml:space="preserve">Due to machine </v>
          </cell>
          <cell r="S8" t="str">
            <v>process</v>
          </cell>
        </row>
        <row r="9">
          <cell r="A9">
            <v>7</v>
          </cell>
          <cell r="B9" t="str">
            <v xml:space="preserve">tool broken </v>
          </cell>
          <cell r="C9">
            <v>3252</v>
          </cell>
          <cell r="E9">
            <v>7</v>
          </cell>
          <cell r="F9" t="str">
            <v>282-07</v>
          </cell>
          <cell r="G9" t="str">
            <v>Mazak</v>
          </cell>
          <cell r="H9" t="str">
            <v>Turning</v>
          </cell>
          <cell r="K9">
            <v>6</v>
          </cell>
          <cell r="L9">
            <v>2406</v>
          </cell>
          <cell r="M9" t="str">
            <v>RE UCE</v>
          </cell>
          <cell r="N9">
            <v>65.84</v>
          </cell>
          <cell r="P9">
            <v>7</v>
          </cell>
          <cell r="Q9" t="str">
            <v>Machine properly correction not accapted</v>
          </cell>
          <cell r="R9" t="str">
            <v xml:space="preserve">Due to machine </v>
          </cell>
          <cell r="S9" t="str">
            <v>process</v>
          </cell>
        </row>
        <row r="10">
          <cell r="A10">
            <v>8</v>
          </cell>
          <cell r="B10" t="str">
            <v>OD Under Size</v>
          </cell>
          <cell r="C10">
            <v>3242</v>
          </cell>
          <cell r="E10">
            <v>8</v>
          </cell>
          <cell r="F10" t="str">
            <v>282-08</v>
          </cell>
          <cell r="G10" t="str">
            <v>Mazak</v>
          </cell>
          <cell r="H10" t="str">
            <v>Turning</v>
          </cell>
          <cell r="K10">
            <v>7</v>
          </cell>
          <cell r="L10">
            <v>2407</v>
          </cell>
          <cell r="M10" t="str">
            <v>RE UCE</v>
          </cell>
          <cell r="N10">
            <v>69.37</v>
          </cell>
          <cell r="P10">
            <v>8</v>
          </cell>
          <cell r="Q10" t="str">
            <v>Maintanance trial</v>
          </cell>
          <cell r="R10" t="str">
            <v xml:space="preserve">Due to machine </v>
          </cell>
          <cell r="S10" t="str">
            <v>process</v>
          </cell>
        </row>
        <row r="11">
          <cell r="A11">
            <v>9</v>
          </cell>
          <cell r="B11" t="str">
            <v>OD less metal</v>
          </cell>
          <cell r="C11">
            <v>3261</v>
          </cell>
          <cell r="E11">
            <v>9</v>
          </cell>
          <cell r="F11" t="str">
            <v>282-09</v>
          </cell>
          <cell r="G11" t="str">
            <v>Mazak</v>
          </cell>
          <cell r="H11" t="str">
            <v>Turning</v>
          </cell>
          <cell r="K11">
            <v>8</v>
          </cell>
          <cell r="L11">
            <v>2408</v>
          </cell>
          <cell r="M11" t="str">
            <v>RE UCE</v>
          </cell>
          <cell r="N11">
            <v>123.18</v>
          </cell>
          <cell r="P11">
            <v>9</v>
          </cell>
          <cell r="Q11" t="str">
            <v xml:space="preserve">wheel desh </v>
          </cell>
          <cell r="R11" t="str">
            <v xml:space="preserve">Due to machine </v>
          </cell>
          <cell r="S11" t="str">
            <v>process</v>
          </cell>
        </row>
        <row r="12">
          <cell r="A12">
            <v>10</v>
          </cell>
          <cell r="B12" t="str">
            <v>Step on OD</v>
          </cell>
          <cell r="C12">
            <v>0</v>
          </cell>
          <cell r="E12">
            <v>10</v>
          </cell>
          <cell r="F12" t="str">
            <v>282-10</v>
          </cell>
          <cell r="G12" t="str">
            <v>Mazak</v>
          </cell>
          <cell r="H12" t="str">
            <v>Turning</v>
          </cell>
          <cell r="K12">
            <v>9</v>
          </cell>
          <cell r="L12">
            <v>2409</v>
          </cell>
          <cell r="M12" t="str">
            <v>RE UCE</v>
          </cell>
          <cell r="N12">
            <v>60.68</v>
          </cell>
          <cell r="P12">
            <v>10</v>
          </cell>
          <cell r="Q12" t="str">
            <v>Maintanance trial marpose problem</v>
          </cell>
          <cell r="R12" t="str">
            <v xml:space="preserve">Due to machine </v>
          </cell>
          <cell r="S12" t="str">
            <v>process</v>
          </cell>
        </row>
        <row r="13">
          <cell r="A13">
            <v>11</v>
          </cell>
          <cell r="B13" t="str">
            <v xml:space="preserve">MOP u/s </v>
          </cell>
          <cell r="C13">
            <v>3234</v>
          </cell>
          <cell r="E13">
            <v>11</v>
          </cell>
          <cell r="F13" t="str">
            <v>282-11</v>
          </cell>
          <cell r="G13" t="str">
            <v>Mazak</v>
          </cell>
          <cell r="H13" t="str">
            <v>Turning</v>
          </cell>
          <cell r="K13">
            <v>10</v>
          </cell>
          <cell r="L13">
            <v>2410</v>
          </cell>
          <cell r="M13" t="str">
            <v>RE UCE</v>
          </cell>
          <cell r="N13">
            <v>48</v>
          </cell>
          <cell r="P13">
            <v>11</v>
          </cell>
          <cell r="Q13" t="str">
            <v>Maintanance work</v>
          </cell>
          <cell r="R13" t="str">
            <v xml:space="preserve">Due to machine </v>
          </cell>
          <cell r="S13" t="str">
            <v>process</v>
          </cell>
        </row>
        <row r="14">
          <cell r="A14">
            <v>12</v>
          </cell>
          <cell r="B14" t="str">
            <v>Face Less metal</v>
          </cell>
          <cell r="C14">
            <v>3259</v>
          </cell>
          <cell r="E14">
            <v>12</v>
          </cell>
          <cell r="F14" t="str">
            <v>282-12</v>
          </cell>
          <cell r="G14" t="str">
            <v>Mazak</v>
          </cell>
          <cell r="H14" t="str">
            <v>Turning</v>
          </cell>
          <cell r="K14">
            <v>11</v>
          </cell>
          <cell r="L14">
            <v>2411</v>
          </cell>
          <cell r="M14" t="str">
            <v>RE UCE</v>
          </cell>
          <cell r="N14">
            <v>62.19</v>
          </cell>
          <cell r="P14">
            <v>12</v>
          </cell>
          <cell r="Q14" t="str">
            <v>Marpose disturb</v>
          </cell>
          <cell r="R14" t="str">
            <v xml:space="preserve">Due to machine </v>
          </cell>
          <cell r="S14" t="str">
            <v>process</v>
          </cell>
        </row>
        <row r="15">
          <cell r="A15">
            <v>13</v>
          </cell>
          <cell r="B15" t="str">
            <v>Thickness Under size</v>
          </cell>
          <cell r="C15">
            <v>3258</v>
          </cell>
          <cell r="E15">
            <v>13</v>
          </cell>
          <cell r="F15" t="str">
            <v>282-13</v>
          </cell>
          <cell r="G15" t="str">
            <v>Mazak</v>
          </cell>
          <cell r="H15" t="str">
            <v>Turning</v>
          </cell>
          <cell r="K15">
            <v>12</v>
          </cell>
          <cell r="L15">
            <v>2412</v>
          </cell>
          <cell r="M15" t="str">
            <v>RE</v>
          </cell>
          <cell r="N15">
            <v>0</v>
          </cell>
          <cell r="P15">
            <v>13</v>
          </cell>
          <cell r="Q15" t="str">
            <v xml:space="preserve">Marpose not workin maintanance work </v>
          </cell>
          <cell r="R15" t="str">
            <v xml:space="preserve">Due to machine </v>
          </cell>
          <cell r="S15" t="str">
            <v>process</v>
          </cell>
        </row>
        <row r="16">
          <cell r="A16">
            <v>14</v>
          </cell>
          <cell r="B16" t="str">
            <v>PCD R/O More</v>
          </cell>
          <cell r="C16">
            <v>3203</v>
          </cell>
          <cell r="E16">
            <v>14</v>
          </cell>
          <cell r="F16" t="str">
            <v>282-14</v>
          </cell>
          <cell r="G16" t="str">
            <v>Mazak</v>
          </cell>
          <cell r="H16" t="str">
            <v>Turning</v>
          </cell>
          <cell r="K16">
            <v>13</v>
          </cell>
          <cell r="L16">
            <v>2413</v>
          </cell>
          <cell r="M16" t="str">
            <v>RE</v>
          </cell>
          <cell r="N16">
            <v>0</v>
          </cell>
          <cell r="P16">
            <v>14</v>
          </cell>
          <cell r="Q16" t="str">
            <v>Marpose wire problem</v>
          </cell>
          <cell r="R16" t="str">
            <v xml:space="preserve">Due to machine </v>
          </cell>
          <cell r="S16" t="str">
            <v>process</v>
          </cell>
        </row>
        <row r="17">
          <cell r="A17">
            <v>15</v>
          </cell>
          <cell r="B17" t="str">
            <v>Wrong correction</v>
          </cell>
          <cell r="C17">
            <v>0</v>
          </cell>
          <cell r="E17">
            <v>15</v>
          </cell>
          <cell r="F17" t="str">
            <v>282-15</v>
          </cell>
          <cell r="G17" t="str">
            <v>Mazak</v>
          </cell>
          <cell r="H17" t="str">
            <v>Turning</v>
          </cell>
          <cell r="K17">
            <v>14</v>
          </cell>
          <cell r="L17">
            <v>2414</v>
          </cell>
          <cell r="M17" t="str">
            <v>RE UCE</v>
          </cell>
          <cell r="N17">
            <v>75.44</v>
          </cell>
          <cell r="P17">
            <v>15</v>
          </cell>
          <cell r="Q17" t="str">
            <v>Oil level low</v>
          </cell>
          <cell r="R17" t="str">
            <v xml:space="preserve">Due to machine </v>
          </cell>
          <cell r="S17" t="str">
            <v>process</v>
          </cell>
        </row>
        <row r="18">
          <cell r="A18">
            <v>16</v>
          </cell>
          <cell r="B18" t="str">
            <v>ASSAMBELY 2479/2483</v>
          </cell>
          <cell r="C18">
            <v>0</v>
          </cell>
          <cell r="E18">
            <v>16</v>
          </cell>
          <cell r="F18" t="str">
            <v>282-16</v>
          </cell>
          <cell r="G18" t="str">
            <v>Mazak</v>
          </cell>
          <cell r="H18" t="str">
            <v>Turning</v>
          </cell>
          <cell r="K18">
            <v>15</v>
          </cell>
          <cell r="L18">
            <v>2415</v>
          </cell>
          <cell r="M18" t="str">
            <v>RE UCE</v>
          </cell>
          <cell r="N18">
            <v>67.19</v>
          </cell>
          <cell r="P18">
            <v>16</v>
          </cell>
          <cell r="Q18" t="str">
            <v>Oil/Coolent off in running m/c</v>
          </cell>
          <cell r="R18" t="str">
            <v xml:space="preserve">Due to machine </v>
          </cell>
          <cell r="S18" t="str">
            <v>process</v>
          </cell>
        </row>
        <row r="19">
          <cell r="A19">
            <v>17</v>
          </cell>
          <cell r="B19" t="str">
            <v>Part Wrong Loading</v>
          </cell>
          <cell r="C19">
            <v>3257</v>
          </cell>
          <cell r="E19">
            <v>17</v>
          </cell>
          <cell r="F19" t="str">
            <v>282-17</v>
          </cell>
          <cell r="G19" t="str">
            <v>Mazak</v>
          </cell>
          <cell r="H19" t="str">
            <v>Turning</v>
          </cell>
          <cell r="K19">
            <v>16</v>
          </cell>
          <cell r="L19">
            <v>2416</v>
          </cell>
          <cell r="M19" t="str">
            <v>RE UCE</v>
          </cell>
          <cell r="N19">
            <v>106.68</v>
          </cell>
          <cell r="P19">
            <v>17</v>
          </cell>
          <cell r="Q19" t="str">
            <v>Power cut</v>
          </cell>
          <cell r="R19" t="str">
            <v xml:space="preserve">Due to machine </v>
          </cell>
          <cell r="S19" t="str">
            <v>process</v>
          </cell>
        </row>
        <row r="20">
          <cell r="A20">
            <v>18</v>
          </cell>
          <cell r="B20" t="str">
            <v>Double Loading</v>
          </cell>
          <cell r="C20">
            <v>3257</v>
          </cell>
          <cell r="E20">
            <v>18</v>
          </cell>
          <cell r="F20" t="str">
            <v>282-18</v>
          </cell>
          <cell r="G20" t="str">
            <v>Mazak</v>
          </cell>
          <cell r="H20" t="str">
            <v>Turning</v>
          </cell>
          <cell r="K20">
            <v>17</v>
          </cell>
          <cell r="L20">
            <v>2417</v>
          </cell>
          <cell r="M20" t="str">
            <v>RE UCE</v>
          </cell>
          <cell r="N20">
            <v>53.66</v>
          </cell>
          <cell r="P20">
            <v>18</v>
          </cell>
          <cell r="Q20" t="str">
            <v>Program setup time</v>
          </cell>
          <cell r="R20" t="str">
            <v xml:space="preserve">Due to machine </v>
          </cell>
          <cell r="S20" t="str">
            <v>process</v>
          </cell>
        </row>
        <row r="21">
          <cell r="A21">
            <v>19</v>
          </cell>
          <cell r="B21" t="str">
            <v xml:space="preserve">dai run out more </v>
          </cell>
          <cell r="C21">
            <v>3263</v>
          </cell>
          <cell r="E21">
            <v>19</v>
          </cell>
          <cell r="F21" t="str">
            <v>282-19</v>
          </cell>
          <cell r="G21" t="str">
            <v>Mazak</v>
          </cell>
          <cell r="H21" t="str">
            <v>Turning</v>
          </cell>
          <cell r="K21">
            <v>18</v>
          </cell>
          <cell r="L21">
            <v>2418</v>
          </cell>
          <cell r="M21" t="str">
            <v>RE UCE</v>
          </cell>
          <cell r="N21">
            <v>80.319999999999993</v>
          </cell>
          <cell r="P21">
            <v>19</v>
          </cell>
          <cell r="Q21" t="str">
            <v>running m/c</v>
          </cell>
          <cell r="R21" t="str">
            <v xml:space="preserve">Due to machine </v>
          </cell>
          <cell r="S21" t="str">
            <v>process</v>
          </cell>
        </row>
        <row r="22">
          <cell r="A22">
            <v>20</v>
          </cell>
          <cell r="B22" t="str">
            <v>FACE DENT</v>
          </cell>
          <cell r="C22">
            <v>3229</v>
          </cell>
          <cell r="E22">
            <v>20</v>
          </cell>
          <cell r="F22" t="str">
            <v>282-20</v>
          </cell>
          <cell r="G22" t="str">
            <v>Mazak</v>
          </cell>
          <cell r="H22" t="str">
            <v>Turning</v>
          </cell>
          <cell r="K22">
            <v>19</v>
          </cell>
          <cell r="L22">
            <v>2419</v>
          </cell>
          <cell r="M22" t="str">
            <v>RE</v>
          </cell>
          <cell r="N22">
            <v>0</v>
          </cell>
          <cell r="P22">
            <v>20</v>
          </cell>
          <cell r="Q22" t="str">
            <v>Running m/c power off</v>
          </cell>
          <cell r="R22" t="str">
            <v xml:space="preserve">Due to machine </v>
          </cell>
          <cell r="S22" t="str">
            <v>process</v>
          </cell>
        </row>
        <row r="23">
          <cell r="A23">
            <v>21</v>
          </cell>
          <cell r="B23" t="str">
            <v>Thread Damage</v>
          </cell>
          <cell r="C23">
            <v>3251</v>
          </cell>
          <cell r="E23">
            <v>21</v>
          </cell>
          <cell r="F23" t="str">
            <v>ACE-01</v>
          </cell>
          <cell r="G23" t="str">
            <v>ACE</v>
          </cell>
          <cell r="H23" t="str">
            <v>Turning</v>
          </cell>
          <cell r="K23">
            <v>20</v>
          </cell>
          <cell r="L23">
            <v>2420</v>
          </cell>
          <cell r="M23" t="str">
            <v>RE UCE</v>
          </cell>
          <cell r="N23">
            <v>106.17</v>
          </cell>
          <cell r="P23">
            <v>21</v>
          </cell>
          <cell r="Q23" t="str">
            <v>Running m/c step found on bore</v>
          </cell>
          <cell r="R23" t="str">
            <v xml:space="preserve">Due to machine </v>
          </cell>
          <cell r="S23" t="str">
            <v>process</v>
          </cell>
        </row>
        <row r="24">
          <cell r="A24">
            <v>22</v>
          </cell>
          <cell r="B24" t="str">
            <v xml:space="preserve">Maintainance </v>
          </cell>
          <cell r="C24">
            <v>3272</v>
          </cell>
          <cell r="E24">
            <v>22</v>
          </cell>
          <cell r="F24" t="str">
            <v>ACE-02</v>
          </cell>
          <cell r="G24" t="str">
            <v>ACE</v>
          </cell>
          <cell r="H24" t="str">
            <v>Turning</v>
          </cell>
          <cell r="K24">
            <v>21</v>
          </cell>
          <cell r="L24">
            <v>2421</v>
          </cell>
          <cell r="M24" t="str">
            <v>RE UCE</v>
          </cell>
          <cell r="N24">
            <v>23</v>
          </cell>
          <cell r="P24">
            <v>22</v>
          </cell>
          <cell r="Q24" t="str">
            <v>Running m/c stop</v>
          </cell>
          <cell r="R24" t="str">
            <v xml:space="preserve">Due to machine </v>
          </cell>
          <cell r="S24" t="str">
            <v>process</v>
          </cell>
        </row>
        <row r="25">
          <cell r="A25">
            <v>23</v>
          </cell>
          <cell r="B25" t="str">
            <v>Machine Accident</v>
          </cell>
          <cell r="C25">
            <v>0</v>
          </cell>
          <cell r="E25">
            <v>23</v>
          </cell>
          <cell r="F25" t="str">
            <v>ACE-03</v>
          </cell>
          <cell r="G25" t="str">
            <v>ACE</v>
          </cell>
          <cell r="H25" t="str">
            <v>Turning</v>
          </cell>
          <cell r="K25">
            <v>22</v>
          </cell>
          <cell r="L25">
            <v>2422</v>
          </cell>
          <cell r="M25" t="str">
            <v>RE</v>
          </cell>
          <cell r="N25">
            <v>197</v>
          </cell>
          <cell r="P25">
            <v>23</v>
          </cell>
          <cell r="Q25" t="str">
            <v>Running m/c wheel off</v>
          </cell>
          <cell r="R25" t="str">
            <v xml:space="preserve">Due to machine </v>
          </cell>
          <cell r="S25" t="str">
            <v>process</v>
          </cell>
        </row>
        <row r="26">
          <cell r="A26">
            <v>24</v>
          </cell>
          <cell r="B26" t="str">
            <v xml:space="preserve">Power cut </v>
          </cell>
          <cell r="C26">
            <v>3207</v>
          </cell>
          <cell r="E26">
            <v>24</v>
          </cell>
          <cell r="F26" t="str">
            <v>ACE-04</v>
          </cell>
          <cell r="G26" t="str">
            <v>ACE</v>
          </cell>
          <cell r="H26" t="str">
            <v>Turning</v>
          </cell>
          <cell r="K26">
            <v>23</v>
          </cell>
          <cell r="L26">
            <v>2423</v>
          </cell>
          <cell r="M26" t="str">
            <v>RE</v>
          </cell>
          <cell r="N26">
            <v>197</v>
          </cell>
          <cell r="P26">
            <v>24</v>
          </cell>
          <cell r="Q26" t="str">
            <v>Shift start part</v>
          </cell>
          <cell r="R26" t="str">
            <v xml:space="preserve">Due to machine </v>
          </cell>
          <cell r="S26" t="str">
            <v>process</v>
          </cell>
        </row>
        <row r="27">
          <cell r="A27">
            <v>25</v>
          </cell>
          <cell r="B27" t="str">
            <v>Setup Rej</v>
          </cell>
          <cell r="C27">
            <v>3210</v>
          </cell>
          <cell r="E27">
            <v>25</v>
          </cell>
          <cell r="F27" t="str">
            <v>ACE-05</v>
          </cell>
          <cell r="G27" t="str">
            <v>ACE</v>
          </cell>
          <cell r="H27" t="str">
            <v>Turning</v>
          </cell>
          <cell r="K27">
            <v>24</v>
          </cell>
          <cell r="L27">
            <v>2424</v>
          </cell>
          <cell r="M27" t="str">
            <v>RE</v>
          </cell>
          <cell r="N27">
            <v>79.13</v>
          </cell>
          <cell r="P27">
            <v>25</v>
          </cell>
          <cell r="Q27" t="str">
            <v>Size veriation on m/c</v>
          </cell>
          <cell r="R27" t="str">
            <v xml:space="preserve">Due to machine </v>
          </cell>
          <cell r="S27" t="str">
            <v>process</v>
          </cell>
        </row>
        <row r="28">
          <cell r="A28">
            <v>26</v>
          </cell>
          <cell r="B28" t="str">
            <v xml:space="preserve">During insert change </v>
          </cell>
          <cell r="C28">
            <v>3210</v>
          </cell>
          <cell r="E28">
            <v>26</v>
          </cell>
          <cell r="F28" t="str">
            <v>ACE-06</v>
          </cell>
          <cell r="G28" t="str">
            <v>ACE</v>
          </cell>
          <cell r="H28" t="str">
            <v>Turning</v>
          </cell>
          <cell r="K28">
            <v>25</v>
          </cell>
          <cell r="L28">
            <v>2425</v>
          </cell>
          <cell r="M28" t="str">
            <v>RE UCE</v>
          </cell>
          <cell r="N28">
            <v>80.61</v>
          </cell>
          <cell r="P28">
            <v>26</v>
          </cell>
          <cell r="Q28" t="str">
            <v>Tapper problem during correction time</v>
          </cell>
          <cell r="R28" t="str">
            <v xml:space="preserve">Due to machine </v>
          </cell>
          <cell r="S28" t="str">
            <v>process</v>
          </cell>
        </row>
        <row r="29">
          <cell r="A29">
            <v>27</v>
          </cell>
          <cell r="B29" t="str">
            <v xml:space="preserve">teeth less matal </v>
          </cell>
          <cell r="C29">
            <v>3216</v>
          </cell>
          <cell r="E29">
            <v>27</v>
          </cell>
          <cell r="F29" t="str">
            <v>ACE-07</v>
          </cell>
          <cell r="G29" t="str">
            <v>ACE</v>
          </cell>
          <cell r="H29" t="str">
            <v>Turning</v>
          </cell>
          <cell r="K29">
            <v>26</v>
          </cell>
          <cell r="L29">
            <v>2426</v>
          </cell>
          <cell r="M29" t="str">
            <v>RE UCE</v>
          </cell>
          <cell r="N29">
            <v>0</v>
          </cell>
          <cell r="P29">
            <v>27</v>
          </cell>
          <cell r="Q29" t="str">
            <v>Work head  not working</v>
          </cell>
          <cell r="R29" t="str">
            <v xml:space="preserve">Due to machine </v>
          </cell>
          <cell r="S29" t="str">
            <v>process</v>
          </cell>
        </row>
        <row r="30">
          <cell r="A30">
            <v>28</v>
          </cell>
          <cell r="B30" t="str">
            <v>Face r/o more</v>
          </cell>
          <cell r="C30">
            <v>3262</v>
          </cell>
          <cell r="E30">
            <v>28</v>
          </cell>
          <cell r="F30" t="str">
            <v>272-01</v>
          </cell>
          <cell r="G30" t="str">
            <v>NPS</v>
          </cell>
          <cell r="H30" t="str">
            <v>Bush Pressing</v>
          </cell>
          <cell r="K30">
            <v>27</v>
          </cell>
          <cell r="L30">
            <v>2427</v>
          </cell>
          <cell r="M30" t="str">
            <v>RE UCE</v>
          </cell>
          <cell r="N30">
            <v>0</v>
          </cell>
          <cell r="P30">
            <v>28</v>
          </cell>
          <cell r="Q30" t="str">
            <v xml:space="preserve">trail  rejection </v>
          </cell>
          <cell r="R30" t="str">
            <v xml:space="preserve">Due to machine </v>
          </cell>
          <cell r="S30" t="str">
            <v>process</v>
          </cell>
        </row>
        <row r="31">
          <cell r="A31">
            <v>29</v>
          </cell>
          <cell r="B31" t="str">
            <v>OD Ovality</v>
          </cell>
          <cell r="C31">
            <v>3281</v>
          </cell>
          <cell r="E31">
            <v>29</v>
          </cell>
          <cell r="F31" t="str">
            <v>272-02</v>
          </cell>
          <cell r="G31" t="str">
            <v>NPS</v>
          </cell>
          <cell r="H31" t="str">
            <v>Bush Pressing</v>
          </cell>
          <cell r="K31">
            <v>28</v>
          </cell>
          <cell r="L31">
            <v>2428</v>
          </cell>
          <cell r="M31" t="str">
            <v>RE P1</v>
          </cell>
          <cell r="N31">
            <v>122.3</v>
          </cell>
          <cell r="P31">
            <v>29</v>
          </cell>
          <cell r="Q31" t="str">
            <v>Part center dent</v>
          </cell>
          <cell r="R31" t="str">
            <v xml:space="preserve">Due to machine </v>
          </cell>
          <cell r="S31" t="str">
            <v>process</v>
          </cell>
        </row>
        <row r="32">
          <cell r="A32">
            <v>30</v>
          </cell>
          <cell r="B32" t="str">
            <v xml:space="preserve">Spline od u/s </v>
          </cell>
          <cell r="C32">
            <v>3252</v>
          </cell>
          <cell r="E32">
            <v>30</v>
          </cell>
          <cell r="F32" t="str">
            <v>272-03</v>
          </cell>
          <cell r="G32" t="str">
            <v>NPS</v>
          </cell>
          <cell r="H32" t="str">
            <v>Bush Pressing</v>
          </cell>
          <cell r="K32">
            <v>29</v>
          </cell>
          <cell r="L32">
            <v>2429</v>
          </cell>
          <cell r="M32" t="str">
            <v>RE P1</v>
          </cell>
          <cell r="N32">
            <v>124.31</v>
          </cell>
          <cell r="P32">
            <v>30</v>
          </cell>
          <cell r="Q32" t="str">
            <v>Due to spline burr on input material</v>
          </cell>
          <cell r="R32" t="str">
            <v xml:space="preserve">Due to material </v>
          </cell>
          <cell r="S32" t="str">
            <v>process</v>
          </cell>
        </row>
        <row r="33">
          <cell r="A33">
            <v>31</v>
          </cell>
          <cell r="B33" t="str">
            <v xml:space="preserve">marposs disturb </v>
          </cell>
          <cell r="C33">
            <v>3245</v>
          </cell>
          <cell r="E33">
            <v>31</v>
          </cell>
          <cell r="F33" t="str">
            <v>272-04</v>
          </cell>
          <cell r="G33" t="str">
            <v>Hind Gear</v>
          </cell>
          <cell r="H33" t="str">
            <v>Bush Pressing</v>
          </cell>
          <cell r="K33">
            <v>30</v>
          </cell>
          <cell r="L33">
            <v>2430</v>
          </cell>
          <cell r="M33" t="str">
            <v>RE</v>
          </cell>
          <cell r="N33">
            <v>10</v>
          </cell>
          <cell r="P33">
            <v>31</v>
          </cell>
          <cell r="Q33" t="str">
            <v>Carier bolt sleep</v>
          </cell>
          <cell r="R33" t="str">
            <v>Due to operator</v>
          </cell>
          <cell r="S33" t="str">
            <v xml:space="preserve">infrastructure </v>
          </cell>
        </row>
        <row r="34">
          <cell r="A34">
            <v>32</v>
          </cell>
          <cell r="B34" t="str">
            <v xml:space="preserve">angale out </v>
          </cell>
          <cell r="C34">
            <v>3246</v>
          </cell>
          <cell r="E34">
            <v>32</v>
          </cell>
          <cell r="F34" t="str">
            <v xml:space="preserve">new bush </v>
          </cell>
          <cell r="G34" t="str">
            <v xml:space="preserve">servo </v>
          </cell>
          <cell r="H34" t="str">
            <v>Bush Pressing</v>
          </cell>
          <cell r="K34">
            <v>31</v>
          </cell>
          <cell r="L34">
            <v>2431</v>
          </cell>
          <cell r="M34" t="str">
            <v>RE</v>
          </cell>
          <cell r="N34">
            <v>10</v>
          </cell>
          <cell r="P34">
            <v>32</v>
          </cell>
          <cell r="Q34" t="str">
            <v>Carier sleep</v>
          </cell>
          <cell r="R34" t="str">
            <v>Due to operator</v>
          </cell>
          <cell r="S34" t="str">
            <v>skill</v>
          </cell>
        </row>
        <row r="35">
          <cell r="A35">
            <v>33</v>
          </cell>
          <cell r="B35" t="str">
            <v>during  rework od u/s</v>
          </cell>
          <cell r="C35">
            <v>3242</v>
          </cell>
          <cell r="E35">
            <v>33</v>
          </cell>
          <cell r="F35" t="str">
            <v>new VMC</v>
          </cell>
          <cell r="G35" t="str">
            <v>VMC</v>
          </cell>
          <cell r="H35" t="str">
            <v>VMC</v>
          </cell>
          <cell r="K35">
            <v>32</v>
          </cell>
          <cell r="L35">
            <v>2432</v>
          </cell>
          <cell r="M35" t="str">
            <v>RE P1</v>
          </cell>
          <cell r="N35">
            <v>201.52</v>
          </cell>
          <cell r="P35">
            <v>33</v>
          </cell>
          <cell r="Q35" t="str">
            <v>Carrier lose</v>
          </cell>
          <cell r="R35" t="str">
            <v>Due to operator</v>
          </cell>
          <cell r="S35" t="str">
            <v>skill</v>
          </cell>
        </row>
        <row r="36">
          <cell r="A36">
            <v>34</v>
          </cell>
          <cell r="B36" t="str">
            <v>Thread no go pass</v>
          </cell>
          <cell r="C36">
            <v>3250</v>
          </cell>
          <cell r="E36">
            <v>34</v>
          </cell>
          <cell r="F36" t="str">
            <v>275-01</v>
          </cell>
          <cell r="G36" t="str">
            <v>Toyoda</v>
          </cell>
          <cell r="H36" t="str">
            <v>Grinding</v>
          </cell>
          <cell r="K36">
            <v>33</v>
          </cell>
          <cell r="L36">
            <v>2433</v>
          </cell>
          <cell r="M36" t="str">
            <v>RE P1</v>
          </cell>
          <cell r="N36">
            <v>168.34</v>
          </cell>
          <cell r="P36">
            <v>34</v>
          </cell>
          <cell r="Q36" t="str">
            <v>Cycle time correction time</v>
          </cell>
          <cell r="R36" t="str">
            <v>Due to operator</v>
          </cell>
          <cell r="S36" t="str">
            <v>process</v>
          </cell>
        </row>
        <row r="37">
          <cell r="A37">
            <v>35</v>
          </cell>
          <cell r="B37" t="str">
            <v xml:space="preserve">weel desh </v>
          </cell>
          <cell r="C37">
            <v>3245</v>
          </cell>
          <cell r="E37">
            <v>35</v>
          </cell>
          <cell r="F37" t="str">
            <v>275-02</v>
          </cell>
          <cell r="G37" t="str">
            <v>Toyoda</v>
          </cell>
          <cell r="H37" t="str">
            <v>Grinding</v>
          </cell>
          <cell r="K37">
            <v>34</v>
          </cell>
          <cell r="L37">
            <v>2434</v>
          </cell>
          <cell r="M37" t="str">
            <v>RE D1</v>
          </cell>
          <cell r="N37">
            <v>93.38</v>
          </cell>
          <cell r="P37">
            <v>35</v>
          </cell>
          <cell r="Q37" t="str">
            <v>Cycle time reduce by operator</v>
          </cell>
          <cell r="R37" t="str">
            <v>Due to operator</v>
          </cell>
          <cell r="S37" t="str">
            <v>Attitude</v>
          </cell>
        </row>
        <row r="38">
          <cell r="A38">
            <v>36</v>
          </cell>
          <cell r="B38" t="str">
            <v xml:space="preserve">Teeth dent </v>
          </cell>
          <cell r="C38">
            <v>3232</v>
          </cell>
          <cell r="E38">
            <v>36</v>
          </cell>
          <cell r="F38" t="str">
            <v>275-03</v>
          </cell>
          <cell r="G38" t="str">
            <v>Toyoda</v>
          </cell>
          <cell r="H38" t="str">
            <v>Grinding</v>
          </cell>
          <cell r="K38">
            <v>35</v>
          </cell>
          <cell r="L38">
            <v>2435</v>
          </cell>
          <cell r="M38" t="str">
            <v>RE D1</v>
          </cell>
          <cell r="N38">
            <v>93.12</v>
          </cell>
          <cell r="P38">
            <v>36</v>
          </cell>
          <cell r="Q38" t="str">
            <v>Double loading</v>
          </cell>
          <cell r="R38" t="str">
            <v>Due to operator</v>
          </cell>
          <cell r="S38" t="str">
            <v>skill</v>
          </cell>
        </row>
        <row r="39">
          <cell r="A39">
            <v>37</v>
          </cell>
          <cell r="B39" t="str">
            <v xml:space="preserve">center damage </v>
          </cell>
          <cell r="C39">
            <v>3265</v>
          </cell>
          <cell r="K39">
            <v>36</v>
          </cell>
          <cell r="L39">
            <v>2436</v>
          </cell>
          <cell r="M39" t="str">
            <v>RE</v>
          </cell>
          <cell r="N39">
            <v>100</v>
          </cell>
          <cell r="P39">
            <v>37</v>
          </cell>
          <cell r="Q39" t="str">
            <v>During correction time</v>
          </cell>
          <cell r="R39" t="str">
            <v>Due to operator</v>
          </cell>
          <cell r="S39" t="str">
            <v>skill</v>
          </cell>
        </row>
        <row r="40">
          <cell r="A40">
            <v>38</v>
          </cell>
          <cell r="B40" t="str">
            <v>Circlip groove dist.U/S,O/S</v>
          </cell>
          <cell r="C40">
            <v>3266</v>
          </cell>
          <cell r="K40">
            <v>37</v>
          </cell>
          <cell r="L40">
            <v>2437</v>
          </cell>
          <cell r="M40" t="str">
            <v>RE</v>
          </cell>
          <cell r="N40">
            <v>28</v>
          </cell>
          <cell r="P40">
            <v>38</v>
          </cell>
          <cell r="Q40" t="str">
            <v>During Rework time</v>
          </cell>
          <cell r="R40" t="str">
            <v>Due to operator</v>
          </cell>
          <cell r="S40" t="str">
            <v>skill</v>
          </cell>
        </row>
        <row r="41">
          <cell r="A41">
            <v>39</v>
          </cell>
          <cell r="B41" t="str">
            <v xml:space="preserve">dowal hole out </v>
          </cell>
          <cell r="C41">
            <v>3221</v>
          </cell>
          <cell r="K41">
            <v>38</v>
          </cell>
          <cell r="L41">
            <v>2438</v>
          </cell>
          <cell r="M41" t="str">
            <v>RE</v>
          </cell>
          <cell r="N41">
            <v>91</v>
          </cell>
          <cell r="P41">
            <v>39</v>
          </cell>
          <cell r="Q41" t="str">
            <v>M/C Accedent</v>
          </cell>
          <cell r="R41" t="str">
            <v xml:space="preserve">Due to machine </v>
          </cell>
          <cell r="S41" t="str">
            <v>process</v>
          </cell>
        </row>
        <row r="42">
          <cell r="A42">
            <v>40</v>
          </cell>
          <cell r="B42" t="str">
            <v>thread gauge not pass</v>
          </cell>
          <cell r="C42">
            <v>0</v>
          </cell>
          <cell r="K42">
            <v>39</v>
          </cell>
          <cell r="L42">
            <v>2439</v>
          </cell>
          <cell r="M42" t="str">
            <v>RE D1</v>
          </cell>
          <cell r="N42">
            <v>52.31</v>
          </cell>
          <cell r="P42">
            <v>40</v>
          </cell>
          <cell r="Q42" t="str">
            <v>Insert comsume</v>
          </cell>
          <cell r="R42" t="str">
            <v>Due to operator</v>
          </cell>
          <cell r="S42" t="str">
            <v>Attitude</v>
          </cell>
        </row>
        <row r="43">
          <cell r="A43">
            <v>41</v>
          </cell>
          <cell r="B43" t="str">
            <v xml:space="preserve">concentricity out </v>
          </cell>
          <cell r="C43">
            <v>3268</v>
          </cell>
          <cell r="K43">
            <v>40</v>
          </cell>
          <cell r="L43">
            <v>2440</v>
          </cell>
          <cell r="M43" t="str">
            <v>RE</v>
          </cell>
          <cell r="N43">
            <v>10</v>
          </cell>
          <cell r="P43">
            <v>41</v>
          </cell>
          <cell r="Q43" t="str">
            <v>Kept inside on m/c</v>
          </cell>
          <cell r="R43" t="str">
            <v>Due to operator</v>
          </cell>
          <cell r="S43" t="str">
            <v>Attitude</v>
          </cell>
        </row>
        <row r="44">
          <cell r="A44">
            <v>42</v>
          </cell>
          <cell r="B44" t="str">
            <v>od cut</v>
          </cell>
          <cell r="C44">
            <v>3245</v>
          </cell>
          <cell r="K44">
            <v>41</v>
          </cell>
          <cell r="L44">
            <v>2441</v>
          </cell>
          <cell r="M44" t="str">
            <v>RE</v>
          </cell>
          <cell r="N44">
            <v>10</v>
          </cell>
          <cell r="P44">
            <v>42</v>
          </cell>
          <cell r="Q44" t="str">
            <v>Kept on input bin</v>
          </cell>
          <cell r="R44" t="str">
            <v>Due to operator</v>
          </cell>
          <cell r="S44" t="str">
            <v>Attitude</v>
          </cell>
        </row>
        <row r="45">
          <cell r="A45">
            <v>43</v>
          </cell>
          <cell r="B45" t="str">
            <v>Spline dent</v>
          </cell>
          <cell r="C45">
            <v>3253</v>
          </cell>
          <cell r="K45">
            <v>42</v>
          </cell>
          <cell r="L45">
            <v>2442</v>
          </cell>
          <cell r="M45" t="str">
            <v>RE P1</v>
          </cell>
          <cell r="N45">
            <v>124.54</v>
          </cell>
          <cell r="P45">
            <v>43</v>
          </cell>
          <cell r="Q45" t="str">
            <v>Kept on PCD table</v>
          </cell>
          <cell r="R45" t="str">
            <v>Due to operator</v>
          </cell>
          <cell r="S45" t="str">
            <v>Attitude</v>
          </cell>
        </row>
        <row r="46">
          <cell r="A46">
            <v>44</v>
          </cell>
          <cell r="B46" t="str">
            <v>Chamfer not ok</v>
          </cell>
          <cell r="C46">
            <v>3272</v>
          </cell>
          <cell r="K46">
            <v>43</v>
          </cell>
          <cell r="L46">
            <v>2443</v>
          </cell>
          <cell r="M46" t="str">
            <v>RE P1</v>
          </cell>
          <cell r="N46">
            <v>165.48</v>
          </cell>
          <cell r="P46">
            <v>44</v>
          </cell>
          <cell r="Q46" t="str">
            <v>Mixup part found 24125 bin in 2468</v>
          </cell>
          <cell r="R46" t="str">
            <v>Due to operator</v>
          </cell>
          <cell r="S46" t="str">
            <v>skill</v>
          </cell>
        </row>
        <row r="47">
          <cell r="A47">
            <v>45</v>
          </cell>
          <cell r="B47" t="str">
            <v xml:space="preserve">thread dent </v>
          </cell>
          <cell r="C47">
            <v>0</v>
          </cell>
          <cell r="K47">
            <v>44</v>
          </cell>
          <cell r="L47">
            <v>2444</v>
          </cell>
          <cell r="M47" t="str">
            <v>RE D1</v>
          </cell>
          <cell r="N47">
            <v>117.2</v>
          </cell>
          <cell r="P47">
            <v>45</v>
          </cell>
          <cell r="Q47" t="str">
            <v>Part resting not properly</v>
          </cell>
          <cell r="R47" t="str">
            <v>Due to operator</v>
          </cell>
          <cell r="S47" t="str">
            <v>skill</v>
          </cell>
        </row>
        <row r="48">
          <cell r="A48">
            <v>46</v>
          </cell>
          <cell r="B48" t="str">
            <v>dot punching not ok</v>
          </cell>
          <cell r="C48">
            <v>3246</v>
          </cell>
          <cell r="K48">
            <v>45</v>
          </cell>
          <cell r="L48">
            <v>2445</v>
          </cell>
          <cell r="M48" t="str">
            <v>RE D1</v>
          </cell>
          <cell r="N48">
            <v>58</v>
          </cell>
          <cell r="P48">
            <v>46</v>
          </cell>
          <cell r="Q48" t="str">
            <v>Throw by operator inside on m/c</v>
          </cell>
          <cell r="R48" t="str">
            <v>Due to operator</v>
          </cell>
          <cell r="S48" t="str">
            <v>Attitude</v>
          </cell>
        </row>
        <row r="49">
          <cell r="A49">
            <v>47</v>
          </cell>
          <cell r="B49" t="str">
            <v>face cut</v>
          </cell>
          <cell r="C49">
            <v>3245</v>
          </cell>
          <cell r="K49">
            <v>46</v>
          </cell>
          <cell r="L49">
            <v>2446</v>
          </cell>
          <cell r="M49" t="str">
            <v>RE</v>
          </cell>
          <cell r="N49">
            <v>99</v>
          </cell>
          <cell r="P49">
            <v>47</v>
          </cell>
          <cell r="Q49" t="str">
            <v>Wrong correction</v>
          </cell>
          <cell r="R49" t="str">
            <v>Due to operator</v>
          </cell>
          <cell r="S49" t="str">
            <v>skill</v>
          </cell>
        </row>
        <row r="50">
          <cell r="A50">
            <v>48</v>
          </cell>
          <cell r="B50" t="str">
            <v xml:space="preserve">Bore u/s </v>
          </cell>
          <cell r="C50">
            <v>0</v>
          </cell>
          <cell r="K50">
            <v>47</v>
          </cell>
          <cell r="L50">
            <v>2447</v>
          </cell>
          <cell r="M50" t="str">
            <v>RE D1</v>
          </cell>
          <cell r="N50">
            <v>100.25</v>
          </cell>
          <cell r="P50">
            <v>48</v>
          </cell>
          <cell r="Q50" t="str">
            <v>Wrong loading</v>
          </cell>
          <cell r="R50" t="str">
            <v>Due to operator</v>
          </cell>
          <cell r="S50" t="str">
            <v>skill</v>
          </cell>
        </row>
        <row r="51">
          <cell r="A51">
            <v>49</v>
          </cell>
          <cell r="B51" t="str">
            <v>Od o/s</v>
          </cell>
          <cell r="C51">
            <v>0</v>
          </cell>
          <cell r="K51">
            <v>48</v>
          </cell>
          <cell r="L51">
            <v>2448</v>
          </cell>
          <cell r="M51" t="str">
            <v>RE D1</v>
          </cell>
          <cell r="N51">
            <v>84.1</v>
          </cell>
          <cell r="P51">
            <v>49</v>
          </cell>
          <cell r="Q51" t="str">
            <v>Wrong upset by operator</v>
          </cell>
          <cell r="R51" t="str">
            <v>Due to operator</v>
          </cell>
          <cell r="S51" t="str">
            <v>Attitude</v>
          </cell>
        </row>
        <row r="52">
          <cell r="A52">
            <v>50</v>
          </cell>
          <cell r="B52" t="str">
            <v xml:space="preserve">Height o/s </v>
          </cell>
          <cell r="C52">
            <v>0</v>
          </cell>
          <cell r="K52">
            <v>49</v>
          </cell>
          <cell r="L52">
            <v>2449</v>
          </cell>
          <cell r="M52" t="str">
            <v>RE D1</v>
          </cell>
          <cell r="N52">
            <v>96.46</v>
          </cell>
          <cell r="P52">
            <v>50</v>
          </cell>
          <cell r="Q52" t="str">
            <v xml:space="preserve">Rust </v>
          </cell>
          <cell r="R52" t="str">
            <v>Due to operator</v>
          </cell>
          <cell r="S52" t="str">
            <v>process</v>
          </cell>
        </row>
        <row r="53">
          <cell r="A53">
            <v>51</v>
          </cell>
          <cell r="B53" t="str">
            <v xml:space="preserve">Bore chatring </v>
          </cell>
          <cell r="C53">
            <v>0</v>
          </cell>
          <cell r="K53">
            <v>50</v>
          </cell>
          <cell r="L53">
            <v>2450</v>
          </cell>
          <cell r="M53" t="str">
            <v>RE</v>
          </cell>
          <cell r="N53">
            <v>0</v>
          </cell>
          <cell r="P53">
            <v>51</v>
          </cell>
          <cell r="Q53" t="str">
            <v xml:space="preserve">Part properly not clamp by operator </v>
          </cell>
          <cell r="R53" t="str">
            <v>Due to operator</v>
          </cell>
          <cell r="S53" t="str">
            <v>process</v>
          </cell>
        </row>
        <row r="54">
          <cell r="A54">
            <v>52</v>
          </cell>
          <cell r="B54" t="str">
            <v xml:space="preserve">thread o/s </v>
          </cell>
          <cell r="C54">
            <v>0</v>
          </cell>
          <cell r="K54">
            <v>51</v>
          </cell>
          <cell r="L54">
            <v>2451</v>
          </cell>
          <cell r="M54" t="str">
            <v>RE</v>
          </cell>
          <cell r="N54">
            <v>0</v>
          </cell>
          <cell r="P54">
            <v>52</v>
          </cell>
          <cell r="Q54" t="str">
            <v>FQC return</v>
          </cell>
          <cell r="R54" t="str">
            <v>Due to operator</v>
          </cell>
          <cell r="S54" t="str">
            <v>Attitude</v>
          </cell>
        </row>
        <row r="55">
          <cell r="A55">
            <v>53</v>
          </cell>
          <cell r="B55" t="str">
            <v xml:space="preserve">concentricity  Rework </v>
          </cell>
          <cell r="C55">
            <v>0</v>
          </cell>
          <cell r="K55">
            <v>52</v>
          </cell>
          <cell r="L55">
            <v>2452</v>
          </cell>
          <cell r="M55" t="str">
            <v>RE P1</v>
          </cell>
          <cell r="N55">
            <v>374.55</v>
          </cell>
          <cell r="P55">
            <v>53</v>
          </cell>
          <cell r="Q55" t="str">
            <v>Due to Tapper problem in bore</v>
          </cell>
          <cell r="R55" t="str">
            <v xml:space="preserve">Due to Settup  </v>
          </cell>
          <cell r="S55" t="str">
            <v>process</v>
          </cell>
        </row>
        <row r="56">
          <cell r="A56">
            <v>54</v>
          </cell>
          <cell r="B56" t="str">
            <v xml:space="preserve">Rust </v>
          </cell>
          <cell r="C56">
            <v>0</v>
          </cell>
          <cell r="K56">
            <v>53</v>
          </cell>
          <cell r="L56">
            <v>2453</v>
          </cell>
          <cell r="M56" t="str">
            <v>RE D1</v>
          </cell>
          <cell r="N56">
            <v>216.51</v>
          </cell>
          <cell r="P56">
            <v>54</v>
          </cell>
          <cell r="Q56" t="str">
            <v>During setup time</v>
          </cell>
          <cell r="R56" t="str">
            <v xml:space="preserve">Due to Settup  </v>
          </cell>
          <cell r="S56" t="str">
            <v>skill</v>
          </cell>
        </row>
        <row r="57">
          <cell r="A57">
            <v>55</v>
          </cell>
          <cell r="B57" t="str">
            <v xml:space="preserve">Bush not ok </v>
          </cell>
          <cell r="C57">
            <v>3252</v>
          </cell>
          <cell r="K57">
            <v>54</v>
          </cell>
          <cell r="L57">
            <v>2454</v>
          </cell>
          <cell r="M57" t="str">
            <v>RE D1</v>
          </cell>
          <cell r="N57">
            <v>98.76</v>
          </cell>
          <cell r="P57">
            <v>55</v>
          </cell>
          <cell r="Q57" t="str">
            <v>Resting change time</v>
          </cell>
          <cell r="R57" t="str">
            <v xml:space="preserve">Due to Settup  </v>
          </cell>
          <cell r="S57" t="str">
            <v>skill</v>
          </cell>
        </row>
        <row r="58">
          <cell r="A58">
            <v>56</v>
          </cell>
          <cell r="B58" t="str">
            <v xml:space="preserve">wrong  dot punching </v>
          </cell>
          <cell r="C58">
            <v>0</v>
          </cell>
          <cell r="K58">
            <v>55</v>
          </cell>
          <cell r="L58">
            <v>2455</v>
          </cell>
          <cell r="M58" t="str">
            <v>RE D1</v>
          </cell>
          <cell r="N58">
            <v>317.60000000000002</v>
          </cell>
          <cell r="P58">
            <v>56</v>
          </cell>
          <cell r="Q58" t="str">
            <v>Wheel change time</v>
          </cell>
          <cell r="R58" t="str">
            <v xml:space="preserve">Due to Settup  </v>
          </cell>
          <cell r="S58" t="str">
            <v>skill</v>
          </cell>
        </row>
        <row r="59">
          <cell r="K59">
            <v>56</v>
          </cell>
          <cell r="L59">
            <v>2456</v>
          </cell>
          <cell r="M59" t="str">
            <v>RE D1</v>
          </cell>
          <cell r="N59">
            <v>62</v>
          </cell>
          <cell r="P59">
            <v>57</v>
          </cell>
          <cell r="Q59" t="str">
            <v>Without marpose m/c run</v>
          </cell>
          <cell r="R59" t="str">
            <v xml:space="preserve">Due to Settup  </v>
          </cell>
          <cell r="S59" t="str">
            <v>Attitude</v>
          </cell>
        </row>
        <row r="60">
          <cell r="K60">
            <v>57</v>
          </cell>
          <cell r="L60">
            <v>2457</v>
          </cell>
          <cell r="M60" t="str">
            <v>RE D1</v>
          </cell>
          <cell r="N60">
            <v>96.43</v>
          </cell>
          <cell r="P60">
            <v>58</v>
          </cell>
          <cell r="Q60" t="str">
            <v>During insert change</v>
          </cell>
          <cell r="R60" t="str">
            <v xml:space="preserve">Due to Settup  </v>
          </cell>
          <cell r="S60" t="str">
            <v>skill</v>
          </cell>
        </row>
        <row r="61">
          <cell r="K61">
            <v>58</v>
          </cell>
          <cell r="L61">
            <v>2458</v>
          </cell>
          <cell r="M61" t="str">
            <v>RE</v>
          </cell>
          <cell r="N61">
            <v>10</v>
          </cell>
          <cell r="P61">
            <v>59</v>
          </cell>
          <cell r="Q61" t="str">
            <v>Boring bar change time</v>
          </cell>
          <cell r="R61" t="str">
            <v xml:space="preserve">Due to Settup  </v>
          </cell>
          <cell r="S61" t="str">
            <v>skill</v>
          </cell>
        </row>
        <row r="62">
          <cell r="K62">
            <v>59</v>
          </cell>
          <cell r="L62">
            <v>2459</v>
          </cell>
          <cell r="M62" t="str">
            <v>RE</v>
          </cell>
          <cell r="N62">
            <v>67</v>
          </cell>
          <cell r="P62">
            <v>60</v>
          </cell>
          <cell r="Q62" t="str">
            <v>Carier bolt broken</v>
          </cell>
          <cell r="R62" t="str">
            <v xml:space="preserve">Due to tool broken </v>
          </cell>
          <cell r="S62" t="str">
            <v>process</v>
          </cell>
        </row>
        <row r="63">
          <cell r="K63">
            <v>60</v>
          </cell>
          <cell r="L63">
            <v>2460</v>
          </cell>
          <cell r="M63" t="str">
            <v>RE</v>
          </cell>
          <cell r="N63">
            <v>10</v>
          </cell>
          <cell r="P63">
            <v>61</v>
          </cell>
          <cell r="Q63" t="str">
            <v xml:space="preserve">Insert broken </v>
          </cell>
          <cell r="R63" t="str">
            <v xml:space="preserve">Due to tool broken </v>
          </cell>
          <cell r="S63" t="str">
            <v>skill</v>
          </cell>
        </row>
        <row r="64">
          <cell r="K64">
            <v>61</v>
          </cell>
          <cell r="L64">
            <v>2461</v>
          </cell>
          <cell r="M64" t="str">
            <v>RE</v>
          </cell>
          <cell r="N64">
            <v>10</v>
          </cell>
          <cell r="P64">
            <v>62</v>
          </cell>
          <cell r="Q64" t="str">
            <v>mandral slip</v>
          </cell>
          <cell r="R64" t="str">
            <v xml:space="preserve">Due to tool broken </v>
          </cell>
          <cell r="S64" t="str">
            <v>Attitude</v>
          </cell>
        </row>
        <row r="65">
          <cell r="K65">
            <v>62</v>
          </cell>
          <cell r="L65">
            <v>2462</v>
          </cell>
          <cell r="M65" t="str">
            <v>RE P1</v>
          </cell>
          <cell r="N65">
            <v>225.47</v>
          </cell>
          <cell r="P65">
            <v>63</v>
          </cell>
          <cell r="Q65" t="str">
            <v>Worked bolt broken</v>
          </cell>
          <cell r="R65" t="str">
            <v xml:space="preserve">Due to tool broken </v>
          </cell>
          <cell r="S65" t="str">
            <v>process</v>
          </cell>
        </row>
        <row r="66">
          <cell r="K66">
            <v>63</v>
          </cell>
          <cell r="L66">
            <v>2463</v>
          </cell>
          <cell r="M66" t="str">
            <v>RE P1</v>
          </cell>
          <cell r="N66">
            <v>67.19</v>
          </cell>
          <cell r="P66">
            <v>64</v>
          </cell>
          <cell r="Q66" t="str">
            <v>Wheel stop m/c not move to backword</v>
          </cell>
          <cell r="R66" t="str">
            <v xml:space="preserve">Due to machine </v>
          </cell>
          <cell r="S66" t="str">
            <v>process</v>
          </cell>
        </row>
        <row r="67">
          <cell r="K67">
            <v>64</v>
          </cell>
          <cell r="L67">
            <v>2464</v>
          </cell>
          <cell r="M67" t="str">
            <v>RE D1</v>
          </cell>
          <cell r="N67">
            <v>54.12</v>
          </cell>
          <cell r="P67">
            <v>65</v>
          </cell>
          <cell r="Q67" t="str">
            <v>Center damage</v>
          </cell>
          <cell r="R67" t="str">
            <v xml:space="preserve">Due to machine </v>
          </cell>
          <cell r="S67" t="str">
            <v>process</v>
          </cell>
        </row>
        <row r="68">
          <cell r="K68">
            <v>65</v>
          </cell>
          <cell r="L68">
            <v>2465</v>
          </cell>
          <cell r="M68" t="str">
            <v>RE D1</v>
          </cell>
          <cell r="N68">
            <v>239.93</v>
          </cell>
        </row>
        <row r="69">
          <cell r="K69">
            <v>66</v>
          </cell>
          <cell r="L69">
            <v>2466</v>
          </cell>
          <cell r="M69" t="str">
            <v>RE D1</v>
          </cell>
          <cell r="N69">
            <v>107</v>
          </cell>
        </row>
        <row r="70">
          <cell r="K70">
            <v>67</v>
          </cell>
          <cell r="L70">
            <v>2467</v>
          </cell>
          <cell r="M70" t="str">
            <v>RE</v>
          </cell>
          <cell r="N70">
            <v>48</v>
          </cell>
        </row>
        <row r="71">
          <cell r="K71">
            <v>68</v>
          </cell>
          <cell r="L71">
            <v>2468</v>
          </cell>
          <cell r="M71" t="str">
            <v>RE D1</v>
          </cell>
          <cell r="N71">
            <v>52.79</v>
          </cell>
        </row>
        <row r="72">
          <cell r="K72">
            <v>69</v>
          </cell>
          <cell r="L72">
            <v>2469</v>
          </cell>
          <cell r="M72" t="str">
            <v>RE</v>
          </cell>
          <cell r="N72">
            <v>10</v>
          </cell>
        </row>
        <row r="73">
          <cell r="K73">
            <v>70</v>
          </cell>
          <cell r="L73">
            <v>2470</v>
          </cell>
          <cell r="M73" t="str">
            <v>RE</v>
          </cell>
          <cell r="N73">
            <v>10</v>
          </cell>
        </row>
        <row r="74">
          <cell r="K74">
            <v>71</v>
          </cell>
          <cell r="L74">
            <v>2471</v>
          </cell>
          <cell r="M74" t="str">
            <v>RE</v>
          </cell>
          <cell r="N74">
            <v>10</v>
          </cell>
        </row>
        <row r="75">
          <cell r="K75">
            <v>72</v>
          </cell>
          <cell r="L75">
            <v>2472</v>
          </cell>
          <cell r="M75" t="str">
            <v>RE P1</v>
          </cell>
          <cell r="N75">
            <v>365.41</v>
          </cell>
        </row>
        <row r="76">
          <cell r="K76">
            <v>73</v>
          </cell>
          <cell r="L76">
            <v>2473</v>
          </cell>
          <cell r="M76" t="str">
            <v>RE P1</v>
          </cell>
          <cell r="N76">
            <v>100.55</v>
          </cell>
        </row>
        <row r="77">
          <cell r="K77">
            <v>74</v>
          </cell>
          <cell r="L77">
            <v>2474</v>
          </cell>
          <cell r="M77" t="str">
            <v>RE P1</v>
          </cell>
          <cell r="N77">
            <v>107.66</v>
          </cell>
        </row>
        <row r="78">
          <cell r="K78">
            <v>75</v>
          </cell>
          <cell r="L78">
            <v>2475</v>
          </cell>
          <cell r="M78" t="str">
            <v>RE P1</v>
          </cell>
          <cell r="N78">
            <v>126.22</v>
          </cell>
        </row>
        <row r="79">
          <cell r="K79">
            <v>76</v>
          </cell>
          <cell r="L79">
            <v>2476</v>
          </cell>
          <cell r="M79" t="str">
            <v>RE D1</v>
          </cell>
          <cell r="N79">
            <v>70.3</v>
          </cell>
        </row>
        <row r="80">
          <cell r="K80">
            <v>77</v>
          </cell>
          <cell r="L80">
            <v>2477</v>
          </cell>
          <cell r="M80" t="str">
            <v>RE P1</v>
          </cell>
          <cell r="N80">
            <v>76.290000000000006</v>
          </cell>
        </row>
        <row r="81">
          <cell r="K81">
            <v>78</v>
          </cell>
          <cell r="L81">
            <v>2478</v>
          </cell>
          <cell r="M81" t="str">
            <v>RE P1</v>
          </cell>
          <cell r="N81">
            <v>452.51</v>
          </cell>
        </row>
        <row r="82">
          <cell r="K82">
            <v>79</v>
          </cell>
          <cell r="L82">
            <v>2479</v>
          </cell>
          <cell r="M82" t="str">
            <v>RE P1</v>
          </cell>
          <cell r="N82">
            <v>44.12</v>
          </cell>
        </row>
        <row r="83">
          <cell r="K83">
            <v>80</v>
          </cell>
          <cell r="L83">
            <v>2480</v>
          </cell>
          <cell r="M83" t="str">
            <v>RE</v>
          </cell>
          <cell r="N83">
            <v>10</v>
          </cell>
        </row>
        <row r="84">
          <cell r="K84">
            <v>81</v>
          </cell>
          <cell r="L84">
            <v>2481</v>
          </cell>
          <cell r="M84" t="str">
            <v>RE</v>
          </cell>
          <cell r="N84">
            <v>10</v>
          </cell>
        </row>
        <row r="85">
          <cell r="K85">
            <v>82</v>
          </cell>
          <cell r="L85">
            <v>2482</v>
          </cell>
          <cell r="M85" t="str">
            <v>RE P1</v>
          </cell>
          <cell r="N85">
            <v>288.93</v>
          </cell>
        </row>
        <row r="86">
          <cell r="K86">
            <v>83</v>
          </cell>
          <cell r="L86">
            <v>2483</v>
          </cell>
          <cell r="M86" t="str">
            <v>RE P1</v>
          </cell>
          <cell r="N86">
            <v>10.8</v>
          </cell>
        </row>
        <row r="87">
          <cell r="K87">
            <v>84</v>
          </cell>
          <cell r="L87">
            <v>2484</v>
          </cell>
          <cell r="M87" t="str">
            <v>RE</v>
          </cell>
          <cell r="N87">
            <v>0.95</v>
          </cell>
        </row>
        <row r="88">
          <cell r="K88">
            <v>85</v>
          </cell>
          <cell r="L88">
            <v>2485</v>
          </cell>
          <cell r="M88" t="str">
            <v xml:space="preserve">RE Bush </v>
          </cell>
          <cell r="N88">
            <v>1.88</v>
          </cell>
        </row>
        <row r="89">
          <cell r="K89">
            <v>86</v>
          </cell>
          <cell r="L89">
            <v>2486</v>
          </cell>
          <cell r="M89" t="str">
            <v xml:space="preserve">RE Bush </v>
          </cell>
          <cell r="N89">
            <v>10</v>
          </cell>
        </row>
        <row r="90">
          <cell r="K90">
            <v>87</v>
          </cell>
          <cell r="L90">
            <v>2487</v>
          </cell>
          <cell r="M90" t="str">
            <v xml:space="preserve">RE Bush </v>
          </cell>
          <cell r="N90">
            <v>12.58</v>
          </cell>
        </row>
        <row r="91">
          <cell r="K91">
            <v>88</v>
          </cell>
          <cell r="L91">
            <v>2488</v>
          </cell>
          <cell r="M91" t="str">
            <v xml:space="preserve">RE Bush </v>
          </cell>
          <cell r="N91">
            <v>11.52</v>
          </cell>
        </row>
        <row r="92">
          <cell r="K92">
            <v>89</v>
          </cell>
          <cell r="L92">
            <v>2489</v>
          </cell>
          <cell r="M92" t="str">
            <v xml:space="preserve">RE Bush </v>
          </cell>
          <cell r="N92">
            <v>13.34</v>
          </cell>
        </row>
        <row r="93">
          <cell r="K93">
            <v>90</v>
          </cell>
          <cell r="L93">
            <v>2490</v>
          </cell>
          <cell r="M93" t="str">
            <v>RE</v>
          </cell>
          <cell r="N93">
            <v>10</v>
          </cell>
        </row>
        <row r="94">
          <cell r="K94">
            <v>91</v>
          </cell>
          <cell r="L94">
            <v>2491</v>
          </cell>
          <cell r="M94" t="str">
            <v xml:space="preserve">RE Bush </v>
          </cell>
          <cell r="N94">
            <v>10</v>
          </cell>
        </row>
        <row r="95">
          <cell r="K95">
            <v>92</v>
          </cell>
          <cell r="L95">
            <v>2492</v>
          </cell>
          <cell r="M95" t="str">
            <v xml:space="preserve">RE Bush </v>
          </cell>
          <cell r="N95">
            <v>10</v>
          </cell>
        </row>
        <row r="96">
          <cell r="K96">
            <v>93</v>
          </cell>
          <cell r="L96">
            <v>2493</v>
          </cell>
          <cell r="M96" t="str">
            <v xml:space="preserve">RE Bush </v>
          </cell>
          <cell r="N96">
            <v>14.02</v>
          </cell>
        </row>
        <row r="97">
          <cell r="K97">
            <v>94</v>
          </cell>
          <cell r="L97">
            <v>2494</v>
          </cell>
          <cell r="M97" t="str">
            <v xml:space="preserve">RE Bush </v>
          </cell>
          <cell r="N97">
            <v>10</v>
          </cell>
        </row>
        <row r="98">
          <cell r="K98">
            <v>95</v>
          </cell>
          <cell r="L98">
            <v>2495</v>
          </cell>
          <cell r="M98" t="str">
            <v xml:space="preserve">RE Bush </v>
          </cell>
          <cell r="N98">
            <v>10</v>
          </cell>
        </row>
        <row r="99">
          <cell r="K99">
            <v>96</v>
          </cell>
          <cell r="L99">
            <v>2496</v>
          </cell>
          <cell r="M99" t="str">
            <v xml:space="preserve">RE Bush </v>
          </cell>
          <cell r="N99">
            <v>7.68</v>
          </cell>
        </row>
        <row r="100">
          <cell r="K100">
            <v>97</v>
          </cell>
          <cell r="L100">
            <v>2497</v>
          </cell>
          <cell r="M100" t="str">
            <v xml:space="preserve">RE Bush </v>
          </cell>
          <cell r="N100">
            <v>7.01</v>
          </cell>
        </row>
        <row r="101">
          <cell r="K101">
            <v>98</v>
          </cell>
          <cell r="L101">
            <v>2498</v>
          </cell>
          <cell r="M101" t="str">
            <v xml:space="preserve">RE Bush </v>
          </cell>
          <cell r="N101">
            <v>18.23</v>
          </cell>
        </row>
        <row r="102">
          <cell r="K102">
            <v>99</v>
          </cell>
          <cell r="L102">
            <v>2499</v>
          </cell>
          <cell r="M102" t="str">
            <v xml:space="preserve">RE Bush </v>
          </cell>
          <cell r="N102">
            <v>9.31</v>
          </cell>
        </row>
        <row r="103">
          <cell r="K103">
            <v>185</v>
          </cell>
          <cell r="L103">
            <v>24185</v>
          </cell>
          <cell r="M103" t="str">
            <v xml:space="preserve">RE Bush </v>
          </cell>
          <cell r="N103">
            <v>24.21</v>
          </cell>
        </row>
        <row r="104">
          <cell r="K104">
            <v>187</v>
          </cell>
          <cell r="L104">
            <v>24187</v>
          </cell>
          <cell r="M104" t="str">
            <v xml:space="preserve">RE Bush </v>
          </cell>
          <cell r="N104">
            <v>20.41</v>
          </cell>
        </row>
        <row r="105">
          <cell r="K105">
            <v>195</v>
          </cell>
          <cell r="L105">
            <v>24195</v>
          </cell>
          <cell r="M105" t="str">
            <v xml:space="preserve">RE Bush </v>
          </cell>
          <cell r="N105">
            <v>15.73</v>
          </cell>
        </row>
        <row r="106">
          <cell r="K106">
            <v>196</v>
          </cell>
          <cell r="L106">
            <v>24196</v>
          </cell>
          <cell r="M106" t="str">
            <v xml:space="preserve">RE Bush </v>
          </cell>
          <cell r="N106">
            <v>12.6</v>
          </cell>
        </row>
        <row r="107">
          <cell r="K107">
            <v>197</v>
          </cell>
          <cell r="L107">
            <v>24197</v>
          </cell>
          <cell r="M107" t="str">
            <v xml:space="preserve">RE Bush </v>
          </cell>
          <cell r="N107">
            <v>17.82</v>
          </cell>
        </row>
        <row r="108">
          <cell r="K108">
            <v>198</v>
          </cell>
          <cell r="L108">
            <v>24198</v>
          </cell>
          <cell r="M108" t="str">
            <v xml:space="preserve">RE Bush </v>
          </cell>
          <cell r="N108">
            <v>17.420000000000002</v>
          </cell>
        </row>
        <row r="109">
          <cell r="K109">
            <v>102</v>
          </cell>
          <cell r="L109">
            <v>24102</v>
          </cell>
          <cell r="M109" t="str">
            <v>RE J1</v>
          </cell>
          <cell r="N109">
            <v>89.86</v>
          </cell>
        </row>
        <row r="110">
          <cell r="K110">
            <v>103</v>
          </cell>
          <cell r="L110">
            <v>24103</v>
          </cell>
          <cell r="M110" t="str">
            <v>RE J1</v>
          </cell>
          <cell r="N110">
            <v>68.989999999999995</v>
          </cell>
        </row>
        <row r="111">
          <cell r="K111">
            <v>113</v>
          </cell>
          <cell r="L111">
            <v>24113</v>
          </cell>
          <cell r="M111" t="str">
            <v>RE J1</v>
          </cell>
          <cell r="N111">
            <v>91.76</v>
          </cell>
        </row>
        <row r="112">
          <cell r="K112">
            <v>114</v>
          </cell>
          <cell r="L112">
            <v>24114</v>
          </cell>
          <cell r="M112" t="str">
            <v>RE J1</v>
          </cell>
          <cell r="N112">
            <v>123.16</v>
          </cell>
        </row>
        <row r="113">
          <cell r="K113">
            <v>115</v>
          </cell>
          <cell r="L113">
            <v>24115</v>
          </cell>
          <cell r="M113" t="str">
            <v>RE J1</v>
          </cell>
          <cell r="N113">
            <v>66.3</v>
          </cell>
        </row>
        <row r="114">
          <cell r="K114">
            <v>116</v>
          </cell>
          <cell r="L114">
            <v>24116</v>
          </cell>
          <cell r="M114" t="str">
            <v>RE J1</v>
          </cell>
          <cell r="N114">
            <v>50.72</v>
          </cell>
        </row>
        <row r="115">
          <cell r="K115">
            <v>117</v>
          </cell>
          <cell r="L115">
            <v>24117</v>
          </cell>
          <cell r="M115" t="str">
            <v>RE J1</v>
          </cell>
          <cell r="N115">
            <v>111.97</v>
          </cell>
        </row>
        <row r="116">
          <cell r="K116">
            <v>118</v>
          </cell>
          <cell r="L116">
            <v>24118</v>
          </cell>
          <cell r="M116" t="str">
            <v>RE J1</v>
          </cell>
          <cell r="N116">
            <v>105.11</v>
          </cell>
        </row>
        <row r="117">
          <cell r="K117">
            <v>119</v>
          </cell>
          <cell r="L117">
            <v>24119</v>
          </cell>
          <cell r="M117" t="str">
            <v>RE J1</v>
          </cell>
          <cell r="N117">
            <v>101.81</v>
          </cell>
        </row>
        <row r="118">
          <cell r="K118">
            <v>120</v>
          </cell>
          <cell r="L118">
            <v>24120</v>
          </cell>
          <cell r="M118" t="str">
            <v>RE J1</v>
          </cell>
          <cell r="N118">
            <v>83.3</v>
          </cell>
        </row>
        <row r="119">
          <cell r="K119">
            <v>121</v>
          </cell>
          <cell r="L119">
            <v>24121</v>
          </cell>
          <cell r="M119" t="str">
            <v>RE J1</v>
          </cell>
          <cell r="N119">
            <v>135.66999999999999</v>
          </cell>
        </row>
        <row r="120">
          <cell r="K120">
            <v>122</v>
          </cell>
          <cell r="L120">
            <v>24122</v>
          </cell>
          <cell r="M120" t="str">
            <v>RE J1</v>
          </cell>
          <cell r="N120">
            <v>325.92</v>
          </cell>
        </row>
        <row r="121">
          <cell r="K121">
            <v>123</v>
          </cell>
          <cell r="L121">
            <v>24123</v>
          </cell>
          <cell r="M121" t="str">
            <v>RE J1</v>
          </cell>
          <cell r="N121">
            <v>67.650000000000006</v>
          </cell>
        </row>
        <row r="122">
          <cell r="K122">
            <v>124</v>
          </cell>
          <cell r="L122">
            <v>24124</v>
          </cell>
          <cell r="M122" t="str">
            <v>RE J1</v>
          </cell>
          <cell r="N122">
            <v>59.27</v>
          </cell>
        </row>
        <row r="123">
          <cell r="K123">
            <v>125</v>
          </cell>
          <cell r="L123">
            <v>24125</v>
          </cell>
          <cell r="M123" t="str">
            <v>RE J1</v>
          </cell>
          <cell r="N123">
            <v>64.239999999999995</v>
          </cell>
        </row>
        <row r="124">
          <cell r="K124">
            <v>126</v>
          </cell>
          <cell r="L124">
            <v>24126</v>
          </cell>
          <cell r="M124" t="str">
            <v>RE J1</v>
          </cell>
          <cell r="N124">
            <v>64.09</v>
          </cell>
        </row>
        <row r="125">
          <cell r="K125">
            <v>127</v>
          </cell>
          <cell r="L125">
            <v>24127</v>
          </cell>
          <cell r="M125" t="str">
            <v>RE J1</v>
          </cell>
          <cell r="N125">
            <v>240.79</v>
          </cell>
        </row>
        <row r="126">
          <cell r="K126">
            <v>128</v>
          </cell>
          <cell r="L126">
            <v>24128</v>
          </cell>
          <cell r="M126" t="str">
            <v>RE J1</v>
          </cell>
          <cell r="N126">
            <v>0</v>
          </cell>
        </row>
        <row r="127">
          <cell r="K127">
            <v>129</v>
          </cell>
          <cell r="L127">
            <v>24129</v>
          </cell>
          <cell r="M127" t="str">
            <v>RE J1</v>
          </cell>
          <cell r="N127">
            <v>190.8</v>
          </cell>
        </row>
        <row r="128">
          <cell r="K128">
            <v>130</v>
          </cell>
          <cell r="L128">
            <v>24130</v>
          </cell>
          <cell r="M128" t="str">
            <v>RE J1</v>
          </cell>
          <cell r="N128">
            <v>0</v>
          </cell>
        </row>
        <row r="129">
          <cell r="K129">
            <v>131</v>
          </cell>
          <cell r="L129">
            <v>24131</v>
          </cell>
          <cell r="M129" t="str">
            <v>RE J1</v>
          </cell>
          <cell r="N129">
            <v>0</v>
          </cell>
        </row>
        <row r="130">
          <cell r="K130">
            <v>132</v>
          </cell>
          <cell r="L130">
            <v>24132</v>
          </cell>
          <cell r="M130" t="str">
            <v>RE J1</v>
          </cell>
          <cell r="N130">
            <v>101.21</v>
          </cell>
        </row>
        <row r="131">
          <cell r="K131">
            <v>133</v>
          </cell>
          <cell r="L131">
            <v>24133</v>
          </cell>
          <cell r="M131" t="str">
            <v>RE J1</v>
          </cell>
          <cell r="N131">
            <v>0</v>
          </cell>
        </row>
        <row r="132">
          <cell r="K132">
            <v>134</v>
          </cell>
          <cell r="L132">
            <v>24134</v>
          </cell>
          <cell r="M132" t="str">
            <v>RE J1</v>
          </cell>
          <cell r="N132">
            <v>0</v>
          </cell>
        </row>
        <row r="133">
          <cell r="K133">
            <v>135</v>
          </cell>
          <cell r="L133">
            <v>24135</v>
          </cell>
          <cell r="M133" t="str">
            <v>RE J1</v>
          </cell>
          <cell r="N133">
            <v>0</v>
          </cell>
        </row>
        <row r="134">
          <cell r="K134">
            <v>136</v>
          </cell>
          <cell r="L134">
            <v>24136</v>
          </cell>
          <cell r="M134" t="str">
            <v>RE J1</v>
          </cell>
          <cell r="N134">
            <v>0</v>
          </cell>
        </row>
        <row r="135">
          <cell r="K135">
            <v>137</v>
          </cell>
          <cell r="L135">
            <v>24137</v>
          </cell>
          <cell r="M135" t="str">
            <v>RE J1</v>
          </cell>
          <cell r="N135">
            <v>0</v>
          </cell>
        </row>
        <row r="136">
          <cell r="K136">
            <v>138</v>
          </cell>
          <cell r="L136">
            <v>24138</v>
          </cell>
          <cell r="M136" t="str">
            <v>RE J1</v>
          </cell>
          <cell r="N136">
            <v>0</v>
          </cell>
        </row>
        <row r="137">
          <cell r="K137">
            <v>139</v>
          </cell>
          <cell r="L137">
            <v>24139</v>
          </cell>
          <cell r="M137" t="str">
            <v>RE J1</v>
          </cell>
          <cell r="N137">
            <v>112.08</v>
          </cell>
        </row>
        <row r="138">
          <cell r="K138">
            <v>140</v>
          </cell>
          <cell r="L138">
            <v>24140</v>
          </cell>
          <cell r="M138" t="str">
            <v>RE J1</v>
          </cell>
          <cell r="N138">
            <v>0</v>
          </cell>
        </row>
        <row r="139">
          <cell r="K139">
            <v>141</v>
          </cell>
          <cell r="L139">
            <v>24141</v>
          </cell>
          <cell r="M139" t="str">
            <v>RE J1</v>
          </cell>
          <cell r="N139">
            <v>81.599999999999994</v>
          </cell>
        </row>
        <row r="140">
          <cell r="K140">
            <v>142</v>
          </cell>
          <cell r="L140">
            <v>24142</v>
          </cell>
          <cell r="M140" t="str">
            <v>RE J1</v>
          </cell>
          <cell r="N140">
            <v>0</v>
          </cell>
        </row>
        <row r="141">
          <cell r="K141">
            <v>143</v>
          </cell>
          <cell r="L141">
            <v>24143</v>
          </cell>
          <cell r="M141" t="str">
            <v>RE J1</v>
          </cell>
          <cell r="N141">
            <v>0</v>
          </cell>
        </row>
        <row r="142">
          <cell r="K142">
            <v>144</v>
          </cell>
          <cell r="L142">
            <v>24144</v>
          </cell>
          <cell r="M142" t="str">
            <v>RE J1</v>
          </cell>
          <cell r="N142">
            <v>252.36</v>
          </cell>
        </row>
        <row r="143">
          <cell r="K143">
            <v>145</v>
          </cell>
          <cell r="L143">
            <v>24145</v>
          </cell>
          <cell r="M143" t="str">
            <v>RE J1</v>
          </cell>
          <cell r="N143">
            <v>326.33999999999997</v>
          </cell>
        </row>
        <row r="144">
          <cell r="K144">
            <v>146</v>
          </cell>
          <cell r="L144">
            <v>24146</v>
          </cell>
          <cell r="M144" t="str">
            <v>RE J1</v>
          </cell>
          <cell r="N144">
            <v>0</v>
          </cell>
        </row>
        <row r="145">
          <cell r="K145">
            <v>147</v>
          </cell>
          <cell r="L145">
            <v>24147</v>
          </cell>
          <cell r="M145" t="str">
            <v>RE J1</v>
          </cell>
          <cell r="N145">
            <v>0</v>
          </cell>
        </row>
        <row r="146">
          <cell r="K146">
            <v>148</v>
          </cell>
          <cell r="L146">
            <v>24148</v>
          </cell>
          <cell r="M146" t="str">
            <v>RE J1</v>
          </cell>
          <cell r="N146">
            <v>0</v>
          </cell>
        </row>
        <row r="147">
          <cell r="K147">
            <v>149</v>
          </cell>
          <cell r="L147">
            <v>24149</v>
          </cell>
          <cell r="M147" t="str">
            <v>RE J1</v>
          </cell>
          <cell r="N147">
            <v>0</v>
          </cell>
        </row>
        <row r="148">
          <cell r="K148">
            <v>150</v>
          </cell>
          <cell r="L148">
            <v>24150</v>
          </cell>
          <cell r="M148" t="str">
            <v>RE J1</v>
          </cell>
          <cell r="N148">
            <v>0</v>
          </cell>
        </row>
        <row r="149">
          <cell r="K149">
            <v>151</v>
          </cell>
          <cell r="L149">
            <v>24151</v>
          </cell>
          <cell r="M149" t="str">
            <v>RE J1</v>
          </cell>
          <cell r="N149">
            <v>0</v>
          </cell>
        </row>
        <row r="150">
          <cell r="K150">
            <v>152</v>
          </cell>
          <cell r="L150">
            <v>24152</v>
          </cell>
          <cell r="M150" t="str">
            <v>RE J1</v>
          </cell>
          <cell r="N150">
            <v>425.36</v>
          </cell>
        </row>
        <row r="151">
          <cell r="K151">
            <v>153</v>
          </cell>
          <cell r="L151">
            <v>24153</v>
          </cell>
          <cell r="M151" t="str">
            <v>RE J1</v>
          </cell>
          <cell r="N151">
            <v>0</v>
          </cell>
        </row>
        <row r="152">
          <cell r="K152">
            <v>154</v>
          </cell>
          <cell r="L152">
            <v>24154</v>
          </cell>
          <cell r="M152" t="str">
            <v>RE J1</v>
          </cell>
          <cell r="N152">
            <v>77.040000000000006</v>
          </cell>
        </row>
        <row r="153">
          <cell r="K153">
            <v>155</v>
          </cell>
          <cell r="L153">
            <v>24155</v>
          </cell>
          <cell r="M153" t="str">
            <v>RE J1</v>
          </cell>
          <cell r="N153">
            <v>103.97</v>
          </cell>
        </row>
        <row r="154">
          <cell r="K154">
            <v>156</v>
          </cell>
          <cell r="L154">
            <v>24156</v>
          </cell>
          <cell r="M154" t="str">
            <v>RE J1</v>
          </cell>
          <cell r="N154">
            <v>0</v>
          </cell>
        </row>
        <row r="155">
          <cell r="K155">
            <v>157</v>
          </cell>
          <cell r="L155">
            <v>24157</v>
          </cell>
          <cell r="M155" t="str">
            <v>RE J1</v>
          </cell>
          <cell r="N155">
            <v>0</v>
          </cell>
        </row>
        <row r="156">
          <cell r="K156">
            <v>158</v>
          </cell>
          <cell r="L156">
            <v>24158</v>
          </cell>
          <cell r="M156" t="str">
            <v>RE J1</v>
          </cell>
          <cell r="N156">
            <v>0</v>
          </cell>
        </row>
        <row r="157">
          <cell r="K157">
            <v>159</v>
          </cell>
          <cell r="L157">
            <v>24159</v>
          </cell>
          <cell r="M157" t="str">
            <v>RE J1</v>
          </cell>
          <cell r="N157">
            <v>882</v>
          </cell>
        </row>
        <row r="158">
          <cell r="K158">
            <v>160</v>
          </cell>
          <cell r="L158">
            <v>24160</v>
          </cell>
          <cell r="M158" t="str">
            <v>RE J1</v>
          </cell>
          <cell r="N158">
            <v>0</v>
          </cell>
        </row>
        <row r="159">
          <cell r="K159">
            <v>161</v>
          </cell>
          <cell r="L159">
            <v>24161</v>
          </cell>
          <cell r="M159" t="str">
            <v>RE J1</v>
          </cell>
          <cell r="N159">
            <v>0</v>
          </cell>
        </row>
        <row r="160">
          <cell r="K160">
            <v>162</v>
          </cell>
          <cell r="L160">
            <v>24162</v>
          </cell>
          <cell r="M160" t="str">
            <v>RE J1</v>
          </cell>
          <cell r="N160">
            <v>0</v>
          </cell>
        </row>
        <row r="161">
          <cell r="K161">
            <v>163</v>
          </cell>
          <cell r="L161">
            <v>24163</v>
          </cell>
          <cell r="M161" t="str">
            <v>RE J1</v>
          </cell>
          <cell r="N161">
            <v>0</v>
          </cell>
        </row>
        <row r="162">
          <cell r="K162">
            <v>164</v>
          </cell>
          <cell r="L162">
            <v>24164</v>
          </cell>
          <cell r="M162" t="str">
            <v>RE J1</v>
          </cell>
          <cell r="N162">
            <v>0</v>
          </cell>
        </row>
        <row r="163">
          <cell r="K163">
            <v>165</v>
          </cell>
          <cell r="L163">
            <v>24165</v>
          </cell>
          <cell r="M163" t="str">
            <v>RE J1</v>
          </cell>
          <cell r="N163">
            <v>0</v>
          </cell>
        </row>
        <row r="164">
          <cell r="K164">
            <v>166</v>
          </cell>
          <cell r="L164">
            <v>24166</v>
          </cell>
          <cell r="M164" t="str">
            <v>RE J1</v>
          </cell>
          <cell r="N164">
            <v>0</v>
          </cell>
        </row>
        <row r="165">
          <cell r="K165">
            <v>167</v>
          </cell>
          <cell r="L165">
            <v>24167</v>
          </cell>
          <cell r="M165" t="str">
            <v>RE J1</v>
          </cell>
          <cell r="N165">
            <v>0</v>
          </cell>
        </row>
        <row r="166">
          <cell r="K166">
            <v>168</v>
          </cell>
          <cell r="L166">
            <v>24168</v>
          </cell>
          <cell r="M166" t="str">
            <v>RE J1</v>
          </cell>
          <cell r="N166">
            <v>0</v>
          </cell>
        </row>
        <row r="167">
          <cell r="K167">
            <v>169</v>
          </cell>
          <cell r="L167">
            <v>24169</v>
          </cell>
          <cell r="M167" t="str">
            <v>RE J1</v>
          </cell>
          <cell r="N167">
            <v>0</v>
          </cell>
        </row>
        <row r="168">
          <cell r="K168">
            <v>170</v>
          </cell>
          <cell r="L168">
            <v>24170</v>
          </cell>
          <cell r="M168" t="str">
            <v>RE J1</v>
          </cell>
          <cell r="N168">
            <v>0</v>
          </cell>
        </row>
        <row r="169">
          <cell r="K169">
            <v>172</v>
          </cell>
          <cell r="L169">
            <v>24172</v>
          </cell>
          <cell r="M169" t="str">
            <v>RE J1</v>
          </cell>
          <cell r="N169">
            <v>339.23</v>
          </cell>
        </row>
        <row r="170">
          <cell r="K170">
            <v>174</v>
          </cell>
          <cell r="L170">
            <v>24174</v>
          </cell>
          <cell r="M170" t="str">
            <v>RE J1</v>
          </cell>
          <cell r="N170">
            <v>188.31</v>
          </cell>
        </row>
        <row r="171">
          <cell r="K171">
            <v>178</v>
          </cell>
          <cell r="L171">
            <v>24178</v>
          </cell>
          <cell r="M171" t="str">
            <v>RE J1</v>
          </cell>
          <cell r="N171">
            <v>70.62</v>
          </cell>
        </row>
        <row r="172">
          <cell r="K172">
            <v>185</v>
          </cell>
          <cell r="L172">
            <v>24185</v>
          </cell>
          <cell r="M172" t="str">
            <v>RE Bush</v>
          </cell>
          <cell r="N172">
            <v>25.53</v>
          </cell>
        </row>
        <row r="173">
          <cell r="K173">
            <v>187</v>
          </cell>
          <cell r="L173">
            <v>24187</v>
          </cell>
          <cell r="M173" t="str">
            <v>RE Bush</v>
          </cell>
          <cell r="N173">
            <v>21.76</v>
          </cell>
        </row>
        <row r="174">
          <cell r="K174">
            <v>195</v>
          </cell>
          <cell r="L174">
            <v>24195</v>
          </cell>
          <cell r="M174" t="str">
            <v>RE Bush</v>
          </cell>
          <cell r="N174">
            <v>16.38</v>
          </cell>
        </row>
        <row r="175">
          <cell r="K175">
            <v>196</v>
          </cell>
          <cell r="L175">
            <v>24196</v>
          </cell>
          <cell r="M175" t="str">
            <v>RE Bush</v>
          </cell>
          <cell r="N175">
            <v>12.9</v>
          </cell>
        </row>
        <row r="176">
          <cell r="K176">
            <v>198</v>
          </cell>
          <cell r="L176">
            <v>24198</v>
          </cell>
          <cell r="M176" t="str">
            <v>RE Bush</v>
          </cell>
          <cell r="N176">
            <v>18.100000000000001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New Machine sheet"/>
      <sheetName val="Sheet7"/>
      <sheetName val="New Reason code"/>
      <sheetName val="New defect code "/>
      <sheetName val="Sheet4"/>
      <sheetName val="New defect sheet"/>
      <sheetName val="Reason"/>
      <sheetName val="RE Defect Sheet"/>
      <sheetName val="Sheet6"/>
      <sheetName val="Sheet5"/>
      <sheetName val="Sheet2"/>
      <sheetName val="Sheet1"/>
      <sheetName val="Sheet3"/>
      <sheetName val="machine Qty"/>
      <sheetName val="cost "/>
    </sheetNames>
    <sheetDataSet>
      <sheetData sheetId="0"/>
      <sheetData sheetId="1">
        <row r="1">
          <cell r="A1" t="str">
            <v>Code</v>
          </cell>
          <cell r="B1" t="str">
            <v>M/c no</v>
          </cell>
          <cell r="C1" t="str">
            <v>M/c  Name</v>
          </cell>
          <cell r="D1" t="str">
            <v>Operation</v>
          </cell>
        </row>
        <row r="2">
          <cell r="A2">
            <v>1</v>
          </cell>
          <cell r="B2" t="str">
            <v>282-01</v>
          </cell>
          <cell r="C2" t="str">
            <v>Mazak</v>
          </cell>
          <cell r="D2" t="str">
            <v>Turning</v>
          </cell>
          <cell r="F2" t="str">
            <v>Code</v>
          </cell>
          <cell r="G2" t="str">
            <v>PART NO.</v>
          </cell>
          <cell r="H2" t="str">
            <v>Customer</v>
          </cell>
          <cell r="I2" t="str">
            <v>cost per piece</v>
          </cell>
        </row>
        <row r="3">
          <cell r="A3">
            <v>2</v>
          </cell>
          <cell r="B3" t="str">
            <v>282-02</v>
          </cell>
          <cell r="C3" t="str">
            <v>Mazak</v>
          </cell>
          <cell r="D3" t="str">
            <v>Turning</v>
          </cell>
          <cell r="F3">
            <v>2</v>
          </cell>
          <cell r="G3">
            <v>2402</v>
          </cell>
          <cell r="H3" t="str">
            <v>RE D1</v>
          </cell>
          <cell r="I3">
            <v>215.86</v>
          </cell>
        </row>
        <row r="4">
          <cell r="A4">
            <v>3</v>
          </cell>
          <cell r="B4" t="str">
            <v>282-03</v>
          </cell>
          <cell r="C4" t="str">
            <v>Mazak</v>
          </cell>
          <cell r="D4" t="str">
            <v>Turning</v>
          </cell>
          <cell r="F4">
            <v>28</v>
          </cell>
          <cell r="G4">
            <v>2428</v>
          </cell>
          <cell r="H4" t="str">
            <v>RE P1</v>
          </cell>
          <cell r="I4">
            <v>124.07</v>
          </cell>
        </row>
        <row r="5">
          <cell r="A5">
            <v>4</v>
          </cell>
          <cell r="B5" t="str">
            <v>282-04</v>
          </cell>
          <cell r="C5" t="str">
            <v>Mazak</v>
          </cell>
          <cell r="D5" t="str">
            <v>Turning</v>
          </cell>
          <cell r="F5">
            <v>29</v>
          </cell>
          <cell r="G5">
            <v>2429</v>
          </cell>
          <cell r="H5" t="str">
            <v>RE P1</v>
          </cell>
          <cell r="I5">
            <v>142.61000000000001</v>
          </cell>
        </row>
        <row r="6">
          <cell r="A6">
            <v>5</v>
          </cell>
          <cell r="B6" t="str">
            <v>282-05</v>
          </cell>
          <cell r="C6" t="str">
            <v>Mazak</v>
          </cell>
          <cell r="D6" t="str">
            <v>Turning</v>
          </cell>
          <cell r="F6">
            <v>32</v>
          </cell>
          <cell r="G6">
            <v>2432</v>
          </cell>
          <cell r="H6" t="str">
            <v>RE P1</v>
          </cell>
          <cell r="I6">
            <v>168.54</v>
          </cell>
        </row>
        <row r="7">
          <cell r="A7">
            <v>6</v>
          </cell>
          <cell r="B7" t="str">
            <v>282-06</v>
          </cell>
          <cell r="C7" t="str">
            <v>Mazak</v>
          </cell>
          <cell r="D7" t="str">
            <v>Turning</v>
          </cell>
          <cell r="F7">
            <v>34</v>
          </cell>
          <cell r="G7">
            <v>2434</v>
          </cell>
          <cell r="H7" t="str">
            <v>RE D1</v>
          </cell>
          <cell r="I7">
            <v>105.54666666666667</v>
          </cell>
        </row>
        <row r="8">
          <cell r="A8">
            <v>7</v>
          </cell>
          <cell r="B8" t="str">
            <v>282-07</v>
          </cell>
          <cell r="C8" t="str">
            <v>Mazak</v>
          </cell>
          <cell r="D8" t="str">
            <v>Turning</v>
          </cell>
          <cell r="F8">
            <v>35</v>
          </cell>
          <cell r="G8">
            <v>2435</v>
          </cell>
          <cell r="H8" t="str">
            <v>RE D1</v>
          </cell>
          <cell r="I8">
            <v>101.91</v>
          </cell>
        </row>
        <row r="9">
          <cell r="A9">
            <v>8</v>
          </cell>
          <cell r="B9" t="str">
            <v>282-08</v>
          </cell>
          <cell r="C9" t="str">
            <v>Mazak</v>
          </cell>
          <cell r="D9" t="str">
            <v>Turning</v>
          </cell>
          <cell r="F9">
            <v>42</v>
          </cell>
          <cell r="G9">
            <v>2442</v>
          </cell>
          <cell r="H9" t="str">
            <v>RE P1</v>
          </cell>
          <cell r="I9">
            <v>164.83</v>
          </cell>
        </row>
        <row r="10">
          <cell r="A10">
            <v>9</v>
          </cell>
          <cell r="B10" t="str">
            <v>282-09</v>
          </cell>
          <cell r="C10" t="str">
            <v>Mazak</v>
          </cell>
          <cell r="D10" t="str">
            <v>Turning</v>
          </cell>
          <cell r="F10">
            <v>45</v>
          </cell>
          <cell r="G10">
            <v>2445</v>
          </cell>
          <cell r="H10" t="str">
            <v>RE D1</v>
          </cell>
          <cell r="I10">
            <v>63.79</v>
          </cell>
        </row>
        <row r="11">
          <cell r="A11">
            <v>10</v>
          </cell>
          <cell r="B11" t="str">
            <v>282-10</v>
          </cell>
          <cell r="C11" t="str">
            <v>Mazak</v>
          </cell>
          <cell r="D11" t="str">
            <v>Turning</v>
          </cell>
          <cell r="F11">
            <v>47</v>
          </cell>
          <cell r="G11">
            <v>2447</v>
          </cell>
          <cell r="H11" t="str">
            <v>RE D1</v>
          </cell>
          <cell r="I11">
            <v>112.01</v>
          </cell>
        </row>
        <row r="12">
          <cell r="A12">
            <v>11</v>
          </cell>
          <cell r="B12" t="str">
            <v>282-11</v>
          </cell>
          <cell r="C12" t="str">
            <v>Mazak</v>
          </cell>
          <cell r="D12" t="str">
            <v>Turning</v>
          </cell>
          <cell r="F12">
            <v>48</v>
          </cell>
          <cell r="G12">
            <v>2448</v>
          </cell>
          <cell r="H12" t="str">
            <v>RE D1</v>
          </cell>
          <cell r="I12">
            <v>98.222499999999997</v>
          </cell>
        </row>
        <row r="13">
          <cell r="A13">
            <v>12</v>
          </cell>
          <cell r="B13" t="str">
            <v>282-12</v>
          </cell>
          <cell r="C13" t="str">
            <v>Mazak</v>
          </cell>
          <cell r="D13" t="str">
            <v>Turning</v>
          </cell>
          <cell r="F13">
            <v>49</v>
          </cell>
          <cell r="G13">
            <v>2449</v>
          </cell>
          <cell r="H13" t="str">
            <v>RE D1</v>
          </cell>
          <cell r="I13">
            <v>81.94</v>
          </cell>
        </row>
        <row r="14">
          <cell r="A14">
            <v>13</v>
          </cell>
          <cell r="B14" t="str">
            <v>282-13</v>
          </cell>
          <cell r="C14" t="str">
            <v>Mazak</v>
          </cell>
          <cell r="D14" t="str">
            <v>Turning</v>
          </cell>
          <cell r="F14">
            <v>52</v>
          </cell>
          <cell r="G14">
            <v>2452</v>
          </cell>
          <cell r="H14" t="str">
            <v>RE P1</v>
          </cell>
          <cell r="I14">
            <v>400</v>
          </cell>
        </row>
        <row r="15">
          <cell r="A15">
            <v>14</v>
          </cell>
          <cell r="B15" t="str">
            <v>282-14</v>
          </cell>
          <cell r="C15" t="str">
            <v>Mazak</v>
          </cell>
          <cell r="D15" t="str">
            <v>Turning</v>
          </cell>
          <cell r="F15">
            <v>53</v>
          </cell>
          <cell r="G15">
            <v>2453</v>
          </cell>
          <cell r="H15" t="str">
            <v>RE D1</v>
          </cell>
          <cell r="I15">
            <v>249.52</v>
          </cell>
        </row>
        <row r="16">
          <cell r="A16">
            <v>15</v>
          </cell>
          <cell r="B16" t="str">
            <v>282-15</v>
          </cell>
          <cell r="C16" t="str">
            <v>Mazak</v>
          </cell>
          <cell r="D16" t="str">
            <v>Turning</v>
          </cell>
          <cell r="F16">
            <v>55</v>
          </cell>
          <cell r="G16">
            <v>2455</v>
          </cell>
          <cell r="H16" t="str">
            <v>RE D1</v>
          </cell>
          <cell r="I16">
            <v>356.51888888888891</v>
          </cell>
        </row>
        <row r="17">
          <cell r="A17">
            <v>16</v>
          </cell>
          <cell r="B17" t="str">
            <v>282-16</v>
          </cell>
          <cell r="C17" t="str">
            <v>Mazak</v>
          </cell>
          <cell r="D17" t="str">
            <v>Turning</v>
          </cell>
          <cell r="F17">
            <v>57</v>
          </cell>
          <cell r="G17">
            <v>2457</v>
          </cell>
          <cell r="H17" t="str">
            <v>RE D1</v>
          </cell>
          <cell r="I17">
            <v>103.97115384615384</v>
          </cell>
        </row>
        <row r="18">
          <cell r="A18">
            <v>17</v>
          </cell>
          <cell r="B18" t="str">
            <v>282-17</v>
          </cell>
          <cell r="C18" t="str">
            <v>Mazak</v>
          </cell>
          <cell r="D18" t="str">
            <v>Turning</v>
          </cell>
          <cell r="F18">
            <v>64</v>
          </cell>
          <cell r="G18">
            <v>2464</v>
          </cell>
          <cell r="H18" t="str">
            <v>RE D1</v>
          </cell>
          <cell r="I18">
            <v>56.779090909090911</v>
          </cell>
        </row>
        <row r="19">
          <cell r="A19">
            <v>18</v>
          </cell>
          <cell r="B19" t="str">
            <v>282-18</v>
          </cell>
          <cell r="C19" t="str">
            <v>Mazak</v>
          </cell>
          <cell r="D19" t="str">
            <v>Turning</v>
          </cell>
          <cell r="F19">
            <v>65</v>
          </cell>
          <cell r="G19">
            <v>2465</v>
          </cell>
          <cell r="H19" t="str">
            <v>RE D1</v>
          </cell>
          <cell r="I19">
            <v>245.64500000000001</v>
          </cell>
        </row>
        <row r="20">
          <cell r="A20">
            <v>19</v>
          </cell>
          <cell r="B20" t="str">
            <v>282-19</v>
          </cell>
          <cell r="C20" t="str">
            <v>Mazak</v>
          </cell>
          <cell r="D20" t="str">
            <v>Turning</v>
          </cell>
          <cell r="F20">
            <v>68</v>
          </cell>
          <cell r="G20">
            <v>2468</v>
          </cell>
          <cell r="H20" t="str">
            <v>RE D1</v>
          </cell>
          <cell r="I20">
            <v>61.67</v>
          </cell>
        </row>
        <row r="21">
          <cell r="A21">
            <v>20</v>
          </cell>
          <cell r="B21" t="str">
            <v>282-20</v>
          </cell>
          <cell r="C21" t="str">
            <v>Mazak</v>
          </cell>
          <cell r="D21" t="str">
            <v>Turning</v>
          </cell>
          <cell r="F21">
            <v>72</v>
          </cell>
          <cell r="G21">
            <v>2472</v>
          </cell>
          <cell r="H21" t="str">
            <v>RE P1</v>
          </cell>
          <cell r="I21">
            <v>357.61</v>
          </cell>
        </row>
        <row r="22">
          <cell r="A22">
            <v>21</v>
          </cell>
          <cell r="B22" t="str">
            <v>ACE-01</v>
          </cell>
          <cell r="C22" t="str">
            <v>Micromatic</v>
          </cell>
          <cell r="D22" t="str">
            <v>Turning</v>
          </cell>
          <cell r="F22">
            <v>73</v>
          </cell>
          <cell r="G22">
            <v>2473</v>
          </cell>
          <cell r="H22" t="str">
            <v>RE P1</v>
          </cell>
          <cell r="I22">
            <v>110.76</v>
          </cell>
        </row>
        <row r="23">
          <cell r="A23">
            <v>22</v>
          </cell>
          <cell r="B23" t="str">
            <v>ACE-02</v>
          </cell>
          <cell r="C23" t="str">
            <v>Micromatic</v>
          </cell>
          <cell r="D23" t="str">
            <v>Turning</v>
          </cell>
          <cell r="F23">
            <v>74</v>
          </cell>
          <cell r="G23">
            <v>2474</v>
          </cell>
          <cell r="H23" t="str">
            <v>RE P1</v>
          </cell>
          <cell r="I23">
            <v>158.21</v>
          </cell>
        </row>
        <row r="24">
          <cell r="A24">
            <v>23</v>
          </cell>
          <cell r="B24" t="str">
            <v>ACE-03</v>
          </cell>
          <cell r="C24" t="str">
            <v>Micromatic</v>
          </cell>
          <cell r="D24" t="str">
            <v>Turning</v>
          </cell>
          <cell r="F24">
            <v>75</v>
          </cell>
          <cell r="G24">
            <v>2475</v>
          </cell>
          <cell r="H24" t="str">
            <v>RE P1</v>
          </cell>
          <cell r="I24">
            <v>138.77000000000001</v>
          </cell>
        </row>
        <row r="25">
          <cell r="A25">
            <v>24</v>
          </cell>
          <cell r="B25" t="str">
            <v>ACE-04</v>
          </cell>
          <cell r="C25" t="str">
            <v>Micromatic</v>
          </cell>
          <cell r="D25" t="str">
            <v>Turning</v>
          </cell>
          <cell r="F25">
            <v>76</v>
          </cell>
          <cell r="G25">
            <v>2476</v>
          </cell>
          <cell r="H25" t="str">
            <v>RE D1</v>
          </cell>
          <cell r="I25">
            <v>150.52000000000001</v>
          </cell>
        </row>
        <row r="26">
          <cell r="A26">
            <v>25</v>
          </cell>
          <cell r="B26" t="str">
            <v>ACE-05</v>
          </cell>
          <cell r="C26" t="str">
            <v>Micromatic</v>
          </cell>
          <cell r="D26" t="str">
            <v>Turning</v>
          </cell>
          <cell r="F26">
            <v>77</v>
          </cell>
          <cell r="G26">
            <v>2477</v>
          </cell>
          <cell r="H26" t="str">
            <v>RE P1</v>
          </cell>
          <cell r="I26">
            <v>79.064999999999998</v>
          </cell>
        </row>
        <row r="27">
          <cell r="A27">
            <v>26</v>
          </cell>
          <cell r="B27" t="str">
            <v>ACE-06</v>
          </cell>
          <cell r="C27" t="str">
            <v>Micromatic</v>
          </cell>
          <cell r="D27" t="str">
            <v>Bore grinding</v>
          </cell>
          <cell r="F27">
            <v>78</v>
          </cell>
          <cell r="G27">
            <v>2478</v>
          </cell>
          <cell r="H27" t="str">
            <v>RE P1</v>
          </cell>
          <cell r="I27">
            <v>468.06</v>
          </cell>
        </row>
        <row r="28">
          <cell r="A28">
            <v>27</v>
          </cell>
          <cell r="B28" t="str">
            <v>ACE-07</v>
          </cell>
          <cell r="C28" t="str">
            <v>Micromatic</v>
          </cell>
          <cell r="D28" t="str">
            <v>Bore grinding</v>
          </cell>
          <cell r="F28">
            <v>79</v>
          </cell>
          <cell r="G28">
            <v>2479</v>
          </cell>
          <cell r="H28" t="str">
            <v>RE P1</v>
          </cell>
          <cell r="I28">
            <v>43.11</v>
          </cell>
        </row>
        <row r="29">
          <cell r="A29">
            <v>28</v>
          </cell>
          <cell r="F29">
            <v>82</v>
          </cell>
          <cell r="G29">
            <v>2482</v>
          </cell>
          <cell r="H29" t="str">
            <v>RE P1</v>
          </cell>
          <cell r="I29">
            <v>303.45333333333332</v>
          </cell>
        </row>
        <row r="30">
          <cell r="A30">
            <v>29</v>
          </cell>
          <cell r="B30" t="str">
            <v>ACE-09</v>
          </cell>
          <cell r="C30" t="str">
            <v>Micromatic</v>
          </cell>
          <cell r="D30" t="str">
            <v>Bore grinding</v>
          </cell>
          <cell r="F30">
            <v>83</v>
          </cell>
          <cell r="G30">
            <v>2483</v>
          </cell>
          <cell r="H30" t="str">
            <v>RE P1</v>
          </cell>
          <cell r="I30">
            <v>55.380800000000001</v>
          </cell>
        </row>
        <row r="31">
          <cell r="A31">
            <v>30</v>
          </cell>
          <cell r="B31" t="str">
            <v>ACE-10</v>
          </cell>
          <cell r="C31" t="str">
            <v>Micromatic</v>
          </cell>
          <cell r="D31" t="str">
            <v>Bore grinding</v>
          </cell>
          <cell r="F31">
            <v>93</v>
          </cell>
          <cell r="G31">
            <v>2493</v>
          </cell>
          <cell r="H31" t="str">
            <v>RE Bush</v>
          </cell>
          <cell r="I31">
            <v>14.659999999999998</v>
          </cell>
        </row>
        <row r="32">
          <cell r="A32">
            <v>31</v>
          </cell>
          <cell r="F32">
            <v>96</v>
          </cell>
          <cell r="G32">
            <v>2496</v>
          </cell>
          <cell r="H32" t="str">
            <v>RE Bush</v>
          </cell>
          <cell r="I32">
            <v>7.68</v>
          </cell>
        </row>
        <row r="33">
          <cell r="A33">
            <v>32</v>
          </cell>
          <cell r="B33" t="str">
            <v>ACE-12</v>
          </cell>
          <cell r="C33" t="str">
            <v>Micromatic</v>
          </cell>
          <cell r="D33" t="str">
            <v>Bore grinding</v>
          </cell>
          <cell r="F33">
            <v>97</v>
          </cell>
          <cell r="G33">
            <v>2497</v>
          </cell>
          <cell r="H33" t="str">
            <v>RE Bush</v>
          </cell>
          <cell r="I33">
            <v>7.01</v>
          </cell>
        </row>
        <row r="34">
          <cell r="A34">
            <v>33</v>
          </cell>
          <cell r="B34" t="str">
            <v>ACE-13</v>
          </cell>
          <cell r="C34" t="str">
            <v>Micromatic</v>
          </cell>
          <cell r="D34" t="str">
            <v>Bore grinding</v>
          </cell>
          <cell r="F34">
            <v>98</v>
          </cell>
          <cell r="G34">
            <v>2498</v>
          </cell>
          <cell r="H34" t="str">
            <v>RE Bush</v>
          </cell>
          <cell r="I34">
            <v>19.21</v>
          </cell>
        </row>
        <row r="35">
          <cell r="A35">
            <v>34</v>
          </cell>
          <cell r="B35" t="str">
            <v>ACE-14</v>
          </cell>
          <cell r="C35" t="str">
            <v>Micromatic</v>
          </cell>
          <cell r="D35" t="str">
            <v>Bore grinding</v>
          </cell>
          <cell r="F35">
            <v>102</v>
          </cell>
          <cell r="G35">
            <v>24102</v>
          </cell>
          <cell r="H35" t="str">
            <v>RE J1</v>
          </cell>
          <cell r="I35">
            <v>93</v>
          </cell>
        </row>
        <row r="36">
          <cell r="A36">
            <v>35</v>
          </cell>
          <cell r="B36" t="str">
            <v>ACE-15</v>
          </cell>
          <cell r="C36" t="str">
            <v>Micromatic</v>
          </cell>
          <cell r="D36" t="str">
            <v>Turning</v>
          </cell>
          <cell r="F36">
            <v>113</v>
          </cell>
          <cell r="G36">
            <v>24113</v>
          </cell>
          <cell r="H36" t="str">
            <v>RE J1</v>
          </cell>
          <cell r="I36">
            <v>90</v>
          </cell>
        </row>
        <row r="37">
          <cell r="A37">
            <v>36</v>
          </cell>
          <cell r="B37" t="str">
            <v>ACE-16</v>
          </cell>
          <cell r="C37" t="str">
            <v>Micromatic</v>
          </cell>
          <cell r="D37" t="str">
            <v>Turning</v>
          </cell>
          <cell r="F37">
            <v>114</v>
          </cell>
          <cell r="G37">
            <v>24114</v>
          </cell>
          <cell r="H37" t="str">
            <v>RE J1</v>
          </cell>
          <cell r="I37">
            <v>123.16</v>
          </cell>
        </row>
        <row r="38">
          <cell r="A38">
            <v>37</v>
          </cell>
          <cell r="B38" t="str">
            <v>ACE-17</v>
          </cell>
          <cell r="C38" t="str">
            <v>Micromatic</v>
          </cell>
          <cell r="D38" t="str">
            <v>Turning</v>
          </cell>
          <cell r="F38">
            <v>115</v>
          </cell>
          <cell r="G38">
            <v>24115</v>
          </cell>
          <cell r="H38" t="str">
            <v>RE J1</v>
          </cell>
          <cell r="I38">
            <v>66.900000000000006</v>
          </cell>
        </row>
        <row r="39">
          <cell r="A39">
            <v>38</v>
          </cell>
          <cell r="B39" t="str">
            <v>ACE-18</v>
          </cell>
          <cell r="C39" t="str">
            <v>Micromatic</v>
          </cell>
          <cell r="D39" t="str">
            <v>Turning</v>
          </cell>
          <cell r="F39">
            <v>116</v>
          </cell>
          <cell r="G39">
            <v>24116</v>
          </cell>
          <cell r="H39" t="str">
            <v>RE J1</v>
          </cell>
          <cell r="I39">
            <v>50.72</v>
          </cell>
        </row>
        <row r="40">
          <cell r="A40">
            <v>39</v>
          </cell>
          <cell r="B40" t="str">
            <v>ACE-19</v>
          </cell>
          <cell r="C40" t="str">
            <v>Micromatic</v>
          </cell>
          <cell r="D40" t="str">
            <v>Turning</v>
          </cell>
          <cell r="F40">
            <v>117</v>
          </cell>
          <cell r="G40">
            <v>24117</v>
          </cell>
          <cell r="H40" t="str">
            <v>RE J1</v>
          </cell>
          <cell r="I40">
            <v>111.97</v>
          </cell>
        </row>
        <row r="41">
          <cell r="A41">
            <v>40</v>
          </cell>
          <cell r="B41" t="str">
            <v>ACE-20</v>
          </cell>
          <cell r="C41" t="str">
            <v>Micromatic</v>
          </cell>
          <cell r="D41" t="str">
            <v>Turning</v>
          </cell>
          <cell r="F41">
            <v>118</v>
          </cell>
          <cell r="G41">
            <v>24118</v>
          </cell>
          <cell r="H41" t="str">
            <v>RE J1</v>
          </cell>
          <cell r="I41">
            <v>105.02619047619048</v>
          </cell>
        </row>
        <row r="42">
          <cell r="A42">
            <v>41</v>
          </cell>
          <cell r="B42" t="str">
            <v>252-03</v>
          </cell>
          <cell r="C42" t="str">
            <v>VMC</v>
          </cell>
          <cell r="D42" t="str">
            <v>VMC</v>
          </cell>
          <cell r="F42">
            <v>119</v>
          </cell>
          <cell r="G42">
            <v>24119</v>
          </cell>
          <cell r="H42" t="str">
            <v>RE J1</v>
          </cell>
          <cell r="I42">
            <v>103.2</v>
          </cell>
        </row>
        <row r="43">
          <cell r="A43">
            <v>42</v>
          </cell>
          <cell r="B43" t="str">
            <v>252-04</v>
          </cell>
          <cell r="C43" t="str">
            <v>VMC</v>
          </cell>
          <cell r="D43" t="str">
            <v>VMC</v>
          </cell>
          <cell r="F43">
            <v>120</v>
          </cell>
          <cell r="G43">
            <v>24120</v>
          </cell>
          <cell r="H43" t="str">
            <v>RE J1</v>
          </cell>
          <cell r="I43">
            <v>84.837142857142865</v>
          </cell>
        </row>
        <row r="44">
          <cell r="A44">
            <v>43</v>
          </cell>
          <cell r="B44" t="str">
            <v>252-05</v>
          </cell>
          <cell r="C44" t="str">
            <v>VMC</v>
          </cell>
          <cell r="D44" t="str">
            <v>VMC</v>
          </cell>
          <cell r="F44">
            <v>121</v>
          </cell>
          <cell r="G44">
            <v>24121</v>
          </cell>
          <cell r="H44" t="str">
            <v>RE J1</v>
          </cell>
          <cell r="I44">
            <v>135.66999999999999</v>
          </cell>
        </row>
        <row r="45">
          <cell r="A45">
            <v>44</v>
          </cell>
          <cell r="B45" t="str">
            <v>LT20-NEW</v>
          </cell>
          <cell r="C45" t="str">
            <v>ACE</v>
          </cell>
          <cell r="D45" t="str">
            <v xml:space="preserve">turning </v>
          </cell>
          <cell r="F45">
            <v>122</v>
          </cell>
          <cell r="G45">
            <v>24122</v>
          </cell>
          <cell r="H45" t="str">
            <v>RE J1</v>
          </cell>
          <cell r="I45">
            <v>335.39977528089889</v>
          </cell>
        </row>
        <row r="46">
          <cell r="A46">
            <v>45</v>
          </cell>
          <cell r="B46" t="str">
            <v>MURATEC-01</v>
          </cell>
          <cell r="C46" t="str">
            <v>MURATEC</v>
          </cell>
          <cell r="D46" t="str">
            <v xml:space="preserve">turning </v>
          </cell>
          <cell r="F46">
            <v>125</v>
          </cell>
          <cell r="G46">
            <v>24125</v>
          </cell>
          <cell r="H46" t="str">
            <v>RE J1</v>
          </cell>
          <cell r="I46">
            <v>65.17</v>
          </cell>
        </row>
        <row r="47">
          <cell r="A47">
            <v>46</v>
          </cell>
          <cell r="B47" t="str">
            <v>MURATEC-02</v>
          </cell>
          <cell r="C47" t="str">
            <v>MURATEC</v>
          </cell>
          <cell r="D47" t="str">
            <v xml:space="preserve">turning </v>
          </cell>
          <cell r="F47">
            <v>127</v>
          </cell>
          <cell r="G47">
            <v>24127</v>
          </cell>
          <cell r="H47" t="str">
            <v>RE J1</v>
          </cell>
          <cell r="I47">
            <v>262.81200000000001</v>
          </cell>
        </row>
        <row r="48">
          <cell r="A48">
            <v>47</v>
          </cell>
          <cell r="B48" t="str">
            <v>MURATEC-03</v>
          </cell>
          <cell r="C48" t="str">
            <v>MURATEC</v>
          </cell>
          <cell r="D48" t="str">
            <v xml:space="preserve">turning </v>
          </cell>
          <cell r="F48">
            <v>152</v>
          </cell>
          <cell r="G48">
            <v>24152</v>
          </cell>
          <cell r="H48" t="str">
            <v>RE J1</v>
          </cell>
          <cell r="I48">
            <v>439.18</v>
          </cell>
        </row>
        <row r="49">
          <cell r="A49">
            <v>48</v>
          </cell>
          <cell r="B49" t="str">
            <v>272-01</v>
          </cell>
          <cell r="C49" t="str">
            <v>NPS</v>
          </cell>
          <cell r="D49" t="str">
            <v>Bush Pressing</v>
          </cell>
          <cell r="F49">
            <v>154</v>
          </cell>
          <cell r="G49">
            <v>24154</v>
          </cell>
          <cell r="H49" t="str">
            <v>RE J1</v>
          </cell>
          <cell r="I49">
            <v>82.64</v>
          </cell>
        </row>
        <row r="50">
          <cell r="A50">
            <v>49</v>
          </cell>
          <cell r="B50" t="str">
            <v>272-02</v>
          </cell>
          <cell r="C50" t="str">
            <v>NPS</v>
          </cell>
          <cell r="D50" t="str">
            <v>Bush Pressing</v>
          </cell>
          <cell r="F50">
            <v>155</v>
          </cell>
          <cell r="G50">
            <v>24155</v>
          </cell>
          <cell r="H50" t="str">
            <v>RE J1</v>
          </cell>
          <cell r="I50">
            <v>107.67</v>
          </cell>
        </row>
        <row r="51">
          <cell r="A51">
            <v>50</v>
          </cell>
          <cell r="B51" t="str">
            <v>272-03</v>
          </cell>
          <cell r="C51" t="str">
            <v>NPS</v>
          </cell>
          <cell r="D51" t="str">
            <v>Bush Pressing</v>
          </cell>
          <cell r="F51">
            <v>172</v>
          </cell>
          <cell r="G51">
            <v>24172</v>
          </cell>
          <cell r="H51" t="str">
            <v>RE J1</v>
          </cell>
          <cell r="I51">
            <v>348.33</v>
          </cell>
        </row>
        <row r="52">
          <cell r="A52">
            <v>51</v>
          </cell>
          <cell r="B52" t="str">
            <v>272-04</v>
          </cell>
          <cell r="C52" t="str">
            <v>Hind Gear</v>
          </cell>
          <cell r="D52" t="str">
            <v>Bush Pressing</v>
          </cell>
          <cell r="F52">
            <v>178</v>
          </cell>
          <cell r="G52">
            <v>24178</v>
          </cell>
          <cell r="H52" t="str">
            <v>RE J1</v>
          </cell>
          <cell r="I52">
            <v>70.62</v>
          </cell>
        </row>
        <row r="53">
          <cell r="A53">
            <v>52</v>
          </cell>
          <cell r="B53" t="str">
            <v>272-05</v>
          </cell>
          <cell r="C53" t="str">
            <v xml:space="preserve">servo </v>
          </cell>
          <cell r="D53" t="str">
            <v>Bush Pressing</v>
          </cell>
          <cell r="F53">
            <v>185</v>
          </cell>
          <cell r="G53">
            <v>24185</v>
          </cell>
          <cell r="H53" t="str">
            <v>RE Bush</v>
          </cell>
          <cell r="I53">
            <v>25.53</v>
          </cell>
        </row>
        <row r="54">
          <cell r="A54">
            <v>53</v>
          </cell>
          <cell r="B54" t="str">
            <v>272-06</v>
          </cell>
          <cell r="C54" t="str">
            <v>NPS</v>
          </cell>
          <cell r="D54" t="str">
            <v>Bush Pressing</v>
          </cell>
          <cell r="F54">
            <v>187</v>
          </cell>
          <cell r="G54">
            <v>24187</v>
          </cell>
          <cell r="H54" t="str">
            <v>RE Bush</v>
          </cell>
          <cell r="I54">
            <v>21.77</v>
          </cell>
        </row>
        <row r="55">
          <cell r="A55">
            <v>54</v>
          </cell>
          <cell r="B55" t="str">
            <v>272-07</v>
          </cell>
          <cell r="C55" t="str">
            <v>NPS</v>
          </cell>
          <cell r="D55" t="str">
            <v>Bush Pressing</v>
          </cell>
          <cell r="F55">
            <v>195</v>
          </cell>
          <cell r="G55">
            <v>24195</v>
          </cell>
          <cell r="H55" t="str">
            <v>RE Bush</v>
          </cell>
          <cell r="I55">
            <v>16.39</v>
          </cell>
        </row>
        <row r="56">
          <cell r="A56">
            <v>55</v>
          </cell>
          <cell r="B56" t="str">
            <v>272-08</v>
          </cell>
          <cell r="C56" t="str">
            <v>NPS</v>
          </cell>
          <cell r="D56" t="str">
            <v>Bush Pressing</v>
          </cell>
          <cell r="F56">
            <v>196</v>
          </cell>
          <cell r="G56">
            <v>24196</v>
          </cell>
          <cell r="H56" t="str">
            <v>RE Bush</v>
          </cell>
          <cell r="I56">
            <v>13.047939042089986</v>
          </cell>
        </row>
        <row r="57">
          <cell r="A57">
            <v>56</v>
          </cell>
          <cell r="B57" t="str">
            <v>298-02</v>
          </cell>
          <cell r="C57" t="str">
            <v>Gear Grinding</v>
          </cell>
          <cell r="D57" t="str">
            <v>Teeth Grinding</v>
          </cell>
          <cell r="F57">
            <v>198</v>
          </cell>
          <cell r="G57">
            <v>24198</v>
          </cell>
          <cell r="H57" t="str">
            <v>RE Bush</v>
          </cell>
          <cell r="I57">
            <v>18.2</v>
          </cell>
        </row>
        <row r="58">
          <cell r="A58">
            <v>57</v>
          </cell>
          <cell r="B58" t="str">
            <v>298-01</v>
          </cell>
          <cell r="C58" t="str">
            <v>Gear Grinding</v>
          </cell>
          <cell r="D58" t="str">
            <v>Teeth Grinding</v>
          </cell>
        </row>
        <row r="59">
          <cell r="A59">
            <v>58</v>
          </cell>
          <cell r="B59" t="str">
            <v>LCS-04</v>
          </cell>
          <cell r="C59" t="str">
            <v>LCS</v>
          </cell>
          <cell r="D59" t="str">
            <v>Teeth Grinding</v>
          </cell>
        </row>
        <row r="60">
          <cell r="A60">
            <v>59</v>
          </cell>
          <cell r="B60" t="str">
            <v>LCS-05</v>
          </cell>
          <cell r="C60" t="str">
            <v>LCS</v>
          </cell>
          <cell r="D60" t="str">
            <v>Teeth Grinding</v>
          </cell>
        </row>
        <row r="61">
          <cell r="A61">
            <v>60</v>
          </cell>
          <cell r="B61" t="str">
            <v>LCS-06</v>
          </cell>
          <cell r="C61" t="str">
            <v>LCS</v>
          </cell>
          <cell r="D61" t="str">
            <v>Teeth Grinding</v>
          </cell>
        </row>
        <row r="62">
          <cell r="A62">
            <v>61</v>
          </cell>
          <cell r="B62" t="str">
            <v>LCS-07</v>
          </cell>
          <cell r="C62" t="str">
            <v>LCS</v>
          </cell>
          <cell r="D62" t="str">
            <v>Teeth Grinding</v>
          </cell>
        </row>
        <row r="63">
          <cell r="A63">
            <v>62</v>
          </cell>
          <cell r="B63" t="str">
            <v>FQC</v>
          </cell>
          <cell r="C63" t="str">
            <v>FQC</v>
          </cell>
          <cell r="D63" t="str">
            <v>fqc</v>
          </cell>
        </row>
        <row r="64">
          <cell r="A64">
            <v>63</v>
          </cell>
          <cell r="B64" t="str">
            <v>275-01</v>
          </cell>
          <cell r="C64" t="str">
            <v>Toyoda</v>
          </cell>
          <cell r="D64" t="str">
            <v>Grinding</v>
          </cell>
        </row>
        <row r="65">
          <cell r="A65">
            <v>64</v>
          </cell>
          <cell r="B65" t="str">
            <v>275-02</v>
          </cell>
          <cell r="C65" t="str">
            <v>Toyoda</v>
          </cell>
          <cell r="D65" t="str">
            <v>Grinding</v>
          </cell>
        </row>
        <row r="66">
          <cell r="A66">
            <v>65</v>
          </cell>
          <cell r="B66" t="str">
            <v>275-03</v>
          </cell>
          <cell r="C66" t="str">
            <v>Toyoda</v>
          </cell>
          <cell r="D66" t="str">
            <v>Grinding</v>
          </cell>
        </row>
        <row r="67">
          <cell r="A67">
            <v>66</v>
          </cell>
          <cell r="B67" t="str">
            <v>275-04</v>
          </cell>
          <cell r="C67" t="str">
            <v>Toyoda</v>
          </cell>
          <cell r="D67" t="str">
            <v>Grinding</v>
          </cell>
        </row>
        <row r="68">
          <cell r="A68">
            <v>67</v>
          </cell>
          <cell r="B68" t="str">
            <v>275-05</v>
          </cell>
          <cell r="C68" t="str">
            <v>Toyoda</v>
          </cell>
          <cell r="D68" t="str">
            <v>Grinding</v>
          </cell>
        </row>
        <row r="69">
          <cell r="A69">
            <v>68</v>
          </cell>
          <cell r="B69" t="str">
            <v>275-06</v>
          </cell>
          <cell r="C69" t="str">
            <v>Toyoda</v>
          </cell>
          <cell r="D69" t="str">
            <v>Grinding</v>
          </cell>
        </row>
        <row r="70">
          <cell r="A70">
            <v>69</v>
          </cell>
          <cell r="B70" t="str">
            <v>275-07</v>
          </cell>
          <cell r="C70" t="str">
            <v>Toyoda</v>
          </cell>
          <cell r="D70" t="str">
            <v>Grinding</v>
          </cell>
        </row>
        <row r="71">
          <cell r="A71">
            <v>70</v>
          </cell>
          <cell r="B71" t="str">
            <v>276-01</v>
          </cell>
          <cell r="C71" t="str">
            <v>Hi-life</v>
          </cell>
          <cell r="D71" t="str">
            <v>Grinding</v>
          </cell>
        </row>
        <row r="72">
          <cell r="A72">
            <v>71</v>
          </cell>
          <cell r="B72" t="str">
            <v>276-02</v>
          </cell>
          <cell r="C72" t="str">
            <v>Hi-life</v>
          </cell>
          <cell r="D72" t="str">
            <v>Grinding</v>
          </cell>
        </row>
        <row r="73">
          <cell r="A73">
            <v>72</v>
          </cell>
          <cell r="B73" t="str">
            <v>276-03</v>
          </cell>
          <cell r="C73" t="str">
            <v>Hi-life</v>
          </cell>
          <cell r="D73" t="str">
            <v>Grinding</v>
          </cell>
        </row>
        <row r="74">
          <cell r="A74">
            <v>73</v>
          </cell>
          <cell r="B74" t="str">
            <v>277-02</v>
          </cell>
          <cell r="C74" t="str">
            <v>Bestak</v>
          </cell>
          <cell r="D74" t="str">
            <v>Grinding</v>
          </cell>
        </row>
        <row r="75">
          <cell r="A75">
            <v>74</v>
          </cell>
          <cell r="B75" t="str">
            <v>277-03</v>
          </cell>
          <cell r="C75" t="str">
            <v>Bestak</v>
          </cell>
          <cell r="D75" t="str">
            <v>Grinding</v>
          </cell>
        </row>
        <row r="76">
          <cell r="A76">
            <v>75</v>
          </cell>
          <cell r="B76" t="str">
            <v>277-04</v>
          </cell>
          <cell r="C76" t="str">
            <v>Bestak</v>
          </cell>
          <cell r="D76" t="str">
            <v>Grinding</v>
          </cell>
        </row>
        <row r="77">
          <cell r="A77">
            <v>76</v>
          </cell>
          <cell r="B77" t="str">
            <v>277-05</v>
          </cell>
          <cell r="C77" t="str">
            <v>Bestak</v>
          </cell>
          <cell r="D77" t="str">
            <v>Grinding</v>
          </cell>
        </row>
        <row r="78">
          <cell r="A78">
            <v>77</v>
          </cell>
          <cell r="B78" t="str">
            <v>277-06</v>
          </cell>
          <cell r="C78" t="str">
            <v>Bestak</v>
          </cell>
          <cell r="D78" t="str">
            <v>Grinding</v>
          </cell>
        </row>
        <row r="79">
          <cell r="A79">
            <v>78</v>
          </cell>
          <cell r="B79" t="str">
            <v>277-07</v>
          </cell>
          <cell r="C79" t="str">
            <v>Bestak</v>
          </cell>
          <cell r="D79" t="str">
            <v>Grinding</v>
          </cell>
        </row>
        <row r="80">
          <cell r="A80">
            <v>79</v>
          </cell>
          <cell r="B80" t="str">
            <v>292-01</v>
          </cell>
          <cell r="C80" t="str">
            <v>Bestak</v>
          </cell>
          <cell r="D80" t="str">
            <v>Grinding</v>
          </cell>
        </row>
        <row r="81">
          <cell r="A81">
            <v>80</v>
          </cell>
          <cell r="B81" t="str">
            <v>292-02</v>
          </cell>
          <cell r="C81" t="str">
            <v>Bestak</v>
          </cell>
          <cell r="D81" t="str">
            <v>Grinding</v>
          </cell>
        </row>
        <row r="82">
          <cell r="A82">
            <v>81</v>
          </cell>
          <cell r="B82" t="str">
            <v>292-03</v>
          </cell>
          <cell r="C82" t="str">
            <v>Bestak</v>
          </cell>
          <cell r="D82" t="str">
            <v>Grinding</v>
          </cell>
        </row>
        <row r="83">
          <cell r="A83">
            <v>82</v>
          </cell>
          <cell r="B83" t="str">
            <v>292-04</v>
          </cell>
          <cell r="C83" t="str">
            <v>Bestak</v>
          </cell>
          <cell r="D83" t="str">
            <v>Grinding</v>
          </cell>
        </row>
        <row r="84">
          <cell r="A84">
            <v>83</v>
          </cell>
          <cell r="B84" t="str">
            <v>292-05</v>
          </cell>
          <cell r="C84" t="str">
            <v>Bestak</v>
          </cell>
          <cell r="D84" t="str">
            <v>Grinding</v>
          </cell>
        </row>
        <row r="85">
          <cell r="A85">
            <v>84</v>
          </cell>
          <cell r="B85" t="str">
            <v>293-01</v>
          </cell>
          <cell r="C85" t="str">
            <v>parisudh</v>
          </cell>
          <cell r="D85" t="str">
            <v>Threading</v>
          </cell>
        </row>
        <row r="86">
          <cell r="A86">
            <v>85</v>
          </cell>
          <cell r="B86" t="str">
            <v>293-02</v>
          </cell>
          <cell r="C86" t="str">
            <v>Bestak</v>
          </cell>
          <cell r="D86" t="str">
            <v>Threading</v>
          </cell>
        </row>
        <row r="87">
          <cell r="A87">
            <v>86</v>
          </cell>
          <cell r="B87" t="str">
            <v>293-03</v>
          </cell>
          <cell r="C87" t="str">
            <v>Bestak</v>
          </cell>
          <cell r="D87" t="str">
            <v>Threading</v>
          </cell>
        </row>
        <row r="88">
          <cell r="A88">
            <v>87</v>
          </cell>
          <cell r="B88" t="str">
            <v>293-04</v>
          </cell>
          <cell r="C88" t="str">
            <v>Bestak</v>
          </cell>
          <cell r="D88" t="str">
            <v>Threading</v>
          </cell>
        </row>
        <row r="89">
          <cell r="A89">
            <v>88</v>
          </cell>
          <cell r="B89" t="str">
            <v>293-05</v>
          </cell>
          <cell r="C89" t="str">
            <v>Bestak</v>
          </cell>
          <cell r="D89" t="str">
            <v>Threading</v>
          </cell>
        </row>
        <row r="90">
          <cell r="A90">
            <v>89</v>
          </cell>
          <cell r="B90" t="str">
            <v>277-01</v>
          </cell>
          <cell r="C90" t="str">
            <v>Bestak</v>
          </cell>
          <cell r="D90" t="str">
            <v>Grinding</v>
          </cell>
        </row>
        <row r="91">
          <cell r="A91">
            <v>90</v>
          </cell>
          <cell r="B91" t="str">
            <v>252-06</v>
          </cell>
          <cell r="C91" t="str">
            <v>VMC</v>
          </cell>
          <cell r="D91" t="str">
            <v>VMC</v>
          </cell>
        </row>
      </sheetData>
      <sheetData sheetId="2"/>
      <sheetData sheetId="3">
        <row r="2">
          <cell r="A2" t="str">
            <v>Sr. No</v>
          </cell>
          <cell r="B2" t="str">
            <v>Reason</v>
          </cell>
          <cell r="C2" t="str">
            <v>Rejection Identified at</v>
          </cell>
          <cell r="D2" t="str">
            <v>Rejection Reason</v>
          </cell>
        </row>
        <row r="3">
          <cell r="A3">
            <v>1</v>
          </cell>
          <cell r="B3" t="str">
            <v>After dressing</v>
          </cell>
          <cell r="C3" t="str">
            <v xml:space="preserve">Due to machine </v>
          </cell>
          <cell r="D3" t="str">
            <v>process</v>
          </cell>
        </row>
        <row r="4">
          <cell r="A4">
            <v>2</v>
          </cell>
          <cell r="B4" t="str">
            <v>APG unit disturb</v>
          </cell>
          <cell r="C4" t="str">
            <v>Line audit</v>
          </cell>
          <cell r="D4" t="str">
            <v>Process Issue</v>
          </cell>
        </row>
        <row r="5">
          <cell r="A5">
            <v>3</v>
          </cell>
          <cell r="B5" t="str">
            <v>Boring bar change time</v>
          </cell>
          <cell r="C5" t="str">
            <v xml:space="preserve">Due to Settup  </v>
          </cell>
          <cell r="D5" t="str">
            <v>skill</v>
          </cell>
        </row>
        <row r="6">
          <cell r="A6">
            <v>4</v>
          </cell>
          <cell r="B6" t="str">
            <v>Boring bar damage</v>
          </cell>
          <cell r="C6" t="str">
            <v>Line audit</v>
          </cell>
          <cell r="D6" t="str">
            <v>Process Issue</v>
          </cell>
        </row>
        <row r="7">
          <cell r="A7">
            <v>5</v>
          </cell>
          <cell r="B7" t="str">
            <v>Burn test</v>
          </cell>
          <cell r="C7" t="str">
            <v>Line audit</v>
          </cell>
          <cell r="D7" t="str">
            <v>Process Issue</v>
          </cell>
        </row>
        <row r="8">
          <cell r="A8">
            <v>6</v>
          </cell>
          <cell r="B8" t="str">
            <v>bush will not use again</v>
          </cell>
          <cell r="C8" t="str">
            <v>Prod Declared</v>
          </cell>
          <cell r="D8" t="str">
            <v>Process Issue</v>
          </cell>
        </row>
        <row r="9">
          <cell r="A9">
            <v>7</v>
          </cell>
          <cell r="B9" t="str">
            <v>Carier bolt broken</v>
          </cell>
          <cell r="C9" t="str">
            <v xml:space="preserve">Due to tool broken </v>
          </cell>
          <cell r="D9" t="str">
            <v>process</v>
          </cell>
        </row>
        <row r="10">
          <cell r="A10">
            <v>8</v>
          </cell>
          <cell r="B10" t="str">
            <v>Carier bolt slip</v>
          </cell>
          <cell r="C10" t="str">
            <v>Due to operator</v>
          </cell>
          <cell r="D10" t="str">
            <v xml:space="preserve">infrastructure </v>
          </cell>
        </row>
        <row r="11">
          <cell r="A11">
            <v>9</v>
          </cell>
          <cell r="B11" t="str">
            <v>Center damage</v>
          </cell>
          <cell r="C11" t="str">
            <v xml:space="preserve">Due to machine </v>
          </cell>
          <cell r="D11" t="str">
            <v>process</v>
          </cell>
        </row>
        <row r="12">
          <cell r="A12">
            <v>10</v>
          </cell>
          <cell r="B12" t="str">
            <v>Collent off running m/c</v>
          </cell>
          <cell r="C12" t="str">
            <v xml:space="preserve">Due to machine </v>
          </cell>
          <cell r="D12" t="str">
            <v>process</v>
          </cell>
        </row>
        <row r="13">
          <cell r="A13">
            <v>11</v>
          </cell>
          <cell r="B13" t="str">
            <v>Cycle time reduce by operator</v>
          </cell>
          <cell r="C13" t="str">
            <v>Due to operator</v>
          </cell>
          <cell r="D13" t="str">
            <v>Attitude</v>
          </cell>
        </row>
        <row r="14">
          <cell r="A14">
            <v>12</v>
          </cell>
          <cell r="B14" t="str">
            <v>Double loading</v>
          </cell>
          <cell r="C14" t="str">
            <v>Due to operator</v>
          </cell>
          <cell r="D14" t="str">
            <v>skill</v>
          </cell>
        </row>
        <row r="15">
          <cell r="A15">
            <v>13</v>
          </cell>
          <cell r="B15" t="str">
            <v>Due to spline burr on input material</v>
          </cell>
          <cell r="C15" t="str">
            <v xml:space="preserve">Due to material </v>
          </cell>
          <cell r="D15" t="str">
            <v>process</v>
          </cell>
        </row>
        <row r="16">
          <cell r="A16">
            <v>14</v>
          </cell>
          <cell r="B16" t="str">
            <v>Due to Tapper problem in bore</v>
          </cell>
          <cell r="C16" t="str">
            <v xml:space="preserve">Due to Settup  </v>
          </cell>
          <cell r="D16" t="str">
            <v>process</v>
          </cell>
        </row>
        <row r="17">
          <cell r="A17">
            <v>15</v>
          </cell>
          <cell r="B17" t="str">
            <v>During ACMA (5S) time</v>
          </cell>
          <cell r="C17" t="str">
            <v>Prod Declared</v>
          </cell>
          <cell r="D17" t="str">
            <v>Process Issue</v>
          </cell>
        </row>
        <row r="18">
          <cell r="A18">
            <v>16</v>
          </cell>
          <cell r="B18" t="str">
            <v>During correction time</v>
          </cell>
          <cell r="C18" t="str">
            <v>Due to operator</v>
          </cell>
          <cell r="D18" t="str">
            <v>skill</v>
          </cell>
        </row>
        <row r="19">
          <cell r="A19">
            <v>17</v>
          </cell>
          <cell r="B19" t="str">
            <v>during insert broken</v>
          </cell>
          <cell r="C19" t="str">
            <v>Line audit</v>
          </cell>
          <cell r="D19" t="str">
            <v>Process Issue</v>
          </cell>
        </row>
        <row r="20">
          <cell r="A20">
            <v>18</v>
          </cell>
          <cell r="B20" t="str">
            <v>During insert change</v>
          </cell>
          <cell r="C20" t="str">
            <v xml:space="preserve">Due to Settup  </v>
          </cell>
          <cell r="D20" t="str">
            <v>skill</v>
          </cell>
        </row>
        <row r="21">
          <cell r="A21">
            <v>19</v>
          </cell>
          <cell r="B21" t="str">
            <v>During Rework time</v>
          </cell>
          <cell r="C21" t="str">
            <v>Due to operator</v>
          </cell>
          <cell r="D21" t="str">
            <v>skill</v>
          </cell>
        </row>
        <row r="22">
          <cell r="A22">
            <v>20</v>
          </cell>
          <cell r="B22" t="str">
            <v xml:space="preserve">During segrigetion </v>
          </cell>
          <cell r="C22" t="str">
            <v xml:space="preserve">During segrigetion </v>
          </cell>
          <cell r="D22" t="str">
            <v>Attitude</v>
          </cell>
        </row>
        <row r="23">
          <cell r="A23">
            <v>21</v>
          </cell>
          <cell r="B23" t="str">
            <v>During setup time</v>
          </cell>
          <cell r="C23" t="str">
            <v xml:space="preserve">Due to Settup  </v>
          </cell>
          <cell r="D23" t="str">
            <v>skill</v>
          </cell>
        </row>
        <row r="24">
          <cell r="A24">
            <v>22</v>
          </cell>
          <cell r="B24" t="str">
            <v>during tool change</v>
          </cell>
          <cell r="C24" t="str">
            <v>Prod Declared</v>
          </cell>
          <cell r="D24" t="str">
            <v>Setup Rejection</v>
          </cell>
        </row>
        <row r="25">
          <cell r="A25">
            <v>23</v>
          </cell>
          <cell r="B25" t="str">
            <v>during wheel change</v>
          </cell>
          <cell r="C25" t="str">
            <v>Line audit</v>
          </cell>
          <cell r="D25" t="str">
            <v>Setup Rejection</v>
          </cell>
        </row>
        <row r="26">
          <cell r="A26">
            <v>24</v>
          </cell>
          <cell r="B26" t="str">
            <v>FQC return</v>
          </cell>
          <cell r="C26" t="str">
            <v>Due to operator</v>
          </cell>
          <cell r="D26" t="str">
            <v>Attitude</v>
          </cell>
        </row>
        <row r="27">
          <cell r="A27">
            <v>25</v>
          </cell>
          <cell r="B27" t="str">
            <v>input material problem</v>
          </cell>
          <cell r="C27" t="str">
            <v>Line audit</v>
          </cell>
          <cell r="D27" t="str">
            <v>Process Issue</v>
          </cell>
        </row>
        <row r="28">
          <cell r="A28">
            <v>26</v>
          </cell>
          <cell r="B28" t="str">
            <v>Face Clamping Not Ok</v>
          </cell>
          <cell r="C28" t="str">
            <v xml:space="preserve">Due to machine </v>
          </cell>
          <cell r="D28" t="str">
            <v>process</v>
          </cell>
        </row>
        <row r="29">
          <cell r="A29">
            <v>27</v>
          </cell>
          <cell r="B29" t="str">
            <v>Insert veriation</v>
          </cell>
          <cell r="C29" t="str">
            <v>Insert veriation</v>
          </cell>
          <cell r="D29" t="str">
            <v>process</v>
          </cell>
        </row>
        <row r="30">
          <cell r="A30">
            <v>28</v>
          </cell>
          <cell r="B30" t="str">
            <v>Kept inside on m/c</v>
          </cell>
          <cell r="C30" t="str">
            <v>Due to operator</v>
          </cell>
          <cell r="D30" t="str">
            <v>Attitude</v>
          </cell>
        </row>
        <row r="31">
          <cell r="A31">
            <v>29</v>
          </cell>
          <cell r="B31" t="str">
            <v>Lug Step</v>
          </cell>
          <cell r="C31" t="str">
            <v xml:space="preserve">Due to machine </v>
          </cell>
          <cell r="D31" t="str">
            <v>process</v>
          </cell>
        </row>
        <row r="32">
          <cell r="A32">
            <v>30</v>
          </cell>
          <cell r="B32" t="str">
            <v>M/C Accident</v>
          </cell>
          <cell r="C32" t="str">
            <v xml:space="preserve">Due to machine </v>
          </cell>
          <cell r="D32" t="str">
            <v>process</v>
          </cell>
        </row>
        <row r="33">
          <cell r="A33">
            <v>31</v>
          </cell>
          <cell r="B33" t="str">
            <v>m/c under trail</v>
          </cell>
          <cell r="C33" t="str">
            <v>Prod Declared</v>
          </cell>
          <cell r="D33" t="str">
            <v>Machine Breakdown</v>
          </cell>
        </row>
        <row r="34">
          <cell r="A34">
            <v>32</v>
          </cell>
          <cell r="B34" t="str">
            <v>Machine properly correction not accapted</v>
          </cell>
          <cell r="C34" t="str">
            <v xml:space="preserve">Due to machine </v>
          </cell>
          <cell r="D34" t="str">
            <v>process</v>
          </cell>
        </row>
        <row r="35">
          <cell r="A35">
            <v>33</v>
          </cell>
          <cell r="B35" t="str">
            <v>Maintanance trial</v>
          </cell>
          <cell r="C35" t="str">
            <v xml:space="preserve">Due to machine </v>
          </cell>
          <cell r="D35" t="str">
            <v>process</v>
          </cell>
        </row>
        <row r="36">
          <cell r="A36">
            <v>34</v>
          </cell>
          <cell r="B36" t="str">
            <v>Maintanance trial marpose problem</v>
          </cell>
          <cell r="C36" t="str">
            <v xml:space="preserve">Due to machine </v>
          </cell>
          <cell r="D36" t="str">
            <v>process</v>
          </cell>
        </row>
        <row r="37">
          <cell r="A37">
            <v>35</v>
          </cell>
          <cell r="B37" t="str">
            <v>Maintanance work</v>
          </cell>
          <cell r="C37" t="str">
            <v xml:space="preserve">Due to machine </v>
          </cell>
          <cell r="D37" t="str">
            <v>process</v>
          </cell>
        </row>
        <row r="38">
          <cell r="A38">
            <v>36</v>
          </cell>
          <cell r="B38" t="str">
            <v>Marpose disturb</v>
          </cell>
          <cell r="C38" t="str">
            <v xml:space="preserve">Due to machine </v>
          </cell>
          <cell r="D38" t="str">
            <v>process</v>
          </cell>
        </row>
        <row r="39">
          <cell r="A39">
            <v>37</v>
          </cell>
          <cell r="B39" t="str">
            <v>new wheel trial</v>
          </cell>
          <cell r="C39" t="str">
            <v>Prod Declared</v>
          </cell>
          <cell r="D39" t="str">
            <v>Setup Rejection</v>
          </cell>
        </row>
        <row r="40">
          <cell r="A40">
            <v>38</v>
          </cell>
          <cell r="B40" t="str">
            <v>Oil level low</v>
          </cell>
          <cell r="C40" t="str">
            <v xml:space="preserve">Due to machine </v>
          </cell>
          <cell r="D40" t="str">
            <v>process</v>
          </cell>
        </row>
        <row r="41">
          <cell r="A41">
            <v>39</v>
          </cell>
          <cell r="B41" t="str">
            <v>Oil/Coolent off in running m/c</v>
          </cell>
          <cell r="C41" t="str">
            <v xml:space="preserve">Due to machine </v>
          </cell>
          <cell r="D41" t="str">
            <v>process</v>
          </cell>
        </row>
        <row r="42">
          <cell r="A42">
            <v>40</v>
          </cell>
          <cell r="B42" t="str">
            <v>OLD part</v>
          </cell>
          <cell r="C42" t="str">
            <v>Prod Declared</v>
          </cell>
          <cell r="D42" t="str">
            <v>Process Issue</v>
          </cell>
        </row>
        <row r="43">
          <cell r="A43">
            <v>41</v>
          </cell>
          <cell r="B43" t="str">
            <v>Part center dent</v>
          </cell>
          <cell r="C43" t="str">
            <v xml:space="preserve">Due to machine </v>
          </cell>
          <cell r="D43" t="str">
            <v>process</v>
          </cell>
        </row>
        <row r="44">
          <cell r="A44">
            <v>42</v>
          </cell>
          <cell r="B44" t="str">
            <v>part not checked by operator</v>
          </cell>
          <cell r="C44" t="str">
            <v>Line audit</v>
          </cell>
          <cell r="D44" t="str">
            <v>Process Issue</v>
          </cell>
        </row>
        <row r="45">
          <cell r="A45">
            <v>43</v>
          </cell>
          <cell r="B45" t="str">
            <v xml:space="preserve">Part properly not clamp by operator </v>
          </cell>
          <cell r="C45" t="str">
            <v>Due to operator</v>
          </cell>
          <cell r="D45" t="str">
            <v>process</v>
          </cell>
        </row>
        <row r="46">
          <cell r="A46">
            <v>44</v>
          </cell>
          <cell r="B46" t="str">
            <v xml:space="preserve">Power cut </v>
          </cell>
          <cell r="C46" t="str">
            <v>Prod Declared</v>
          </cell>
          <cell r="D46" t="str">
            <v>Process Issue</v>
          </cell>
        </row>
        <row r="47">
          <cell r="A47">
            <v>45</v>
          </cell>
          <cell r="B47" t="str">
            <v>Running m/c</v>
          </cell>
          <cell r="C47" t="str">
            <v xml:space="preserve">Due to machine </v>
          </cell>
          <cell r="D47" t="str">
            <v>process</v>
          </cell>
        </row>
        <row r="48">
          <cell r="A48">
            <v>46</v>
          </cell>
          <cell r="B48" t="str">
            <v>Running m/c power off</v>
          </cell>
          <cell r="C48" t="str">
            <v xml:space="preserve">Due to machine </v>
          </cell>
          <cell r="D48" t="str">
            <v>process</v>
          </cell>
        </row>
        <row r="49">
          <cell r="A49">
            <v>47</v>
          </cell>
          <cell r="B49" t="str">
            <v>Running m/c stop</v>
          </cell>
          <cell r="C49" t="str">
            <v xml:space="preserve">Due to machine </v>
          </cell>
          <cell r="D49" t="str">
            <v>process</v>
          </cell>
        </row>
        <row r="50">
          <cell r="A50">
            <v>48</v>
          </cell>
          <cell r="B50" t="str">
            <v>Running m/c wheel off</v>
          </cell>
          <cell r="C50" t="str">
            <v xml:space="preserve">Due to machine </v>
          </cell>
          <cell r="D50" t="str">
            <v>process</v>
          </cell>
        </row>
        <row r="51">
          <cell r="A51">
            <v>49</v>
          </cell>
          <cell r="B51" t="str">
            <v xml:space="preserve">Rust </v>
          </cell>
          <cell r="C51" t="str">
            <v>Due to operator</v>
          </cell>
          <cell r="D51" t="str">
            <v>process</v>
          </cell>
        </row>
        <row r="52">
          <cell r="A52">
            <v>50</v>
          </cell>
          <cell r="B52" t="str">
            <v>Shift start part</v>
          </cell>
          <cell r="C52" t="str">
            <v xml:space="preserve">Due to machine </v>
          </cell>
          <cell r="D52" t="str">
            <v>process</v>
          </cell>
        </row>
        <row r="53">
          <cell r="A53">
            <v>51</v>
          </cell>
          <cell r="B53" t="str">
            <v>Size veriation on m/c</v>
          </cell>
          <cell r="C53" t="str">
            <v xml:space="preserve">Due to machine </v>
          </cell>
          <cell r="D53" t="str">
            <v>process</v>
          </cell>
        </row>
        <row r="54">
          <cell r="A54">
            <v>52</v>
          </cell>
          <cell r="B54" t="str">
            <v>Tapper problem during correction time</v>
          </cell>
          <cell r="C54" t="str">
            <v xml:space="preserve">Due to machine </v>
          </cell>
          <cell r="D54" t="str">
            <v>process</v>
          </cell>
        </row>
        <row r="55">
          <cell r="A55">
            <v>53</v>
          </cell>
          <cell r="B55" t="str">
            <v>tool broken</v>
          </cell>
          <cell r="C55" t="str">
            <v>Line audit</v>
          </cell>
          <cell r="D55" t="str">
            <v>Process Issue</v>
          </cell>
        </row>
        <row r="56">
          <cell r="A56">
            <v>54</v>
          </cell>
          <cell r="B56" t="str">
            <v xml:space="preserve">Trail  rejection </v>
          </cell>
          <cell r="C56" t="str">
            <v xml:space="preserve">Due to machine </v>
          </cell>
          <cell r="D56" t="str">
            <v>process</v>
          </cell>
        </row>
        <row r="57">
          <cell r="A57">
            <v>55</v>
          </cell>
          <cell r="B57" t="str">
            <v>Wear out tool use</v>
          </cell>
          <cell r="C57" t="str">
            <v>Line audit</v>
          </cell>
          <cell r="D57" t="str">
            <v>Process Issue</v>
          </cell>
        </row>
        <row r="58">
          <cell r="A58">
            <v>56</v>
          </cell>
        </row>
        <row r="59">
          <cell r="A59">
            <v>57</v>
          </cell>
          <cell r="B59" t="str">
            <v>wheel consume</v>
          </cell>
          <cell r="C59" t="str">
            <v>Line audit</v>
          </cell>
          <cell r="D59" t="str">
            <v>Process Issue</v>
          </cell>
        </row>
        <row r="60">
          <cell r="A60">
            <v>58</v>
          </cell>
          <cell r="B60" t="str">
            <v xml:space="preserve">wheel desh </v>
          </cell>
          <cell r="C60" t="str">
            <v xml:space="preserve">Due to machine </v>
          </cell>
          <cell r="D60" t="str">
            <v>process</v>
          </cell>
        </row>
        <row r="61">
          <cell r="A61">
            <v>59</v>
          </cell>
          <cell r="B61" t="str">
            <v>Wheel Glaze</v>
          </cell>
          <cell r="C61" t="str">
            <v xml:space="preserve">Due to machine </v>
          </cell>
          <cell r="D61" t="str">
            <v>process</v>
          </cell>
        </row>
        <row r="62">
          <cell r="A62">
            <v>60</v>
          </cell>
          <cell r="B62" t="str">
            <v>Wheel stop m/c not move to backword</v>
          </cell>
          <cell r="C62" t="str">
            <v xml:space="preserve">Due to machine </v>
          </cell>
          <cell r="D62" t="str">
            <v>process</v>
          </cell>
        </row>
        <row r="63">
          <cell r="A63">
            <v>61</v>
          </cell>
          <cell r="B63" t="str">
            <v>Without marpose m/c run</v>
          </cell>
          <cell r="C63" t="str">
            <v xml:space="preserve">Due to Settup  </v>
          </cell>
          <cell r="D63" t="str">
            <v>Attitude</v>
          </cell>
        </row>
        <row r="64">
          <cell r="A64">
            <v>62</v>
          </cell>
          <cell r="B64" t="str">
            <v>Work head  not working</v>
          </cell>
          <cell r="C64" t="str">
            <v xml:space="preserve">Due to machine </v>
          </cell>
          <cell r="D64" t="str">
            <v>process</v>
          </cell>
        </row>
        <row r="65">
          <cell r="A65">
            <v>63</v>
          </cell>
          <cell r="B65" t="str">
            <v>Worked bolt broken</v>
          </cell>
          <cell r="C65" t="str">
            <v xml:space="preserve">Due to tool broken </v>
          </cell>
          <cell r="D65" t="str">
            <v>process</v>
          </cell>
        </row>
        <row r="66">
          <cell r="A66">
            <v>64</v>
          </cell>
          <cell r="B66" t="str">
            <v>Wrong correction</v>
          </cell>
          <cell r="C66" t="str">
            <v>Due to operator</v>
          </cell>
          <cell r="D66" t="str">
            <v>skill</v>
          </cell>
        </row>
        <row r="67">
          <cell r="A67">
            <v>65</v>
          </cell>
          <cell r="B67" t="str">
            <v>wrong gauge use</v>
          </cell>
          <cell r="C67" t="str">
            <v>Line audit</v>
          </cell>
          <cell r="D67" t="str">
            <v>Process Issue</v>
          </cell>
        </row>
        <row r="68">
          <cell r="A68">
            <v>66</v>
          </cell>
          <cell r="B68" t="str">
            <v>Wrong Loading</v>
          </cell>
          <cell r="C68" t="str">
            <v>Due to operator</v>
          </cell>
          <cell r="D68" t="str">
            <v>skill</v>
          </cell>
        </row>
        <row r="69">
          <cell r="A69">
            <v>67</v>
          </cell>
          <cell r="B69" t="str">
            <v>Dent on Mop master</v>
          </cell>
          <cell r="C69" t="str">
            <v>Due to operator</v>
          </cell>
          <cell r="D69" t="str">
            <v>skill</v>
          </cell>
        </row>
        <row r="70">
          <cell r="A70">
            <v>68</v>
          </cell>
          <cell r="B70" t="str">
            <v>Step height not Ok</v>
          </cell>
          <cell r="C70" t="str">
            <v>Due to operator</v>
          </cell>
          <cell r="D70" t="str">
            <v>skill</v>
          </cell>
        </row>
        <row r="71">
          <cell r="A71">
            <v>69</v>
          </cell>
          <cell r="B71" t="str">
            <v>Bush Dolly Not OK</v>
          </cell>
          <cell r="C71" t="str">
            <v>Line audit</v>
          </cell>
          <cell r="D71" t="str">
            <v>Process Issue</v>
          </cell>
        </row>
        <row r="72">
          <cell r="A72">
            <v>70</v>
          </cell>
          <cell r="B72" t="str">
            <v>Insert Wear Out</v>
          </cell>
          <cell r="C72" t="str">
            <v>Line audit</v>
          </cell>
          <cell r="D72" t="str">
            <v>Process Issue</v>
          </cell>
        </row>
        <row r="73">
          <cell r="A73">
            <v>71</v>
          </cell>
          <cell r="B73" t="str">
            <v>Due to teeth Dent</v>
          </cell>
          <cell r="C73" t="str">
            <v>Due to operator</v>
          </cell>
          <cell r="D73" t="str">
            <v>Attitude</v>
          </cell>
        </row>
        <row r="74">
          <cell r="A74">
            <v>72</v>
          </cell>
          <cell r="B74" t="str">
            <v>Due to Profile Dent</v>
          </cell>
          <cell r="C74" t="str">
            <v>Due to operator</v>
          </cell>
          <cell r="D74" t="str">
            <v>Attitude</v>
          </cell>
        </row>
        <row r="75">
          <cell r="A75">
            <v>73</v>
          </cell>
          <cell r="B75" t="str">
            <v>Due to Auto Correction Malfunction</v>
          </cell>
          <cell r="C75" t="str">
            <v>Line audit</v>
          </cell>
          <cell r="D75" t="str">
            <v>Process Issue</v>
          </cell>
        </row>
        <row r="76">
          <cell r="A76">
            <v>74</v>
          </cell>
          <cell r="B76" t="str">
            <v>Bush O/S</v>
          </cell>
          <cell r="C76" t="str">
            <v>Line audit</v>
          </cell>
          <cell r="D76" t="str">
            <v>Process Issue</v>
          </cell>
        </row>
        <row r="77">
          <cell r="A77">
            <v>75</v>
          </cell>
          <cell r="B77" t="str">
            <v>Seat Check Sensor Not Working</v>
          </cell>
          <cell r="C77" t="str">
            <v>Line audit</v>
          </cell>
          <cell r="D77" t="str">
            <v>Process Issue</v>
          </cell>
        </row>
      </sheetData>
      <sheetData sheetId="4">
        <row r="2">
          <cell r="A2" t="str">
            <v>Code</v>
          </cell>
          <cell r="B2" t="str">
            <v>Defect</v>
          </cell>
          <cell r="C2" t="str">
            <v xml:space="preserve">Sap code  </v>
          </cell>
        </row>
        <row r="3">
          <cell r="A3">
            <v>1</v>
          </cell>
          <cell r="B3" t="str">
            <v>Assembly not ok</v>
          </cell>
          <cell r="D3" t="str">
            <v xml:space="preserve">Product compliance </v>
          </cell>
        </row>
        <row r="4">
          <cell r="A4">
            <v>2</v>
          </cell>
          <cell r="B4" t="str">
            <v xml:space="preserve">Bore chatring </v>
          </cell>
          <cell r="C4">
            <v>0</v>
          </cell>
          <cell r="D4" t="str">
            <v xml:space="preserve">Product compliance </v>
          </cell>
        </row>
        <row r="5">
          <cell r="A5">
            <v>3</v>
          </cell>
          <cell r="B5" t="str">
            <v>Bore damage</v>
          </cell>
          <cell r="D5" t="str">
            <v xml:space="preserve">Product compliance </v>
          </cell>
        </row>
        <row r="6">
          <cell r="A6">
            <v>4</v>
          </cell>
          <cell r="B6" t="str">
            <v>Bore Less Metal</v>
          </cell>
          <cell r="C6">
            <v>3260</v>
          </cell>
          <cell r="D6" t="str">
            <v xml:space="preserve">Product compliance </v>
          </cell>
        </row>
        <row r="7">
          <cell r="A7">
            <v>5</v>
          </cell>
          <cell r="B7" t="str">
            <v>Bore Over size</v>
          </cell>
          <cell r="C7">
            <v>3243</v>
          </cell>
          <cell r="D7" t="str">
            <v xml:space="preserve">Product compliance </v>
          </cell>
        </row>
        <row r="8">
          <cell r="A8">
            <v>6</v>
          </cell>
          <cell r="B8" t="str">
            <v xml:space="preserve">Bore Over size in Ovality </v>
          </cell>
          <cell r="C8">
            <v>3277</v>
          </cell>
          <cell r="D8" t="str">
            <v xml:space="preserve">Product compliance </v>
          </cell>
        </row>
        <row r="9">
          <cell r="A9">
            <v>7</v>
          </cell>
          <cell r="B9" t="str">
            <v>Bore RA out part</v>
          </cell>
          <cell r="D9" t="str">
            <v xml:space="preserve">Product compliance </v>
          </cell>
        </row>
        <row r="10">
          <cell r="A10">
            <v>8</v>
          </cell>
          <cell r="B10" t="str">
            <v>Bore step part</v>
          </cell>
          <cell r="D10" t="str">
            <v xml:space="preserve">Product compliance </v>
          </cell>
        </row>
        <row r="11">
          <cell r="A11">
            <v>9</v>
          </cell>
          <cell r="B11" t="str">
            <v>Bore taper</v>
          </cell>
          <cell r="D11" t="str">
            <v xml:space="preserve">Product compliance </v>
          </cell>
        </row>
        <row r="12">
          <cell r="A12">
            <v>10</v>
          </cell>
          <cell r="B12" t="str">
            <v xml:space="preserve">Bore u/s </v>
          </cell>
          <cell r="C12">
            <v>0</v>
          </cell>
          <cell r="D12" t="str">
            <v xml:space="preserve">Product compliance </v>
          </cell>
        </row>
        <row r="13">
          <cell r="A13">
            <v>12</v>
          </cell>
          <cell r="B13" t="str">
            <v>Boring bar condition not ok</v>
          </cell>
          <cell r="D13" t="str">
            <v>Tooling compliance (Boring bar,Insert,face clamping,PCD pin not ok)</v>
          </cell>
        </row>
        <row r="14">
          <cell r="A14">
            <v>13</v>
          </cell>
          <cell r="B14" t="str">
            <v>Burn</v>
          </cell>
          <cell r="D14" t="str">
            <v xml:space="preserve">Product compliance </v>
          </cell>
        </row>
        <row r="15">
          <cell r="A15">
            <v>14</v>
          </cell>
          <cell r="B15" t="str">
            <v>Bush damage</v>
          </cell>
          <cell r="D15" t="str">
            <v xml:space="preserve">Product compliance </v>
          </cell>
        </row>
        <row r="16">
          <cell r="A16">
            <v>15</v>
          </cell>
          <cell r="B16" t="str">
            <v>Bush flering</v>
          </cell>
          <cell r="D16" t="str">
            <v xml:space="preserve">Product compliance </v>
          </cell>
        </row>
        <row r="17">
          <cell r="A17">
            <v>16</v>
          </cell>
          <cell r="B17" t="str">
            <v>Bush length over size</v>
          </cell>
          <cell r="D17" t="str">
            <v xml:space="preserve">Product compliance </v>
          </cell>
        </row>
        <row r="18">
          <cell r="A18">
            <v>17</v>
          </cell>
          <cell r="B18" t="str">
            <v>Bush length undersize</v>
          </cell>
          <cell r="D18" t="str">
            <v xml:space="preserve">Product compliance </v>
          </cell>
        </row>
        <row r="19">
          <cell r="A19">
            <v>18</v>
          </cell>
          <cell r="B19" t="str">
            <v>Bush less metal</v>
          </cell>
          <cell r="D19" t="str">
            <v xml:space="preserve">Product compliance </v>
          </cell>
        </row>
        <row r="20">
          <cell r="A20">
            <v>19</v>
          </cell>
          <cell r="B20" t="str">
            <v xml:space="preserve">Bush not ok </v>
          </cell>
          <cell r="C20">
            <v>3252</v>
          </cell>
          <cell r="D20" t="str">
            <v xml:space="preserve">Product compliance </v>
          </cell>
        </row>
        <row r="21">
          <cell r="A21">
            <v>20</v>
          </cell>
          <cell r="B21" t="str">
            <v>Bush press dolly not ok</v>
          </cell>
          <cell r="D21" t="str">
            <v>Tooling compliance (Boring bar,Insert,face clamping,PCD pin not ok)</v>
          </cell>
        </row>
        <row r="22">
          <cell r="A22">
            <v>21</v>
          </cell>
          <cell r="B22" t="str">
            <v>Bush Reject of defective part</v>
          </cell>
          <cell r="D22" t="str">
            <v xml:space="preserve">Product compliance </v>
          </cell>
        </row>
        <row r="23">
          <cell r="A23">
            <v>22</v>
          </cell>
          <cell r="B23" t="str">
            <v>Bush scretch</v>
          </cell>
          <cell r="D23" t="str">
            <v xml:space="preserve">Product compliance </v>
          </cell>
        </row>
        <row r="24">
          <cell r="A24">
            <v>11</v>
          </cell>
          <cell r="B24" t="str">
            <v>Bush tapper</v>
          </cell>
          <cell r="D24" t="str">
            <v xml:space="preserve">Product compliance </v>
          </cell>
        </row>
        <row r="25">
          <cell r="A25">
            <v>23</v>
          </cell>
          <cell r="B25" t="str">
            <v>Chamfer not ok</v>
          </cell>
          <cell r="C25">
            <v>3272</v>
          </cell>
          <cell r="D25" t="str">
            <v xml:space="preserve">Product compliance </v>
          </cell>
        </row>
        <row r="26">
          <cell r="A26">
            <v>24</v>
          </cell>
          <cell r="B26" t="str">
            <v>Circlip groove dist.U/S,O/S</v>
          </cell>
          <cell r="C26">
            <v>3266</v>
          </cell>
          <cell r="D26" t="str">
            <v xml:space="preserve">Product compliance </v>
          </cell>
        </row>
        <row r="27">
          <cell r="A27">
            <v>25</v>
          </cell>
          <cell r="B27" t="str">
            <v>Coller thickness under size</v>
          </cell>
          <cell r="D27" t="str">
            <v xml:space="preserve">Product compliance </v>
          </cell>
        </row>
        <row r="28">
          <cell r="A28">
            <v>26</v>
          </cell>
          <cell r="B28" t="str">
            <v xml:space="preserve">concentricity out </v>
          </cell>
          <cell r="C28">
            <v>3268</v>
          </cell>
          <cell r="D28" t="str">
            <v xml:space="preserve">Product compliance </v>
          </cell>
        </row>
        <row r="29">
          <cell r="A29">
            <v>27</v>
          </cell>
          <cell r="B29" t="str">
            <v>Counter hole heavy burr part</v>
          </cell>
          <cell r="D29" t="str">
            <v xml:space="preserve">Product compliance </v>
          </cell>
        </row>
        <row r="30">
          <cell r="A30">
            <v>28</v>
          </cell>
          <cell r="B30" t="str">
            <v>Damage gauge use</v>
          </cell>
          <cell r="D30" t="str">
            <v>Gauge compliance</v>
          </cell>
        </row>
        <row r="31">
          <cell r="A31">
            <v>29</v>
          </cell>
          <cell r="B31" t="str">
            <v xml:space="preserve">Diafram not ok </v>
          </cell>
          <cell r="D31" t="str">
            <v>Tooling compliance (Boring bar,Insert,face clamping,PCD pin not ok)</v>
          </cell>
        </row>
        <row r="32">
          <cell r="A32">
            <v>30</v>
          </cell>
          <cell r="B32" t="str">
            <v xml:space="preserve">Dot drill not ok </v>
          </cell>
          <cell r="D32" t="str">
            <v>Tooling compliance (Boring bar,Insert,face clamping,PCD pin not ok)</v>
          </cell>
        </row>
        <row r="33">
          <cell r="A33">
            <v>31</v>
          </cell>
          <cell r="B33" t="str">
            <v>Thread double cut</v>
          </cell>
          <cell r="D33" t="str">
            <v xml:space="preserve">Product compliance </v>
          </cell>
        </row>
        <row r="34">
          <cell r="A34">
            <v>32</v>
          </cell>
          <cell r="B34" t="str">
            <v>Double Dot Punching</v>
          </cell>
          <cell r="D34" t="str">
            <v xml:space="preserve">Product compliance </v>
          </cell>
        </row>
        <row r="35">
          <cell r="A35">
            <v>33</v>
          </cell>
          <cell r="B35" t="str">
            <v>Double finishing</v>
          </cell>
          <cell r="D35" t="str">
            <v xml:space="preserve">Product compliance </v>
          </cell>
        </row>
        <row r="36">
          <cell r="A36">
            <v>34</v>
          </cell>
          <cell r="B36" t="str">
            <v>Dowel hole not ok</v>
          </cell>
          <cell r="C36">
            <v>3221</v>
          </cell>
          <cell r="D36" t="str">
            <v xml:space="preserve">Product compliance </v>
          </cell>
        </row>
        <row r="37">
          <cell r="A37">
            <v>35</v>
          </cell>
          <cell r="B37" t="str">
            <v>Drill not ok</v>
          </cell>
          <cell r="D37" t="str">
            <v xml:space="preserve">Product compliance </v>
          </cell>
        </row>
        <row r="38">
          <cell r="A38">
            <v>100</v>
          </cell>
          <cell r="B38" t="str">
            <v xml:space="preserve">Effective dia Thread o/s </v>
          </cell>
          <cell r="C38">
            <v>0</v>
          </cell>
          <cell r="D38" t="str">
            <v xml:space="preserve">Product compliance </v>
          </cell>
        </row>
        <row r="39">
          <cell r="A39">
            <v>36</v>
          </cell>
          <cell r="B39" t="str">
            <v>Effective dia u/s part</v>
          </cell>
          <cell r="D39" t="str">
            <v xml:space="preserve">Product compliance </v>
          </cell>
        </row>
        <row r="40">
          <cell r="A40">
            <v>37</v>
          </cell>
          <cell r="B40" t="str">
            <v>Face chatring</v>
          </cell>
          <cell r="D40" t="str">
            <v xml:space="preserve">Product compliance </v>
          </cell>
        </row>
        <row r="41">
          <cell r="A41">
            <v>38</v>
          </cell>
          <cell r="B41" t="str">
            <v>Face clamping not ok</v>
          </cell>
          <cell r="D41" t="str">
            <v>Tooling compliance (Boring bar,Insert,face clamping,PCD pin not ok)</v>
          </cell>
        </row>
        <row r="42">
          <cell r="A42">
            <v>39</v>
          </cell>
          <cell r="B42" t="str">
            <v>Face cut</v>
          </cell>
          <cell r="C42">
            <v>3245</v>
          </cell>
          <cell r="D42" t="str">
            <v xml:space="preserve">Product compliance </v>
          </cell>
        </row>
        <row r="43">
          <cell r="A43">
            <v>40</v>
          </cell>
          <cell r="B43" t="str">
            <v>FACE Damage</v>
          </cell>
          <cell r="C43">
            <v>3229</v>
          </cell>
          <cell r="D43" t="str">
            <v xml:space="preserve">Product compliance </v>
          </cell>
        </row>
        <row r="44">
          <cell r="A44">
            <v>41</v>
          </cell>
          <cell r="B44" t="str">
            <v>Face Less metal</v>
          </cell>
          <cell r="C44">
            <v>3259</v>
          </cell>
          <cell r="D44" t="str">
            <v xml:space="preserve">Product compliance </v>
          </cell>
        </row>
        <row r="45">
          <cell r="A45">
            <v>42</v>
          </cell>
          <cell r="B45" t="str">
            <v>Face paralism out part</v>
          </cell>
          <cell r="D45" t="str">
            <v xml:space="preserve">Product compliance </v>
          </cell>
        </row>
        <row r="46">
          <cell r="A46">
            <v>43</v>
          </cell>
          <cell r="B46" t="str">
            <v>Face r/o more</v>
          </cell>
          <cell r="C46">
            <v>3262</v>
          </cell>
          <cell r="D46" t="str">
            <v xml:space="preserve">Product compliance </v>
          </cell>
        </row>
        <row r="47">
          <cell r="A47">
            <v>44</v>
          </cell>
          <cell r="B47" t="str">
            <v>Face RA out part</v>
          </cell>
          <cell r="D47" t="str">
            <v xml:space="preserve">Product compliance </v>
          </cell>
        </row>
        <row r="48">
          <cell r="A48">
            <v>45</v>
          </cell>
          <cell r="B48" t="str">
            <v>Face step part</v>
          </cell>
          <cell r="D48" t="str">
            <v xml:space="preserve">Product compliance </v>
          </cell>
        </row>
        <row r="49">
          <cell r="A49">
            <v>46</v>
          </cell>
          <cell r="B49" t="str">
            <v>Face under cut part</v>
          </cell>
          <cell r="D49" t="str">
            <v xml:space="preserve">Product compliance </v>
          </cell>
        </row>
        <row r="50">
          <cell r="A50">
            <v>47</v>
          </cell>
          <cell r="B50" t="str">
            <v>Feed mark part</v>
          </cell>
          <cell r="D50" t="str">
            <v xml:space="preserve">Product compliance </v>
          </cell>
        </row>
        <row r="51">
          <cell r="A51">
            <v>48</v>
          </cell>
          <cell r="B51" t="str">
            <v>Heavy Dot Punching</v>
          </cell>
          <cell r="C51">
            <v>3246</v>
          </cell>
          <cell r="D51" t="str">
            <v xml:space="preserve">Product compliance </v>
          </cell>
        </row>
        <row r="52">
          <cell r="A52">
            <v>50</v>
          </cell>
          <cell r="B52" t="str">
            <v>Insert condition not ok</v>
          </cell>
          <cell r="D52" t="str">
            <v>Tooling compliance (Boring bar,Insert,face clamping,PCD pin not ok)</v>
          </cell>
        </row>
        <row r="53">
          <cell r="A53">
            <v>51</v>
          </cell>
          <cell r="B53" t="str">
            <v xml:space="preserve">Lead profile not ok </v>
          </cell>
          <cell r="D53" t="str">
            <v>LP graph compliance</v>
          </cell>
        </row>
        <row r="54">
          <cell r="A54">
            <v>52</v>
          </cell>
          <cell r="B54" t="str">
            <v xml:space="preserve">Light dot punching </v>
          </cell>
          <cell r="C54">
            <v>0</v>
          </cell>
          <cell r="D54" t="str">
            <v xml:space="preserve">Product compliance </v>
          </cell>
        </row>
        <row r="55">
          <cell r="A55">
            <v>53</v>
          </cell>
          <cell r="B55" t="str">
            <v>Locating pin condition not ok</v>
          </cell>
          <cell r="D55" t="str">
            <v>Tooling compliance (Boring bar,Insert,face clamping,PCD pin not ok)</v>
          </cell>
        </row>
        <row r="56">
          <cell r="A56">
            <v>54</v>
          </cell>
          <cell r="B56" t="str">
            <v>Material handling not ok</v>
          </cell>
          <cell r="D56" t="str">
            <v>MHE compliance</v>
          </cell>
        </row>
        <row r="57">
          <cell r="A57">
            <v>55</v>
          </cell>
          <cell r="B57" t="str">
            <v>MOP o/s</v>
          </cell>
          <cell r="D57" t="str">
            <v xml:space="preserve">Product compliance </v>
          </cell>
        </row>
        <row r="58">
          <cell r="A58">
            <v>56</v>
          </cell>
          <cell r="B58" t="str">
            <v xml:space="preserve">MOP u/s </v>
          </cell>
          <cell r="C58">
            <v>3234</v>
          </cell>
          <cell r="D58" t="str">
            <v xml:space="preserve">Product compliance </v>
          </cell>
        </row>
        <row r="59">
          <cell r="A59">
            <v>57</v>
          </cell>
          <cell r="B59" t="str">
            <v>OD chatring</v>
          </cell>
          <cell r="D59" t="str">
            <v xml:space="preserve">Product compliance </v>
          </cell>
        </row>
        <row r="60">
          <cell r="A60">
            <v>58</v>
          </cell>
          <cell r="B60" t="str">
            <v>OD cut</v>
          </cell>
          <cell r="C60">
            <v>3245</v>
          </cell>
          <cell r="D60" t="str">
            <v xml:space="preserve">Product compliance </v>
          </cell>
        </row>
        <row r="61">
          <cell r="A61">
            <v>59</v>
          </cell>
          <cell r="B61" t="str">
            <v>OD Desh</v>
          </cell>
          <cell r="C61">
            <v>3245</v>
          </cell>
          <cell r="D61" t="str">
            <v xml:space="preserve">Product compliance </v>
          </cell>
        </row>
        <row r="62">
          <cell r="A62">
            <v>60</v>
          </cell>
          <cell r="B62" t="str">
            <v>OD less metal</v>
          </cell>
          <cell r="C62">
            <v>3261</v>
          </cell>
          <cell r="D62" t="str">
            <v xml:space="preserve">Product compliance </v>
          </cell>
        </row>
        <row r="63">
          <cell r="A63">
            <v>61</v>
          </cell>
          <cell r="B63" t="str">
            <v>Od o/s</v>
          </cell>
          <cell r="C63">
            <v>0</v>
          </cell>
          <cell r="D63" t="str">
            <v xml:space="preserve">Product compliance </v>
          </cell>
        </row>
        <row r="64">
          <cell r="A64">
            <v>62</v>
          </cell>
          <cell r="B64" t="str">
            <v>OD Ovality</v>
          </cell>
          <cell r="C64">
            <v>3281</v>
          </cell>
          <cell r="D64" t="str">
            <v xml:space="preserve">Product compliance </v>
          </cell>
        </row>
        <row r="65">
          <cell r="A65">
            <v>63</v>
          </cell>
          <cell r="B65" t="str">
            <v>OD RA out part</v>
          </cell>
          <cell r="D65" t="str">
            <v xml:space="preserve">Product compliance </v>
          </cell>
        </row>
        <row r="66">
          <cell r="A66">
            <v>64</v>
          </cell>
          <cell r="B66" t="str">
            <v xml:space="preserve">OD run out more </v>
          </cell>
          <cell r="C66">
            <v>3263</v>
          </cell>
          <cell r="D66" t="str">
            <v xml:space="preserve">Product compliance </v>
          </cell>
        </row>
        <row r="67">
          <cell r="A67">
            <v>65</v>
          </cell>
          <cell r="B67" t="str">
            <v>OD taper part</v>
          </cell>
          <cell r="D67" t="str">
            <v xml:space="preserve">Product compliance </v>
          </cell>
        </row>
        <row r="68">
          <cell r="A68">
            <v>66</v>
          </cell>
          <cell r="B68" t="str">
            <v>OD Under Size</v>
          </cell>
          <cell r="C68">
            <v>3242</v>
          </cell>
          <cell r="D68" t="str">
            <v xml:space="preserve">Product compliance </v>
          </cell>
        </row>
        <row r="69">
          <cell r="A69">
            <v>67</v>
          </cell>
          <cell r="B69" t="str">
            <v>ORG not ok</v>
          </cell>
          <cell r="D69" t="str">
            <v xml:space="preserve">Product compliance </v>
          </cell>
        </row>
        <row r="70">
          <cell r="A70">
            <v>68</v>
          </cell>
          <cell r="B70" t="str">
            <v>Over life tool use</v>
          </cell>
          <cell r="D70" t="str">
            <v>Tooling compliance (Boring bar,Insert,face clamping,PCD pin not ok)</v>
          </cell>
        </row>
        <row r="71">
          <cell r="A71">
            <v>69</v>
          </cell>
          <cell r="B71" t="str">
            <v>PCD pin condition not ok</v>
          </cell>
          <cell r="D71" t="str">
            <v>Tooling compliance (Boring bar,Insert,face clamping,PCD pin not ok)</v>
          </cell>
        </row>
        <row r="72">
          <cell r="A72">
            <v>70</v>
          </cell>
          <cell r="B72" t="str">
            <v>PCD R/O More</v>
          </cell>
          <cell r="C72">
            <v>3203</v>
          </cell>
          <cell r="D72" t="str">
            <v xml:space="preserve">Product compliance </v>
          </cell>
        </row>
        <row r="73">
          <cell r="A73">
            <v>71</v>
          </cell>
          <cell r="B73" t="str">
            <v>PG go not qualify</v>
          </cell>
          <cell r="D73" t="str">
            <v xml:space="preserve">Product compliance </v>
          </cell>
        </row>
        <row r="74">
          <cell r="A74">
            <v>72</v>
          </cell>
          <cell r="B74" t="str">
            <v xml:space="preserve">PG No Go pass </v>
          </cell>
          <cell r="D74" t="str">
            <v xml:space="preserve">Product compliance </v>
          </cell>
        </row>
        <row r="75">
          <cell r="A75">
            <v>73</v>
          </cell>
          <cell r="B75" t="str">
            <v>PG NO go pass (Bush Bore o/s)</v>
          </cell>
          <cell r="D75" t="str">
            <v xml:space="preserve">Product compliance </v>
          </cell>
        </row>
        <row r="76">
          <cell r="A76">
            <v>74</v>
          </cell>
          <cell r="B76" t="str">
            <v>Poka yoke sensor not ok</v>
          </cell>
          <cell r="D76" t="str">
            <v>Poka yoke compliance</v>
          </cell>
        </row>
        <row r="77">
          <cell r="A77">
            <v>75</v>
          </cell>
          <cell r="B77" t="str">
            <v>Position out</v>
          </cell>
          <cell r="C77">
            <v>3246</v>
          </cell>
          <cell r="D77" t="str">
            <v xml:space="preserve">Product compliance </v>
          </cell>
        </row>
        <row r="78">
          <cell r="A78">
            <v>76</v>
          </cell>
          <cell r="B78" t="str">
            <v>Resting not ok</v>
          </cell>
          <cell r="D78" t="str">
            <v>Tooling compliance (Boring bar,Insert,face clamping,PCD pin not ok)</v>
          </cell>
        </row>
        <row r="79">
          <cell r="A79">
            <v>77</v>
          </cell>
          <cell r="B79" t="str">
            <v>Rimmer not ok</v>
          </cell>
          <cell r="D79" t="str">
            <v>Tooling compliance (Boring bar,Insert,face clamping,PCD pin not ok)</v>
          </cell>
        </row>
        <row r="80">
          <cell r="A80">
            <v>78</v>
          </cell>
          <cell r="B80" t="str">
            <v>Root cut</v>
          </cell>
          <cell r="D80" t="str">
            <v xml:space="preserve">Product compliance </v>
          </cell>
        </row>
        <row r="81">
          <cell r="A81">
            <v>79</v>
          </cell>
          <cell r="B81" t="str">
            <v>Run chart not fillup</v>
          </cell>
          <cell r="D81" t="str">
            <v>Run chart compliance</v>
          </cell>
        </row>
        <row r="82">
          <cell r="A82">
            <v>80</v>
          </cell>
          <cell r="B82" t="str">
            <v xml:space="preserve">Rust </v>
          </cell>
          <cell r="C82">
            <v>0</v>
          </cell>
          <cell r="D82" t="str">
            <v xml:space="preserve">Product compliance </v>
          </cell>
        </row>
        <row r="83">
          <cell r="A83">
            <v>81</v>
          </cell>
          <cell r="B83" t="str">
            <v>Seat check sensor not working</v>
          </cell>
          <cell r="D83" t="str">
            <v>Seat check compliance</v>
          </cell>
        </row>
        <row r="84">
          <cell r="A84">
            <v>82</v>
          </cell>
          <cell r="B84" t="str">
            <v>Size variation in r/m</v>
          </cell>
          <cell r="D84" t="str">
            <v>Process compliance</v>
          </cell>
        </row>
        <row r="85">
          <cell r="A85">
            <v>83</v>
          </cell>
          <cell r="B85" t="str">
            <v>SPG not ok</v>
          </cell>
          <cell r="D85" t="str">
            <v xml:space="preserve">Product compliance </v>
          </cell>
        </row>
        <row r="86">
          <cell r="A86">
            <v>84</v>
          </cell>
          <cell r="B86" t="str">
            <v>Spline dent</v>
          </cell>
          <cell r="C86">
            <v>3253</v>
          </cell>
          <cell r="D86" t="str">
            <v xml:space="preserve">Product compliance </v>
          </cell>
        </row>
        <row r="87">
          <cell r="A87">
            <v>85</v>
          </cell>
          <cell r="B87" t="str">
            <v xml:space="preserve">Spline od u/s </v>
          </cell>
          <cell r="C87">
            <v>3252</v>
          </cell>
          <cell r="D87" t="str">
            <v xml:space="preserve">Product compliance </v>
          </cell>
        </row>
        <row r="88">
          <cell r="A88">
            <v>86</v>
          </cell>
          <cell r="B88" t="str">
            <v>Step on Bore</v>
          </cell>
          <cell r="C88">
            <v>3211</v>
          </cell>
          <cell r="D88" t="str">
            <v xml:space="preserve">Product compliance </v>
          </cell>
        </row>
        <row r="89">
          <cell r="A89">
            <v>87</v>
          </cell>
          <cell r="B89" t="str">
            <v>Step on face</v>
          </cell>
          <cell r="C89">
            <v>3229</v>
          </cell>
          <cell r="D89" t="str">
            <v xml:space="preserve">Product compliance </v>
          </cell>
        </row>
        <row r="90">
          <cell r="A90">
            <v>88</v>
          </cell>
          <cell r="B90" t="str">
            <v>Step on OD</v>
          </cell>
          <cell r="C90">
            <v>0</v>
          </cell>
          <cell r="D90" t="str">
            <v xml:space="preserve">Product compliance </v>
          </cell>
        </row>
        <row r="91">
          <cell r="A91">
            <v>89</v>
          </cell>
          <cell r="B91" t="str">
            <v>TCE out</v>
          </cell>
          <cell r="D91" t="str">
            <v xml:space="preserve">Product compliance </v>
          </cell>
        </row>
        <row r="92">
          <cell r="A92">
            <v>90</v>
          </cell>
          <cell r="B92" t="str">
            <v>Teeth chatring</v>
          </cell>
          <cell r="D92" t="str">
            <v xml:space="preserve">Product compliance </v>
          </cell>
        </row>
        <row r="93">
          <cell r="A93">
            <v>91</v>
          </cell>
          <cell r="B93" t="str">
            <v xml:space="preserve">Teeth dent </v>
          </cell>
          <cell r="C93">
            <v>3232</v>
          </cell>
          <cell r="D93" t="str">
            <v xml:space="preserve">Product compliance </v>
          </cell>
        </row>
        <row r="94">
          <cell r="A94">
            <v>92</v>
          </cell>
          <cell r="B94" t="str">
            <v xml:space="preserve">Teeth less matal </v>
          </cell>
          <cell r="C94">
            <v>3216</v>
          </cell>
          <cell r="D94" t="str">
            <v xml:space="preserve">Product compliance </v>
          </cell>
        </row>
        <row r="95">
          <cell r="A95">
            <v>49</v>
          </cell>
          <cell r="B95" t="str">
            <v>Thickness over size</v>
          </cell>
          <cell r="C95">
            <v>0</v>
          </cell>
          <cell r="D95" t="str">
            <v xml:space="preserve">Product compliance </v>
          </cell>
        </row>
        <row r="96">
          <cell r="A96">
            <v>93</v>
          </cell>
          <cell r="B96" t="str">
            <v>Thickness Under size</v>
          </cell>
          <cell r="C96">
            <v>3258</v>
          </cell>
          <cell r="D96" t="str">
            <v xml:space="preserve">Product compliance </v>
          </cell>
        </row>
        <row r="97">
          <cell r="A97">
            <v>94</v>
          </cell>
          <cell r="B97" t="str">
            <v>Thread Dent</v>
          </cell>
          <cell r="C97">
            <v>3251</v>
          </cell>
          <cell r="D97" t="str">
            <v xml:space="preserve">Product compliance </v>
          </cell>
        </row>
        <row r="98">
          <cell r="A98">
            <v>95</v>
          </cell>
          <cell r="B98" t="str">
            <v>Thread desh mark</v>
          </cell>
          <cell r="D98" t="str">
            <v xml:space="preserve">Product compliance </v>
          </cell>
        </row>
        <row r="99">
          <cell r="A99">
            <v>96</v>
          </cell>
          <cell r="B99" t="str">
            <v>Thread face cut part</v>
          </cell>
          <cell r="D99" t="str">
            <v xml:space="preserve">Product compliance </v>
          </cell>
        </row>
        <row r="100">
          <cell r="A100">
            <v>97</v>
          </cell>
          <cell r="B100" t="str">
            <v>Thread gauge not pass</v>
          </cell>
          <cell r="C100">
            <v>0</v>
          </cell>
          <cell r="D100" t="str">
            <v xml:space="preserve">Product compliance </v>
          </cell>
        </row>
        <row r="101">
          <cell r="A101">
            <v>98</v>
          </cell>
          <cell r="B101" t="str">
            <v>Thread length u/s part</v>
          </cell>
          <cell r="D101" t="str">
            <v xml:space="preserve">Product compliance </v>
          </cell>
        </row>
        <row r="102">
          <cell r="A102">
            <v>99</v>
          </cell>
          <cell r="B102" t="str">
            <v>Thread no go pass</v>
          </cell>
          <cell r="C102">
            <v>3250</v>
          </cell>
          <cell r="D102" t="str">
            <v xml:space="preserve">Product compliance </v>
          </cell>
        </row>
        <row r="103">
          <cell r="A103">
            <v>101</v>
          </cell>
          <cell r="B103" t="str">
            <v>Timing mark not ok</v>
          </cell>
          <cell r="D103" t="str">
            <v xml:space="preserve">Product compliance </v>
          </cell>
        </row>
        <row r="104">
          <cell r="A104">
            <v>103</v>
          </cell>
          <cell r="B104" t="str">
            <v xml:space="preserve">TTE out </v>
          </cell>
          <cell r="D104" t="str">
            <v xml:space="preserve">Product compliance </v>
          </cell>
        </row>
        <row r="105">
          <cell r="A105">
            <v>104</v>
          </cell>
          <cell r="B105" t="str">
            <v>Two bin system not follow</v>
          </cell>
          <cell r="D105" t="str">
            <v>Two bin system compliance</v>
          </cell>
        </row>
        <row r="106">
          <cell r="A106">
            <v>102</v>
          </cell>
          <cell r="B106" t="str">
            <v>Wear out tool use</v>
          </cell>
          <cell r="D106" t="str">
            <v>Tooling compliance (Boring bar,Insert,face clamping,PCD pin not ok)</v>
          </cell>
        </row>
        <row r="107">
          <cell r="A107">
            <v>105</v>
          </cell>
          <cell r="B107" t="str">
            <v>Without comitment mark part</v>
          </cell>
          <cell r="D107" t="str">
            <v xml:space="preserve">Product compliance </v>
          </cell>
        </row>
        <row r="108">
          <cell r="A108">
            <v>106</v>
          </cell>
          <cell r="B108" t="str">
            <v>Without control plan m/c run</v>
          </cell>
          <cell r="D108" t="str">
            <v>Control plan compliance</v>
          </cell>
        </row>
        <row r="109">
          <cell r="A109">
            <v>107</v>
          </cell>
          <cell r="B109" t="str">
            <v>Without filter paper m/c run</v>
          </cell>
          <cell r="D109" t="str">
            <v>Filter paper compliance</v>
          </cell>
        </row>
        <row r="110">
          <cell r="A110">
            <v>108</v>
          </cell>
          <cell r="B110" t="str">
            <v>Without height comparator m/c run</v>
          </cell>
          <cell r="D110" t="str">
            <v>Gauge compliance</v>
          </cell>
        </row>
        <row r="111">
          <cell r="A111">
            <v>109</v>
          </cell>
          <cell r="B111" t="str">
            <v>Without operation part</v>
          </cell>
          <cell r="D111" t="str">
            <v>Operator compliance</v>
          </cell>
        </row>
        <row r="112">
          <cell r="A112">
            <v>110</v>
          </cell>
          <cell r="B112" t="str">
            <v>Without APG m/c run</v>
          </cell>
          <cell r="D112" t="str">
            <v>Gauge compliance</v>
          </cell>
        </row>
        <row r="113">
          <cell r="A113">
            <v>111</v>
          </cell>
          <cell r="B113" t="str">
            <v>Without setting approval m/c run</v>
          </cell>
          <cell r="D113" t="str">
            <v>Setting approval compliance</v>
          </cell>
        </row>
        <row r="114">
          <cell r="A114">
            <v>112</v>
          </cell>
          <cell r="B114" t="str">
            <v>Wrong bush fitment</v>
          </cell>
          <cell r="D114" t="str">
            <v xml:space="preserve">Product compliance </v>
          </cell>
        </row>
        <row r="115">
          <cell r="A115">
            <v>113</v>
          </cell>
          <cell r="B115" t="str">
            <v>Wrong loading poka yoke not working</v>
          </cell>
          <cell r="D115" t="str">
            <v>Poka yoke compliance</v>
          </cell>
        </row>
        <row r="116">
          <cell r="A116">
            <v>114</v>
          </cell>
          <cell r="B116" t="str">
            <v>Turret air not working</v>
          </cell>
          <cell r="D116" t="str">
            <v>Process compliance</v>
          </cell>
        </row>
        <row r="117">
          <cell r="A117">
            <v>115</v>
          </cell>
          <cell r="B117" t="str">
            <v>Face lining</v>
          </cell>
          <cell r="D117" t="str">
            <v xml:space="preserve">Product compliance </v>
          </cell>
        </row>
        <row r="118">
          <cell r="A118">
            <v>116</v>
          </cell>
          <cell r="B118" t="str">
            <v>Lug Step</v>
          </cell>
          <cell r="D118" t="str">
            <v xml:space="preserve">Product compliance </v>
          </cell>
        </row>
        <row r="119">
          <cell r="A119">
            <v>117</v>
          </cell>
          <cell r="B119" t="str">
            <v>Gear Width O/S</v>
          </cell>
          <cell r="D119" t="str">
            <v xml:space="preserve">Product compliance </v>
          </cell>
        </row>
        <row r="120">
          <cell r="A120">
            <v>118</v>
          </cell>
          <cell r="B120" t="str">
            <v>Without oil Dipping Part</v>
          </cell>
          <cell r="D120" t="str">
            <v>Process compliance</v>
          </cell>
        </row>
        <row r="121">
          <cell r="A121">
            <v>119</v>
          </cell>
          <cell r="B121" t="str">
            <v>Wrong Gauge Use</v>
          </cell>
          <cell r="D121" t="str">
            <v>Process compliance</v>
          </cell>
        </row>
        <row r="122">
          <cell r="A122">
            <v>120</v>
          </cell>
          <cell r="B122" t="str">
            <v>Autonomous Check sheet Not Fill</v>
          </cell>
          <cell r="D122" t="str">
            <v>Process compliance</v>
          </cell>
        </row>
        <row r="123">
          <cell r="A123">
            <v>121</v>
          </cell>
          <cell r="B123" t="str">
            <v>Cycle Time Reduce By operator</v>
          </cell>
          <cell r="D123" t="str">
            <v>Process compliance</v>
          </cell>
        </row>
        <row r="124">
          <cell r="A124">
            <v>122</v>
          </cell>
          <cell r="B124" t="str">
            <v>Without Bush Part Found In Ok</v>
          </cell>
          <cell r="D124" t="str">
            <v xml:space="preserve">Product compliance </v>
          </cell>
        </row>
        <row r="125">
          <cell r="A125">
            <v>123</v>
          </cell>
          <cell r="B125" t="str">
            <v>Without Operator M/c Run</v>
          </cell>
          <cell r="D125" t="str">
            <v>Process compliance</v>
          </cell>
        </row>
        <row r="126">
          <cell r="A126">
            <v>124</v>
          </cell>
          <cell r="B126" t="str">
            <v>Face taper</v>
          </cell>
          <cell r="D126" t="str">
            <v xml:space="preserve">Product compliance </v>
          </cell>
        </row>
        <row r="127">
          <cell r="A127">
            <v>125</v>
          </cell>
          <cell r="B127" t="str">
            <v>OD Damage</v>
          </cell>
          <cell r="D127" t="str">
            <v xml:space="preserve">Product compliance </v>
          </cell>
        </row>
        <row r="128">
          <cell r="A128">
            <v>126</v>
          </cell>
          <cell r="B128" t="str">
            <v>Step Height Not Ok</v>
          </cell>
          <cell r="D128" t="str">
            <v xml:space="preserve">Product compliance </v>
          </cell>
        </row>
        <row r="129">
          <cell r="A129">
            <v>127</v>
          </cell>
          <cell r="B129" t="str">
            <v>Auto Correction Alarm Bypass</v>
          </cell>
          <cell r="D129" t="str">
            <v>Process compliance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jay Bopche" refreshedDate="45987.452290162037" createdVersion="6" refreshedVersion="6" minRefreshableVersion="3" recordCount="442">
  <cacheSource type="worksheet">
    <worksheetSource name="Table24"/>
  </cacheSource>
  <cacheFields count="25">
    <cacheField name="Sr No." numFmtId="0">
      <sharedItems containsSemiMixedTypes="0" containsString="0" containsNumber="1" containsInteger="1" minValue="1" maxValue="442"/>
    </cacheField>
    <cacheField name="Code" numFmtId="0">
      <sharedItems containsString="0" containsBlank="1" containsNumber="1" containsInteger="1" minValue="26" maxValue="87"/>
    </cacheField>
    <cacheField name="M/c No" numFmtId="0">
      <sharedItems containsMixedTypes="1" containsNumber="1" containsInteger="1" minValue="0" maxValue="0"/>
    </cacheField>
    <cacheField name="M/c Name" numFmtId="0">
      <sharedItems containsMixedTypes="1" containsNumber="1" containsInteger="1" minValue="0" maxValue="0"/>
    </cacheField>
    <cacheField name="Oprn." numFmtId="0">
      <sharedItems containsMixedTypes="1" containsNumber="1" containsInteger="1" minValue="0" maxValue="0"/>
    </cacheField>
    <cacheField name="Code2" numFmtId="0">
      <sharedItems containsString="0" containsBlank="1" containsNumber="1" containsInteger="1" minValue="28" maxValue="185"/>
    </cacheField>
    <cacheField name="Part No." numFmtId="0">
      <sharedItems containsSemiMixedTypes="0" containsString="0" containsNumber="1" containsInteger="1" minValue="0" maxValue="24185" count="13">
        <n v="2452"/>
        <n v="24154"/>
        <n v="24155"/>
        <n v="24122"/>
        <n v="2428"/>
        <n v="24152"/>
        <n v="2434"/>
        <n v="24185"/>
        <n v="24102"/>
        <n v="2472"/>
        <n v="2478"/>
        <n v="2477"/>
        <n v="0"/>
      </sharedItems>
    </cacheField>
    <cacheField name="Customer" numFmtId="0">
      <sharedItems containsMixedTypes="1" containsNumber="1" containsInteger="1" minValue="0" maxValue="0"/>
    </cacheField>
    <cacheField name="operator" numFmtId="0">
      <sharedItems containsBlank="1"/>
    </cacheField>
    <cacheField name="Code3" numFmtId="0">
      <sharedItems containsString="0" containsBlank="1" containsNumber="1" containsInteger="1" minValue="5" maxValue="103"/>
    </cacheField>
    <cacheField name="Non Conformance" numFmtId="0">
      <sharedItems containsMixedTypes="1" containsNumber="1" containsInteger="1" minValue="0" maxValue="0"/>
    </cacheField>
    <cacheField name="Date" numFmtId="0">
      <sharedItems containsBlank="1" count="34">
        <s v="01.11.25"/>
        <s v="02.11.25"/>
        <s v="03.11.25"/>
        <s v="04.11.25"/>
        <s v="05.11.25"/>
        <s v="06.11.25"/>
        <s v="07.11.25"/>
        <s v="08.11.25"/>
        <s v="09.11.25"/>
        <s v="10.11.25"/>
        <s v="11.11.25"/>
        <s v="12.11.25"/>
        <s v="13.11.25"/>
        <s v="14.11.25"/>
        <s v="15.11.25"/>
        <s v="16.11.25"/>
        <s v="17.11.25"/>
        <s v="18.11.25"/>
        <s v="19.11.25"/>
        <s v="20.11.25"/>
        <s v="21.11.25"/>
        <s v="22.11.25"/>
        <s v="23.11.25"/>
        <s v="24.11.25"/>
        <s v="25.11.25"/>
        <m/>
        <s v="01.09.25" u="1"/>
        <s v="03.09.25" u="1"/>
        <s v="05.09.25" u="1"/>
        <s v="07.09.25" u="1"/>
        <s v="02.09.25" u="1"/>
        <s v="04.09.25" u="1"/>
        <s v="06.09.25" u="1"/>
        <s v="08.09.25" u="1"/>
      </sharedItems>
    </cacheField>
    <cacheField name="Month" numFmtId="17">
      <sharedItems containsNonDate="0" containsDate="1" containsString="0" containsBlank="1" minDate="2025-11-01T00:00:00" maxDate="2025-11-02T00:00:00"/>
    </cacheField>
    <cacheField name="1st" numFmtId="0">
      <sharedItems containsString="0" containsBlank="1" containsNumber="1" containsInteger="1" minValue="1" maxValue="61"/>
    </cacheField>
    <cacheField name="2nd" numFmtId="0">
      <sharedItems containsString="0" containsBlank="1" containsNumber="1" containsInteger="1" minValue="1" maxValue="16"/>
    </cacheField>
    <cacheField name="3rd" numFmtId="0">
      <sharedItems containsString="0" containsBlank="1" containsNumber="1" containsInteger="1" minValue="1" maxValue="51"/>
    </cacheField>
    <cacheField name="FQC" numFmtId="0">
      <sharedItems containsNonDate="0" containsString="0" containsBlank="1"/>
    </cacheField>
    <cacheField name="Total Rej. qty" numFmtId="0">
      <sharedItems containsSemiMixedTypes="0" containsString="0" containsNumber="1" containsInteger="1" minValue="0" maxValue="61"/>
    </cacheField>
    <cacheField name="cost per piece" numFmtId="0">
      <sharedItems containsSemiMixedTypes="0" containsString="0" containsNumber="1" minValue="0" maxValue="468.06"/>
    </cacheField>
    <cacheField name="Total cost " numFmtId="0">
      <sharedItems containsSemiMixedTypes="0" containsString="0" containsNumber="1" minValue="0" maxValue="7020.9"/>
    </cacheField>
    <cacheField name="SAP CODE" numFmtId="0">
      <sharedItems containsSemiMixedTypes="0" containsString="0" containsNumber="1" containsInteger="1" minValue="0" maxValue="3281"/>
    </cacheField>
    <cacheField name="Code4" numFmtId="0">
      <sharedItems containsString="0" containsBlank="1" containsNumber="1" containsInteger="1" minValue="1" maxValue="64"/>
    </cacheField>
    <cacheField name="Reason" numFmtId="0">
      <sharedItems containsMixedTypes="1" containsNumber="1" containsInteger="1" minValue="0" maxValue="0"/>
    </cacheField>
    <cacheField name="Rejection Identified at" numFmtId="0">
      <sharedItems containsMixedTypes="1" containsNumber="1" containsInteger="1" minValue="0" maxValue="0"/>
    </cacheField>
    <cacheField name="Rejection Reason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2">
  <r>
    <n v="1"/>
    <n v="84"/>
    <s v="293-01"/>
    <s v="parisudh"/>
    <s v="Threading"/>
    <n v="52"/>
    <x v="0"/>
    <s v="RE P1"/>
    <s v="jawahar"/>
    <n v="13"/>
    <s v="Burn"/>
    <x v="0"/>
    <d v="2025-11-01T00:00:00"/>
    <n v="1"/>
    <m/>
    <m/>
    <m/>
    <n v="1"/>
    <n v="400"/>
    <n v="400"/>
    <n v="0"/>
    <n v="5"/>
    <s v="Burn test"/>
    <s v="Line audit"/>
    <s v="Process Issue"/>
  </r>
  <r>
    <n v="2"/>
    <n v="75"/>
    <s v="277-04"/>
    <s v="Bestak"/>
    <s v="Grinding"/>
    <n v="52"/>
    <x v="0"/>
    <s v="RE P1"/>
    <s v="sangeeta"/>
    <m/>
    <s v="OD desh mark "/>
    <x v="0"/>
    <d v="2025-11-01T00:00:00"/>
    <n v="1"/>
    <m/>
    <m/>
    <m/>
    <n v="1"/>
    <n v="400"/>
    <n v="400"/>
    <n v="0"/>
    <n v="28"/>
    <s v="Kept inside on m/c"/>
    <s v="Due to operator"/>
    <s v="infrastructure "/>
  </r>
  <r>
    <n v="3"/>
    <n v="78"/>
    <s v="277-07"/>
    <s v="Bestak"/>
    <s v="Grinding"/>
    <n v="52"/>
    <x v="0"/>
    <s v="RE P1"/>
    <s v="sagar"/>
    <m/>
    <s v="Gear with u/s"/>
    <x v="0"/>
    <d v="2025-11-01T00:00:00"/>
    <n v="1"/>
    <m/>
    <m/>
    <m/>
    <n v="1"/>
    <n v="400"/>
    <n v="400"/>
    <n v="0"/>
    <n v="19"/>
    <s v="During Rework time"/>
    <s v="Due to operator"/>
    <s v="infrastructure "/>
  </r>
  <r>
    <n v="4"/>
    <n v="78"/>
    <s v="277-07"/>
    <s v="Bestak"/>
    <s v="Grinding"/>
    <n v="52"/>
    <x v="0"/>
    <s v="RE P1"/>
    <s v="sagar"/>
    <n v="66"/>
    <s v="OD Under Size"/>
    <x v="0"/>
    <d v="2025-11-01T00:00:00"/>
    <n v="2"/>
    <m/>
    <m/>
    <m/>
    <n v="2"/>
    <n v="400"/>
    <n v="800"/>
    <n v="3242"/>
    <n v="19"/>
    <s v="During Rework time"/>
    <s v="Due to operator"/>
    <s v="infrastructure "/>
  </r>
  <r>
    <n v="5"/>
    <n v="29"/>
    <s v="ACE-09"/>
    <s v="Micromatic"/>
    <s v="Turning"/>
    <n v="154"/>
    <x v="1"/>
    <s v="RE J1"/>
    <s v="vikash"/>
    <n v="5"/>
    <s v="Bore Over size"/>
    <x v="0"/>
    <d v="2025-11-01T00:00:00"/>
    <n v="47"/>
    <m/>
    <m/>
    <m/>
    <n v="47"/>
    <n v="82.64"/>
    <n v="3884.08"/>
    <n v="3243"/>
    <n v="19"/>
    <s v="During Rework time"/>
    <s v="Due to operator"/>
    <s v="infrastructure "/>
  </r>
  <r>
    <n v="6"/>
    <n v="72"/>
    <s v="276-03"/>
    <s v="Hi-life"/>
    <s v="Grinding"/>
    <n v="52"/>
    <x v="0"/>
    <s v="RE P1"/>
    <s v="kanhaiya"/>
    <n v="66"/>
    <s v="OD Under Size"/>
    <x v="0"/>
    <d v="2025-11-01T00:00:00"/>
    <n v="1"/>
    <m/>
    <m/>
    <m/>
    <n v="1"/>
    <n v="400"/>
    <n v="400"/>
    <n v="3242"/>
    <n v="19"/>
    <s v="During Rework time"/>
    <s v="Due to operator"/>
    <s v="infrastructure "/>
  </r>
  <r>
    <n v="7"/>
    <n v="33"/>
    <s v="ACE-13"/>
    <s v="Micromatic"/>
    <s v="Turning"/>
    <n v="154"/>
    <x v="1"/>
    <s v="RE J1"/>
    <s v="lingraj"/>
    <n v="93"/>
    <s v="Thickness Under size"/>
    <x v="0"/>
    <d v="2025-11-01T00:00:00"/>
    <n v="8"/>
    <m/>
    <m/>
    <m/>
    <n v="8"/>
    <n v="82.64"/>
    <n v="661.12"/>
    <n v="3258"/>
    <n v="19"/>
    <s v="During Rework time"/>
    <s v="Due to operator"/>
    <s v="infrastructure "/>
  </r>
  <r>
    <n v="8"/>
    <n v="56"/>
    <s v="298-02"/>
    <s v="Gear Grinding"/>
    <s v="Teeth Grinding"/>
    <n v="155"/>
    <x v="2"/>
    <s v="RE J1"/>
    <s v="deepak"/>
    <n v="13"/>
    <s v="Burn"/>
    <x v="0"/>
    <d v="2025-11-01T00:00:00"/>
    <n v="1"/>
    <m/>
    <m/>
    <m/>
    <n v="1"/>
    <n v="107.67"/>
    <n v="107.67"/>
    <n v="0"/>
    <n v="5"/>
    <s v="Burn test"/>
    <s v="Line audit"/>
    <s v="Process Issue"/>
  </r>
  <r>
    <n v="9"/>
    <n v="56"/>
    <s v="298-02"/>
    <s v="Gear Grinding"/>
    <s v="Teeth Grinding"/>
    <n v="155"/>
    <x v="2"/>
    <s v="RE J1"/>
    <s v="deepak"/>
    <n v="56"/>
    <s v="MOP u/s "/>
    <x v="0"/>
    <d v="2025-11-01T00:00:00"/>
    <n v="2"/>
    <m/>
    <m/>
    <m/>
    <n v="2"/>
    <n v="107.67"/>
    <n v="215.34"/>
    <n v="3234"/>
    <n v="24"/>
    <s v="FQC return"/>
    <s v="Due to operator"/>
    <s v="infrastructure "/>
  </r>
  <r>
    <n v="10"/>
    <n v="59"/>
    <s v="LCS-05"/>
    <s v="LCS"/>
    <s v="Teeth Grinding"/>
    <n v="122"/>
    <x v="3"/>
    <s v="RE J1"/>
    <s v="nilesh"/>
    <n v="56"/>
    <s v="MOP u/s "/>
    <x v="0"/>
    <d v="2025-11-01T00:00:00"/>
    <n v="2"/>
    <m/>
    <m/>
    <m/>
    <n v="2"/>
    <n v="335.39977528089889"/>
    <n v="670.79955056179779"/>
    <n v="3234"/>
    <n v="33"/>
    <s v="Maintanance trial"/>
    <s v="Due to machine "/>
    <s v="process"/>
  </r>
  <r>
    <n v="11"/>
    <n v="29"/>
    <s v="ACE-09"/>
    <s v="Micromatic"/>
    <s v="Turning"/>
    <n v="154"/>
    <x v="1"/>
    <s v="RE J1"/>
    <s v="vikash"/>
    <n v="5"/>
    <s v="Bore Over size"/>
    <x v="0"/>
    <d v="2025-11-01T00:00:00"/>
    <m/>
    <n v="4"/>
    <m/>
    <m/>
    <n v="4"/>
    <n v="82.64"/>
    <n v="330.56"/>
    <n v="3243"/>
    <n v="19"/>
    <s v="During Rework time"/>
    <s v="Due to operator"/>
    <s v="infrastructure "/>
  </r>
  <r>
    <n v="12"/>
    <n v="58"/>
    <s v="LCS-04"/>
    <s v="LCS"/>
    <s v="Teeth Grinding"/>
    <n v="28"/>
    <x v="4"/>
    <s v="RE P1"/>
    <s v="jyoti"/>
    <n v="103"/>
    <s v="TTE out "/>
    <x v="0"/>
    <d v="2025-11-01T00:00:00"/>
    <m/>
    <n v="2"/>
    <m/>
    <m/>
    <n v="2"/>
    <n v="124.07"/>
    <n v="248.14"/>
    <n v="0"/>
    <n v="45"/>
    <s v="Running m/c"/>
    <s v="Due to machine "/>
    <s v="process"/>
  </r>
  <r>
    <n v="13"/>
    <n v="58"/>
    <s v="LCS-04"/>
    <s v="LCS"/>
    <s v="Teeth Grinding"/>
    <n v="28"/>
    <x v="4"/>
    <s v="RE P1"/>
    <s v="jyoti"/>
    <n v="56"/>
    <s v="MOP u/s "/>
    <x v="0"/>
    <d v="2025-11-01T00:00:00"/>
    <m/>
    <n v="1"/>
    <m/>
    <m/>
    <n v="1"/>
    <n v="124.07"/>
    <n v="124.07"/>
    <n v="3234"/>
    <n v="28"/>
    <s v="Kept inside on m/c"/>
    <s v="Due to operator"/>
    <s v="infrastructure "/>
  </r>
  <r>
    <n v="14"/>
    <n v="71"/>
    <s v="276-02"/>
    <s v="Hi-life"/>
    <s v="Grinding"/>
    <n v="152"/>
    <x v="5"/>
    <s v="RE J1"/>
    <s v="pintu"/>
    <n v="66"/>
    <s v="OD Under Size"/>
    <x v="0"/>
    <d v="2025-11-01T00:00:00"/>
    <m/>
    <n v="1"/>
    <m/>
    <m/>
    <n v="1"/>
    <n v="439.18"/>
    <n v="439.18"/>
    <n v="3242"/>
    <n v="21"/>
    <s v="During setup time"/>
    <s v="Due to Settup  "/>
    <s v="skill"/>
  </r>
  <r>
    <n v="15"/>
    <n v="61"/>
    <s v="LCS-07"/>
    <s v="LCS"/>
    <s v="Teeth Grinding"/>
    <n v="122"/>
    <x v="3"/>
    <s v="RE J1"/>
    <s v="krishna"/>
    <n v="13"/>
    <s v="Burn"/>
    <x v="0"/>
    <d v="2025-11-01T00:00:00"/>
    <m/>
    <n v="1"/>
    <m/>
    <m/>
    <n v="1"/>
    <n v="335.39977528089889"/>
    <n v="335.39977528089889"/>
    <n v="0"/>
    <n v="5"/>
    <s v="Burn test"/>
    <s v="Line audit"/>
    <s v="Process Issue"/>
  </r>
  <r>
    <n v="16"/>
    <n v="58"/>
    <s v="LCS-04"/>
    <s v="LCS"/>
    <s v="Teeth Grinding"/>
    <n v="34"/>
    <x v="6"/>
    <s v="RE D1"/>
    <s v="ramniwash"/>
    <n v="13"/>
    <s v="Burn"/>
    <x v="0"/>
    <d v="2025-11-01T00:00:00"/>
    <m/>
    <n v="1"/>
    <m/>
    <m/>
    <n v="1"/>
    <n v="105.54666666666667"/>
    <n v="105.54666666666667"/>
    <n v="0"/>
    <n v="5"/>
    <s v="Burn test"/>
    <s v="Line audit"/>
    <s v="Process Issue"/>
  </r>
  <r>
    <n v="17"/>
    <n v="61"/>
    <s v="LCS-07"/>
    <s v="LCS"/>
    <s v="Teeth Grinding"/>
    <n v="185"/>
    <x v="7"/>
    <s v="RE Bush"/>
    <m/>
    <n v="14"/>
    <s v="Bush damage"/>
    <x v="0"/>
    <d v="2025-11-01T00:00:00"/>
    <m/>
    <n v="1"/>
    <m/>
    <m/>
    <n v="1"/>
    <n v="25.53"/>
    <n v="25.53"/>
    <n v="0"/>
    <n v="6"/>
    <s v="bush will not use again"/>
    <s v="Prod Declared"/>
    <s v="Process Issue"/>
  </r>
  <r>
    <n v="18"/>
    <n v="58"/>
    <s v="LCS-04"/>
    <s v="LCS"/>
    <s v="Teeth Grinding"/>
    <n v="28"/>
    <x v="4"/>
    <s v="RE P1"/>
    <s v="adnan"/>
    <n v="56"/>
    <s v="MOP u/s "/>
    <x v="0"/>
    <d v="2025-11-01T00:00:00"/>
    <m/>
    <m/>
    <n v="2"/>
    <m/>
    <n v="2"/>
    <n v="124.07"/>
    <n v="248.14"/>
    <n v="3234"/>
    <n v="64"/>
    <s v="Wrong correction"/>
    <s v="Due to operator"/>
    <s v="infrastructure "/>
  </r>
  <r>
    <n v="19"/>
    <n v="59"/>
    <s v="LCS-05"/>
    <s v="LCS"/>
    <s v="Teeth Grinding"/>
    <n v="122"/>
    <x v="3"/>
    <s v="RE J1"/>
    <s v="krishna"/>
    <n v="56"/>
    <s v="MOP u/s "/>
    <x v="0"/>
    <d v="2025-11-01T00:00:00"/>
    <m/>
    <m/>
    <n v="2"/>
    <m/>
    <n v="2"/>
    <n v="335.39977528089889"/>
    <n v="670.79955056179779"/>
    <n v="3234"/>
    <n v="1"/>
    <s v="After dressing"/>
    <s v="Due to machine "/>
    <s v="process"/>
  </r>
  <r>
    <n v="20"/>
    <n v="60"/>
    <s v="LCS-06"/>
    <s v="LCS"/>
    <s v="Teeth Grinding"/>
    <n v="34"/>
    <x v="6"/>
    <s v="RE D1"/>
    <s v="rajpal"/>
    <n v="56"/>
    <s v="MOP u/s "/>
    <x v="0"/>
    <d v="2025-11-01T00:00:00"/>
    <m/>
    <m/>
    <n v="2"/>
    <m/>
    <n v="2"/>
    <n v="105.54666666666667"/>
    <n v="211.09333333333333"/>
    <n v="3234"/>
    <n v="21"/>
    <s v="During setup time"/>
    <s v="Due to Settup  "/>
    <s v="skill"/>
  </r>
  <r>
    <n v="21"/>
    <n v="57"/>
    <s v="298-01"/>
    <s v="Gear Grinding"/>
    <s v="Teeth Grinding"/>
    <n v="102"/>
    <x v="8"/>
    <s v="RE J1"/>
    <s v="gopal"/>
    <n v="56"/>
    <s v="MOP u/s "/>
    <x v="1"/>
    <d v="2025-11-01T00:00:00"/>
    <n v="5"/>
    <m/>
    <m/>
    <m/>
    <n v="5"/>
    <n v="93"/>
    <n v="465"/>
    <n v="3234"/>
    <n v="1"/>
    <s v="After dressing"/>
    <s v="Due to machine "/>
    <s v="process"/>
  </r>
  <r>
    <n v="22"/>
    <n v="57"/>
    <s v="298-01"/>
    <s v="Gear Grinding"/>
    <s v="Teeth Grinding"/>
    <n v="102"/>
    <x v="8"/>
    <s v="RE J1"/>
    <s v="gopal"/>
    <n v="13"/>
    <s v="Burn"/>
    <x v="1"/>
    <d v="2025-11-01T00:00:00"/>
    <n v="1"/>
    <m/>
    <m/>
    <m/>
    <n v="1"/>
    <n v="93"/>
    <n v="93"/>
    <n v="0"/>
    <n v="5"/>
    <s v="Burn test"/>
    <s v="Line audit"/>
    <s v="Process Issue"/>
  </r>
  <r>
    <n v="23"/>
    <n v="58"/>
    <s v="LCS-04"/>
    <s v="LCS"/>
    <s v="Teeth Grinding"/>
    <n v="102"/>
    <x v="8"/>
    <s v="RE J1"/>
    <s v="aniket"/>
    <n v="13"/>
    <s v="Burn"/>
    <x v="1"/>
    <d v="2025-11-01T00:00:00"/>
    <n v="1"/>
    <m/>
    <m/>
    <m/>
    <n v="1"/>
    <n v="93"/>
    <n v="93"/>
    <n v="0"/>
    <n v="5"/>
    <s v="Burn test"/>
    <s v="Line audit"/>
    <s v="Process Issue"/>
  </r>
  <r>
    <n v="24"/>
    <n v="60"/>
    <s v="LCS-06"/>
    <s v="LCS"/>
    <s v="Teeth Grinding"/>
    <n v="154"/>
    <x v="1"/>
    <s v="RE J1"/>
    <s v="pooja"/>
    <n v="13"/>
    <s v="Burn"/>
    <x v="1"/>
    <d v="2025-11-01T00:00:00"/>
    <n v="1"/>
    <m/>
    <m/>
    <m/>
    <n v="1"/>
    <n v="82.64"/>
    <n v="82.64"/>
    <n v="0"/>
    <n v="23"/>
    <s v="during wheel change"/>
    <s v="Line audit"/>
    <s v="Process Issue"/>
  </r>
  <r>
    <n v="25"/>
    <n v="59"/>
    <s v="LCS-05"/>
    <s v="LCS"/>
    <s v="Teeth Grinding"/>
    <n v="34"/>
    <x v="6"/>
    <s v="RE D1"/>
    <s v="sachin"/>
    <n v="56"/>
    <s v="MOP u/s "/>
    <x v="1"/>
    <d v="2025-11-01T00:00:00"/>
    <n v="1"/>
    <m/>
    <m/>
    <m/>
    <n v="1"/>
    <n v="105.54666666666667"/>
    <n v="105.54666666666667"/>
    <n v="3234"/>
    <n v="1"/>
    <s v="After dressing"/>
    <s v="Due to machine "/>
    <s v="process"/>
  </r>
  <r>
    <n v="26"/>
    <n v="71"/>
    <s v="276-02"/>
    <s v="Hi-life"/>
    <s v="Grinding"/>
    <n v="152"/>
    <x v="5"/>
    <s v="RE J1"/>
    <s v="kanhaiya"/>
    <n v="66"/>
    <s v="OD Under Size"/>
    <x v="1"/>
    <d v="2025-11-01T00:00:00"/>
    <n v="3"/>
    <m/>
    <m/>
    <m/>
    <n v="3"/>
    <n v="439.18"/>
    <n v="1317.54"/>
    <n v="3242"/>
    <n v="16"/>
    <s v="During correction time"/>
    <s v="Due to operator"/>
    <s v="infrastructure "/>
  </r>
  <r>
    <n v="27"/>
    <n v="72"/>
    <s v="276-03"/>
    <s v="Hi-life"/>
    <s v="Grinding"/>
    <n v="152"/>
    <x v="5"/>
    <s v="RE J1"/>
    <s v="sagar"/>
    <n v="66"/>
    <s v="OD Under Size"/>
    <x v="1"/>
    <d v="2025-11-01T00:00:00"/>
    <n v="2"/>
    <m/>
    <m/>
    <m/>
    <n v="2"/>
    <n v="439.18"/>
    <n v="878.36"/>
    <n v="3242"/>
    <n v="11"/>
    <s v="Cycle time reduce by operator"/>
    <s v="Due to operator"/>
    <s v="infrastructure "/>
  </r>
  <r>
    <n v="28"/>
    <n v="68"/>
    <s v="275-06"/>
    <s v="Toyoda"/>
    <s v="Grinding"/>
    <n v="152"/>
    <x v="5"/>
    <s v="RE J1"/>
    <s v="jitendra"/>
    <n v="66"/>
    <s v="OD Under Size"/>
    <x v="1"/>
    <d v="2025-11-01T00:00:00"/>
    <n v="1"/>
    <m/>
    <m/>
    <m/>
    <n v="1"/>
    <n v="439.18"/>
    <n v="439.18"/>
    <n v="3242"/>
    <n v="10"/>
    <s v="Collent off running m/c"/>
    <s v="Due to machine "/>
    <s v="process"/>
  </r>
  <r>
    <n v="29"/>
    <n v="72"/>
    <s v="276-03"/>
    <s v="Hi-life"/>
    <s v="Grinding"/>
    <n v="152"/>
    <x v="5"/>
    <s v="RE J1"/>
    <s v="sagar"/>
    <n v="25"/>
    <s v="Coller thickness under size"/>
    <x v="1"/>
    <d v="2025-11-01T00:00:00"/>
    <n v="2"/>
    <m/>
    <m/>
    <m/>
    <n v="2"/>
    <n v="439.18"/>
    <n v="878.36"/>
    <n v="0"/>
    <n v="19"/>
    <s v="During Rework time"/>
    <s v="Due to operator"/>
    <s v="infrastructure "/>
  </r>
  <r>
    <n v="30"/>
    <n v="72"/>
    <s v="276-03"/>
    <s v="Hi-life"/>
    <s v="Grinding"/>
    <n v="152"/>
    <x v="5"/>
    <s v="RE J1"/>
    <s v="jitendra"/>
    <n v="66"/>
    <s v="OD Under Size"/>
    <x v="1"/>
    <d v="2025-11-01T00:00:00"/>
    <n v="1"/>
    <m/>
    <m/>
    <m/>
    <n v="1"/>
    <n v="439.18"/>
    <n v="439.18"/>
    <n v="3242"/>
    <n v="19"/>
    <s v="During Rework time"/>
    <s v="Due to operator"/>
    <s v="infrastructure "/>
  </r>
  <r>
    <n v="31"/>
    <n v="68"/>
    <s v="275-06"/>
    <s v="Toyoda"/>
    <s v="Grinding"/>
    <n v="152"/>
    <x v="5"/>
    <s v="RE J1"/>
    <s v="kanhaiya"/>
    <n v="66"/>
    <s v="OD Under Size"/>
    <x v="1"/>
    <d v="2025-11-01T00:00:00"/>
    <n v="2"/>
    <m/>
    <m/>
    <m/>
    <n v="2"/>
    <n v="439.18"/>
    <n v="878.36"/>
    <n v="3242"/>
    <n v="19"/>
    <s v="During Rework time"/>
    <s v="Due to operator"/>
    <s v="infrastructure "/>
  </r>
  <r>
    <n v="32"/>
    <n v="58"/>
    <s v="LCS-04"/>
    <s v="LCS"/>
    <s v="Teeth Grinding"/>
    <n v="102"/>
    <x v="8"/>
    <s v="RE J1"/>
    <s v="krishna"/>
    <n v="56"/>
    <s v="MOP u/s "/>
    <x v="1"/>
    <d v="2025-11-01T00:00:00"/>
    <m/>
    <n v="3"/>
    <m/>
    <m/>
    <n v="3"/>
    <n v="93"/>
    <n v="279"/>
    <n v="3234"/>
    <n v="1"/>
    <s v="After dressing"/>
    <s v="Due to machine "/>
    <s v="process"/>
  </r>
  <r>
    <n v="33"/>
    <n v="71"/>
    <s v="276-02"/>
    <s v="Hi-life"/>
    <s v="Grinding"/>
    <n v="72"/>
    <x v="9"/>
    <s v="RE P1"/>
    <s v="alkar"/>
    <n v="66"/>
    <s v="OD Under Size"/>
    <x v="1"/>
    <d v="2025-11-01T00:00:00"/>
    <m/>
    <m/>
    <n v="1"/>
    <m/>
    <n v="1"/>
    <n v="357.61"/>
    <n v="357.61"/>
    <n v="3242"/>
    <n v="21"/>
    <s v="During setup time"/>
    <s v="Due to Settup  "/>
    <s v="skill"/>
  </r>
  <r>
    <n v="34"/>
    <n v="74"/>
    <s v="277-03"/>
    <s v="Bestak"/>
    <s v="Grinding"/>
    <n v="72"/>
    <x v="9"/>
    <s v="RE P1"/>
    <s v="pintu"/>
    <n v="66"/>
    <s v="OD Under Size"/>
    <x v="2"/>
    <d v="2025-11-01T00:00:00"/>
    <n v="3"/>
    <m/>
    <m/>
    <m/>
    <n v="3"/>
    <n v="357.61"/>
    <n v="1072.83"/>
    <n v="3242"/>
    <n v="28"/>
    <s v="Kept inside on m/c"/>
    <s v="Due to operator"/>
    <s v="infrastructure "/>
  </r>
  <r>
    <n v="35"/>
    <n v="74"/>
    <s v="277-03"/>
    <s v="Bestak"/>
    <s v="Grinding"/>
    <n v="72"/>
    <x v="9"/>
    <s v="RE P1"/>
    <s v="pintu"/>
    <n v="66"/>
    <s v="OD Under Size"/>
    <x v="2"/>
    <d v="2025-11-01T00:00:00"/>
    <n v="4"/>
    <m/>
    <m/>
    <m/>
    <n v="4"/>
    <n v="357.61"/>
    <n v="1430.44"/>
    <n v="3242"/>
    <n v="45"/>
    <s v="Running m/c"/>
    <s v="Due to machine "/>
    <s v="process"/>
  </r>
  <r>
    <n v="36"/>
    <n v="87"/>
    <s v="293-04"/>
    <s v="Bestak"/>
    <s v="Grinding"/>
    <n v="72"/>
    <x v="9"/>
    <s v="RE P1"/>
    <s v="balram"/>
    <n v="13"/>
    <s v="Burn"/>
    <x v="2"/>
    <d v="2025-11-01T00:00:00"/>
    <n v="1"/>
    <m/>
    <m/>
    <m/>
    <n v="1"/>
    <n v="357.61"/>
    <n v="357.61"/>
    <n v="0"/>
    <n v="28"/>
    <s v="Kept inside on m/c"/>
    <s v="Due to operator"/>
    <s v="infrastructure "/>
  </r>
  <r>
    <n v="37"/>
    <n v="87"/>
    <s v="293-04"/>
    <s v="Bestak"/>
    <s v="Grinding"/>
    <n v="52"/>
    <x v="0"/>
    <s v="RE P1"/>
    <s v="balram"/>
    <n v="13"/>
    <s v="Burn"/>
    <x v="2"/>
    <d v="2025-11-01T00:00:00"/>
    <n v="1"/>
    <m/>
    <m/>
    <m/>
    <n v="1"/>
    <n v="400"/>
    <n v="400"/>
    <n v="0"/>
    <n v="28"/>
    <s v="Kept inside on m/c"/>
    <s v="Due to operator"/>
    <s v="infrastructure "/>
  </r>
  <r>
    <n v="38"/>
    <n v="78"/>
    <s v="277-07"/>
    <s v="Bestak"/>
    <s v="Grinding"/>
    <n v="52"/>
    <x v="0"/>
    <s v="RE P1"/>
    <s v="pintu"/>
    <m/>
    <s v="OD desh mark "/>
    <x v="2"/>
    <d v="2025-11-01T00:00:00"/>
    <n v="1"/>
    <m/>
    <m/>
    <m/>
    <n v="1"/>
    <n v="400"/>
    <n v="400"/>
    <n v="0"/>
    <n v="28"/>
    <s v="Kept inside on m/c"/>
    <s v="Due to operator"/>
    <s v="infrastructure "/>
  </r>
  <r>
    <n v="39"/>
    <n v="87"/>
    <s v="293-04"/>
    <s v="Bestak"/>
    <s v="Grinding"/>
    <n v="72"/>
    <x v="9"/>
    <s v="RE P1"/>
    <s v="balram"/>
    <n v="13"/>
    <s v="Burn"/>
    <x v="2"/>
    <d v="2025-11-01T00:00:00"/>
    <n v="1"/>
    <m/>
    <m/>
    <m/>
    <n v="1"/>
    <n v="357.61"/>
    <n v="357.61"/>
    <n v="0"/>
    <n v="21"/>
    <s v="During setup time"/>
    <s v="Due to Settup  "/>
    <s v="skill"/>
  </r>
  <r>
    <n v="40"/>
    <n v="72"/>
    <s v="276-03"/>
    <s v="Hi-life"/>
    <s v="Grinding"/>
    <n v="72"/>
    <x v="9"/>
    <s v="RE P1"/>
    <s v="rahul"/>
    <m/>
    <s v="OD damage"/>
    <x v="2"/>
    <d v="2025-11-01T00:00:00"/>
    <n v="1"/>
    <m/>
    <m/>
    <m/>
    <n v="1"/>
    <n v="357.61"/>
    <n v="357.61"/>
    <n v="0"/>
    <n v="30"/>
    <s v="M/C Accident"/>
    <s v="Due to machine "/>
    <s v="process"/>
  </r>
  <r>
    <n v="41"/>
    <n v="57"/>
    <s v="298-01"/>
    <s v="Gear Grinding"/>
    <s v="Teeth Grinding"/>
    <n v="102"/>
    <x v="8"/>
    <s v="RE J1"/>
    <m/>
    <n v="103"/>
    <s v="TTE out "/>
    <x v="2"/>
    <d v="2025-11-01T00:00:00"/>
    <n v="20"/>
    <m/>
    <m/>
    <m/>
    <n v="20"/>
    <n v="93"/>
    <n v="1860"/>
    <n v="0"/>
    <n v="21"/>
    <s v="During setup time"/>
    <s v="Due to Settup  "/>
    <s v="skill"/>
  </r>
  <r>
    <n v="42"/>
    <n v="59"/>
    <s v="LCS-05"/>
    <s v="LCS"/>
    <s v="Teeth Grinding"/>
    <n v="122"/>
    <x v="3"/>
    <s v="RE J1"/>
    <s v="anilpal"/>
    <n v="13"/>
    <s v="Burn"/>
    <x v="2"/>
    <d v="2025-11-01T00:00:00"/>
    <m/>
    <n v="1"/>
    <m/>
    <m/>
    <n v="1"/>
    <n v="335.39977528089889"/>
    <n v="335.39977528089889"/>
    <n v="0"/>
    <n v="21"/>
    <s v="During setup time"/>
    <s v="Due to Settup  "/>
    <s v="skill"/>
  </r>
  <r>
    <n v="43"/>
    <n v="56"/>
    <s v="298-02"/>
    <s v="Gear Grinding"/>
    <s v="Teeth Grinding"/>
    <n v="155"/>
    <x v="2"/>
    <s v="RE J1"/>
    <s v="atul"/>
    <n v="56"/>
    <s v="MOP u/s "/>
    <x v="2"/>
    <d v="2025-11-01T00:00:00"/>
    <m/>
    <n v="1"/>
    <m/>
    <m/>
    <n v="1"/>
    <n v="107.67"/>
    <n v="107.67"/>
    <n v="3234"/>
    <n v="12"/>
    <s v="Double loading"/>
    <s v="Due to operator"/>
    <s v="infrastructure "/>
  </r>
  <r>
    <n v="44"/>
    <n v="72"/>
    <s v="276-03"/>
    <s v="Hi-life"/>
    <s v="Grinding"/>
    <n v="72"/>
    <x v="9"/>
    <s v="RE P1"/>
    <s v="kanhaiya"/>
    <n v="66"/>
    <s v="OD Under Size"/>
    <x v="2"/>
    <d v="2025-11-01T00:00:00"/>
    <m/>
    <m/>
    <n v="2"/>
    <m/>
    <n v="2"/>
    <n v="357.61"/>
    <n v="715.22"/>
    <n v="3242"/>
    <n v="11"/>
    <s v="Cycle time reduce by operator"/>
    <s v="Due to operator"/>
    <s v="infrastructure "/>
  </r>
  <r>
    <n v="45"/>
    <n v="71"/>
    <s v="276-02"/>
    <s v="Hi-life"/>
    <s v="Grinding"/>
    <n v="52"/>
    <x v="0"/>
    <s v="RE P1"/>
    <s v="vishal"/>
    <n v="95"/>
    <s v="Thread desh mark"/>
    <x v="2"/>
    <d v="2025-11-01T00:00:00"/>
    <m/>
    <m/>
    <n v="1"/>
    <m/>
    <n v="1"/>
    <n v="400"/>
    <n v="400"/>
    <n v="0"/>
    <n v="24"/>
    <s v="FQC return"/>
    <s v="Due to operator"/>
    <s v="infrastructure "/>
  </r>
  <r>
    <n v="46"/>
    <n v="74"/>
    <s v="277-03"/>
    <s v="Bestak"/>
    <s v="Grinding"/>
    <n v="72"/>
    <x v="9"/>
    <s v="RE P1"/>
    <s v="shubhash"/>
    <n v="66"/>
    <s v="OD Under Size"/>
    <x v="2"/>
    <d v="2025-11-01T00:00:00"/>
    <m/>
    <m/>
    <n v="2"/>
    <m/>
    <n v="2"/>
    <n v="357.61"/>
    <n v="715.22"/>
    <n v="3242"/>
    <n v="16"/>
    <s v="During correction time"/>
    <s v="Due to operator"/>
    <s v="infrastructure "/>
  </r>
  <r>
    <n v="47"/>
    <n v="87"/>
    <s v="293-04"/>
    <s v="Bestak"/>
    <s v="Grinding"/>
    <n v="72"/>
    <x v="9"/>
    <s v="RE P1"/>
    <s v="adnan"/>
    <n v="13"/>
    <s v="Burn"/>
    <x v="2"/>
    <d v="2025-11-01T00:00:00"/>
    <m/>
    <m/>
    <n v="2"/>
    <m/>
    <n v="2"/>
    <n v="357.61"/>
    <n v="715.22"/>
    <n v="0"/>
    <n v="5"/>
    <s v="Burn test"/>
    <s v="Line audit"/>
    <s v="Process Issue"/>
  </r>
  <r>
    <n v="48"/>
    <n v="72"/>
    <s v="276-03"/>
    <s v="Hi-life"/>
    <s v="Grinding"/>
    <n v="72"/>
    <x v="9"/>
    <s v="RE P1"/>
    <s v="ramniwash"/>
    <n v="25"/>
    <s v="Coller thickness under size"/>
    <x v="2"/>
    <d v="2025-11-01T00:00:00"/>
    <m/>
    <m/>
    <n v="1"/>
    <m/>
    <n v="1"/>
    <n v="357.61"/>
    <n v="357.61"/>
    <n v="0"/>
    <n v="24"/>
    <s v="FQC return"/>
    <s v="Due to operator"/>
    <s v="infrastructure "/>
  </r>
  <r>
    <n v="49"/>
    <n v="60"/>
    <s v="LCS-06"/>
    <s v="LCS"/>
    <s v="Teeth Grinding"/>
    <n v="154"/>
    <x v="1"/>
    <s v="RE J1"/>
    <s v="ramniwash"/>
    <n v="56"/>
    <s v="MOP u/s "/>
    <x v="2"/>
    <d v="2025-11-01T00:00:00"/>
    <m/>
    <m/>
    <n v="1"/>
    <m/>
    <n v="1"/>
    <n v="82.64"/>
    <n v="82.64"/>
    <n v="3234"/>
    <n v="51"/>
    <s v="Size veriation on m/c"/>
    <s v="Due to machine "/>
    <s v="process"/>
  </r>
  <r>
    <n v="50"/>
    <n v="58"/>
    <s v="LCS-04"/>
    <s v="LCS"/>
    <s v="Teeth Grinding"/>
    <n v="78"/>
    <x v="10"/>
    <s v="RE P1"/>
    <m/>
    <n v="13"/>
    <s v="Burn"/>
    <x v="2"/>
    <d v="2025-11-01T00:00:00"/>
    <m/>
    <m/>
    <n v="1"/>
    <m/>
    <n v="1"/>
    <n v="468.06"/>
    <n v="468.06"/>
    <n v="0"/>
    <n v="5"/>
    <s v="Burn test"/>
    <s v="Line audit"/>
    <s v="Process Issue"/>
  </r>
  <r>
    <n v="51"/>
    <n v="58"/>
    <s v="LCS-04"/>
    <s v="LCS"/>
    <s v="Teeth Grinding"/>
    <n v="78"/>
    <x v="10"/>
    <s v="RE P1"/>
    <m/>
    <n v="56"/>
    <s v="MOP u/s "/>
    <x v="2"/>
    <d v="2025-11-01T00:00:00"/>
    <m/>
    <m/>
    <n v="1"/>
    <m/>
    <n v="1"/>
    <n v="468.06"/>
    <n v="468.06"/>
    <n v="3234"/>
    <n v="21"/>
    <s v="During setup time"/>
    <s v="Due to Settup  "/>
    <s v="skill"/>
  </r>
  <r>
    <n v="52"/>
    <n v="26"/>
    <s v="ACE-06"/>
    <s v="Micromatic"/>
    <s v="Turning"/>
    <n v="154"/>
    <x v="1"/>
    <s v="RE J1"/>
    <s v="naveen"/>
    <n v="5"/>
    <s v="Bore Over size"/>
    <x v="3"/>
    <d v="2025-11-01T00:00:00"/>
    <n v="1"/>
    <m/>
    <m/>
    <m/>
    <n v="1"/>
    <n v="82.64"/>
    <n v="82.64"/>
    <n v="3243"/>
    <n v="23"/>
    <s v="during wheel change"/>
    <s v="Line audit"/>
    <s v="Process Issue"/>
  </r>
  <r>
    <n v="53"/>
    <n v="71"/>
    <s v="276-02"/>
    <s v="Hi-life"/>
    <s v="Grinding"/>
    <n v="72"/>
    <x v="9"/>
    <s v="RE P1"/>
    <s v="rahul"/>
    <n v="66"/>
    <s v="OD Under Size"/>
    <x v="3"/>
    <d v="2025-11-01T00:00:00"/>
    <n v="4"/>
    <m/>
    <m/>
    <m/>
    <n v="4"/>
    <n v="357.61"/>
    <n v="1430.44"/>
    <n v="3242"/>
    <n v="20"/>
    <s v="During segrigetion "/>
    <s v="During segrigetion "/>
    <s v="Attitude"/>
  </r>
  <r>
    <n v="54"/>
    <n v="58"/>
    <s v="LCS-04"/>
    <s v="LCS"/>
    <s v="Teeth Grinding"/>
    <n v="102"/>
    <x v="8"/>
    <s v="RE J1"/>
    <s v="aniket"/>
    <n v="56"/>
    <s v="MOP u/s "/>
    <x v="3"/>
    <d v="2025-11-01T00:00:00"/>
    <n v="2"/>
    <m/>
    <m/>
    <m/>
    <n v="2"/>
    <n v="93"/>
    <n v="186"/>
    <n v="3234"/>
    <n v="21"/>
    <s v="During setup time"/>
    <s v="Due to Settup  "/>
    <s v="skill"/>
  </r>
  <r>
    <n v="55"/>
    <n v="59"/>
    <s v="LCS-05"/>
    <s v="LCS"/>
    <s v="Teeth Grinding"/>
    <n v="155"/>
    <x v="2"/>
    <s v="RE J1"/>
    <s v="aniket"/>
    <n v="56"/>
    <s v="MOP u/s "/>
    <x v="3"/>
    <d v="2025-11-01T00:00:00"/>
    <n v="4"/>
    <m/>
    <m/>
    <m/>
    <n v="4"/>
    <n v="107.67"/>
    <n v="430.68"/>
    <n v="3234"/>
    <n v="21"/>
    <s v="During setup time"/>
    <s v="Due to Settup  "/>
    <s v="skill"/>
  </r>
  <r>
    <n v="56"/>
    <n v="58"/>
    <s v="LCS-04"/>
    <s v="LCS"/>
    <s v="Teeth Grinding"/>
    <n v="102"/>
    <x v="8"/>
    <s v="RE J1"/>
    <s v="bhumika"/>
    <n v="5"/>
    <s v="Bore Over size"/>
    <x v="3"/>
    <d v="2025-11-01T00:00:00"/>
    <m/>
    <n v="1"/>
    <m/>
    <m/>
    <n v="1"/>
    <n v="93"/>
    <n v="93"/>
    <n v="3243"/>
    <n v="21"/>
    <s v="During setup time"/>
    <s v="Due to Settup  "/>
    <s v="skill"/>
  </r>
  <r>
    <n v="57"/>
    <n v="58"/>
    <s v="LCS-04"/>
    <s v="LCS"/>
    <s v="Teeth Grinding"/>
    <n v="102"/>
    <x v="8"/>
    <s v="RE J1"/>
    <s v="bhumika"/>
    <n v="56"/>
    <s v="MOP u/s "/>
    <x v="3"/>
    <d v="2025-11-01T00:00:00"/>
    <m/>
    <n v="1"/>
    <m/>
    <m/>
    <n v="1"/>
    <n v="93"/>
    <n v="93"/>
    <n v="3234"/>
    <n v="21"/>
    <s v="During setup time"/>
    <s v="Due to Settup  "/>
    <s v="skill"/>
  </r>
  <r>
    <n v="58"/>
    <n v="59"/>
    <s v="LCS-05"/>
    <s v="LCS"/>
    <s v="Teeth Grinding"/>
    <n v="155"/>
    <x v="2"/>
    <s v="RE J1"/>
    <s v="yash"/>
    <n v="13"/>
    <s v="Burn"/>
    <x v="3"/>
    <d v="2025-11-01T00:00:00"/>
    <m/>
    <n v="1"/>
    <m/>
    <m/>
    <n v="1"/>
    <n v="107.67"/>
    <n v="107.67"/>
    <n v="0"/>
    <n v="21"/>
    <s v="During setup time"/>
    <s v="Due to Settup  "/>
    <s v="skill"/>
  </r>
  <r>
    <n v="59"/>
    <n v="59"/>
    <s v="LCS-05"/>
    <s v="LCS"/>
    <s v="Teeth Grinding"/>
    <n v="155"/>
    <x v="2"/>
    <s v="RE J1"/>
    <s v="yash"/>
    <n v="56"/>
    <s v="MOP u/s "/>
    <x v="3"/>
    <d v="2025-11-01T00:00:00"/>
    <m/>
    <n v="1"/>
    <m/>
    <m/>
    <n v="1"/>
    <n v="107.67"/>
    <n v="107.67"/>
    <n v="3234"/>
    <n v="21"/>
    <s v="During setup time"/>
    <s v="Due to Settup  "/>
    <s v="skill"/>
  </r>
  <r>
    <n v="60"/>
    <n v="60"/>
    <s v="LCS-06"/>
    <s v="LCS"/>
    <s v="Teeth Grinding"/>
    <n v="154"/>
    <x v="1"/>
    <s v="RE J1"/>
    <s v="jay"/>
    <n v="56"/>
    <s v="MOP u/s "/>
    <x v="3"/>
    <d v="2025-11-01T00:00:00"/>
    <m/>
    <n v="1"/>
    <m/>
    <m/>
    <n v="1"/>
    <n v="82.64"/>
    <n v="82.64"/>
    <n v="3234"/>
    <n v="12"/>
    <s v="Double loading"/>
    <s v="Due to operator"/>
    <s v="infrastructure "/>
  </r>
  <r>
    <n v="61"/>
    <n v="71"/>
    <s v="276-02"/>
    <s v="Hi-life"/>
    <s v="Grinding"/>
    <n v="152"/>
    <x v="5"/>
    <s v="RE J1"/>
    <s v="alkar"/>
    <n v="66"/>
    <s v="OD Under Size"/>
    <x v="3"/>
    <d v="2025-11-01T00:00:00"/>
    <m/>
    <n v="2"/>
    <m/>
    <m/>
    <n v="2"/>
    <n v="439.18"/>
    <n v="878.36"/>
    <n v="3242"/>
    <n v="10"/>
    <s v="Collent off running m/c"/>
    <s v="Due to machine "/>
    <s v="process"/>
  </r>
  <r>
    <n v="62"/>
    <n v="72"/>
    <s v="276-03"/>
    <s v="Hi-life"/>
    <s v="Grinding"/>
    <n v="152"/>
    <x v="5"/>
    <s v="RE J1"/>
    <s v="alkar"/>
    <n v="66"/>
    <s v="OD Under Size"/>
    <x v="3"/>
    <d v="2025-11-01T00:00:00"/>
    <m/>
    <n v="1"/>
    <m/>
    <m/>
    <n v="1"/>
    <n v="439.18"/>
    <n v="439.18"/>
    <n v="3242"/>
    <n v="45"/>
    <s v="Running m/c"/>
    <s v="Due to machine "/>
    <s v="process"/>
  </r>
  <r>
    <n v="63"/>
    <n v="74"/>
    <s v="277-03"/>
    <s v="Bestak"/>
    <s v="Grinding"/>
    <n v="152"/>
    <x v="5"/>
    <s v="RE J1"/>
    <s v="vishal"/>
    <n v="66"/>
    <s v="OD Under Size"/>
    <x v="3"/>
    <d v="2025-11-01T00:00:00"/>
    <m/>
    <n v="1"/>
    <m/>
    <m/>
    <n v="1"/>
    <n v="439.18"/>
    <n v="439.18"/>
    <n v="3242"/>
    <n v="21"/>
    <s v="During setup time"/>
    <s v="Due to Settup  "/>
    <s v="skill"/>
  </r>
  <r>
    <n v="64"/>
    <n v="71"/>
    <s v="276-02"/>
    <s v="Hi-life"/>
    <s v="Grinding"/>
    <n v="152"/>
    <x v="5"/>
    <s v="RE J1"/>
    <s v="alkar"/>
    <n v="66"/>
    <s v="OD Under Size"/>
    <x v="3"/>
    <d v="2025-11-01T00:00:00"/>
    <m/>
    <n v="1"/>
    <m/>
    <m/>
    <n v="1"/>
    <n v="439.18"/>
    <n v="439.18"/>
    <n v="3242"/>
    <n v="8"/>
    <s v="Carier bolt slip"/>
    <s v="Due to operator"/>
    <s v="infrastructure "/>
  </r>
  <r>
    <n v="65"/>
    <n v="71"/>
    <s v="276-02"/>
    <s v="Hi-life"/>
    <s v="Grinding"/>
    <n v="152"/>
    <x v="5"/>
    <s v="RE J1"/>
    <s v="kanhaiya"/>
    <n v="66"/>
    <s v="OD Under Size"/>
    <x v="3"/>
    <d v="2025-11-01T00:00:00"/>
    <m/>
    <m/>
    <n v="1"/>
    <m/>
    <n v="1"/>
    <n v="439.18"/>
    <n v="439.18"/>
    <n v="3242"/>
    <n v="1"/>
    <s v="After dressing"/>
    <s v="Due to machine "/>
    <s v="process"/>
  </r>
  <r>
    <n v="66"/>
    <n v="72"/>
    <s v="276-03"/>
    <s v="Hi-life"/>
    <s v="Grinding"/>
    <n v="152"/>
    <x v="5"/>
    <s v="RE J1"/>
    <s v="kanhaiya"/>
    <n v="66"/>
    <s v="OD Under Size"/>
    <x v="3"/>
    <d v="2025-11-01T00:00:00"/>
    <m/>
    <m/>
    <n v="1"/>
    <m/>
    <n v="1"/>
    <n v="439.18"/>
    <n v="439.18"/>
    <n v="3242"/>
    <n v="11"/>
    <s v="Cycle time reduce by operator"/>
    <s v="Due to operator"/>
    <s v="infrastructure "/>
  </r>
  <r>
    <n v="67"/>
    <n v="68"/>
    <s v="275-06"/>
    <s v="Toyoda"/>
    <s v="Grinding"/>
    <n v="152"/>
    <x v="5"/>
    <s v="RE J1"/>
    <s v="govind"/>
    <n v="66"/>
    <s v="OD Under Size"/>
    <x v="3"/>
    <d v="2025-11-01T00:00:00"/>
    <m/>
    <m/>
    <n v="2"/>
    <m/>
    <n v="2"/>
    <n v="439.18"/>
    <n v="878.36"/>
    <n v="3242"/>
    <n v="21"/>
    <s v="During setup time"/>
    <s v="Due to Settup  "/>
    <s v="skill"/>
  </r>
  <r>
    <n v="68"/>
    <n v="75"/>
    <s v="277-04"/>
    <s v="Bestak"/>
    <s v="Grinding"/>
    <n v="152"/>
    <x v="5"/>
    <s v="RE J1"/>
    <s v="jitendra"/>
    <n v="66"/>
    <s v="OD Under Size"/>
    <x v="3"/>
    <d v="2025-11-01T00:00:00"/>
    <m/>
    <m/>
    <n v="2"/>
    <m/>
    <n v="2"/>
    <n v="439.18"/>
    <n v="878.36"/>
    <n v="3242"/>
    <n v="51"/>
    <s v="Size veriation on m/c"/>
    <s v="Due to machine "/>
    <s v="process"/>
  </r>
  <r>
    <n v="69"/>
    <n v="75"/>
    <s v="277-04"/>
    <s v="Bestak"/>
    <s v="Grinding"/>
    <n v="152"/>
    <x v="5"/>
    <s v="RE J1"/>
    <s v="jawahar"/>
    <n v="66"/>
    <s v="OD Under Size"/>
    <x v="3"/>
    <d v="2025-11-01T00:00:00"/>
    <m/>
    <m/>
    <n v="1"/>
    <m/>
    <n v="1"/>
    <n v="439.18"/>
    <n v="439.18"/>
    <n v="3242"/>
    <n v="51"/>
    <s v="Size veriation on m/c"/>
    <s v="Due to machine "/>
    <s v="process"/>
  </r>
  <r>
    <n v="70"/>
    <n v="58"/>
    <s v="LCS-04"/>
    <s v="LCS"/>
    <s v="Teeth Grinding"/>
    <n v="102"/>
    <x v="8"/>
    <s v="RE J1"/>
    <s v="mahendra"/>
    <n v="56"/>
    <s v="MOP u/s "/>
    <x v="3"/>
    <d v="2025-11-01T00:00:00"/>
    <m/>
    <m/>
    <n v="2"/>
    <m/>
    <n v="2"/>
    <n v="93"/>
    <n v="186"/>
    <n v="3234"/>
    <n v="21"/>
    <s v="During setup time"/>
    <s v="Due to Settup  "/>
    <s v="skill"/>
  </r>
  <r>
    <n v="71"/>
    <n v="75"/>
    <s v="277-04"/>
    <s v="Bestak"/>
    <s v="Grinding"/>
    <n v="152"/>
    <x v="5"/>
    <s v="RE J1"/>
    <s v="sangeeta"/>
    <n v="66"/>
    <s v="OD Under Size"/>
    <x v="4"/>
    <d v="2025-11-01T00:00:00"/>
    <n v="1"/>
    <m/>
    <m/>
    <m/>
    <n v="1"/>
    <n v="439.18"/>
    <n v="439.18"/>
    <n v="3242"/>
    <n v="28"/>
    <s v="Kept inside on m/c"/>
    <s v="Due to operator"/>
    <s v="infrastructure "/>
  </r>
  <r>
    <n v="72"/>
    <n v="71"/>
    <s v="276-02"/>
    <s v="Hi-life"/>
    <s v="Grinding"/>
    <n v="152"/>
    <x v="5"/>
    <s v="RE J1"/>
    <s v="rahul"/>
    <n v="66"/>
    <s v="OD Under Size"/>
    <x v="4"/>
    <d v="2025-11-01T00:00:00"/>
    <n v="1"/>
    <m/>
    <m/>
    <m/>
    <n v="1"/>
    <n v="439.18"/>
    <n v="439.18"/>
    <n v="3242"/>
    <n v="12"/>
    <s v="Double loading"/>
    <s v="Due to operator"/>
    <s v="infrastructure "/>
  </r>
  <r>
    <n v="73"/>
    <n v="72"/>
    <s v="276-03"/>
    <s v="Hi-life"/>
    <s v="Grinding"/>
    <n v="152"/>
    <x v="5"/>
    <s v="RE J1"/>
    <s v="chandrakanta"/>
    <n v="66"/>
    <s v="OD Under Size"/>
    <x v="4"/>
    <d v="2025-11-01T00:00:00"/>
    <n v="1"/>
    <m/>
    <m/>
    <m/>
    <n v="1"/>
    <n v="439.18"/>
    <n v="439.18"/>
    <n v="3242"/>
    <n v="28"/>
    <s v="Kept inside on m/c"/>
    <s v="Due to operator"/>
    <s v="infrastructure "/>
  </r>
  <r>
    <n v="74"/>
    <n v="72"/>
    <s v="276-03"/>
    <s v="Hi-life"/>
    <s v="Grinding"/>
    <n v="152"/>
    <x v="5"/>
    <s v="RE J1"/>
    <s v="chandrakanta"/>
    <n v="66"/>
    <s v="OD Under Size"/>
    <x v="4"/>
    <d v="2025-11-01T00:00:00"/>
    <n v="1"/>
    <m/>
    <m/>
    <m/>
    <n v="1"/>
    <n v="439.18"/>
    <n v="439.18"/>
    <n v="3242"/>
    <n v="36"/>
    <s v="Marpose disturb"/>
    <s v="Due to machine "/>
    <s v="process"/>
  </r>
  <r>
    <n v="75"/>
    <n v="62"/>
    <s v="FQC"/>
    <s v="FQC"/>
    <s v="fqc"/>
    <n v="102"/>
    <x v="8"/>
    <s v="RE J1"/>
    <m/>
    <n v="56"/>
    <s v="MOP u/s "/>
    <x v="4"/>
    <d v="2025-11-01T00:00:00"/>
    <n v="1"/>
    <m/>
    <m/>
    <m/>
    <n v="1"/>
    <n v="93"/>
    <n v="93"/>
    <n v="3234"/>
    <n v="24"/>
    <s v="FQC return"/>
    <s v="Due to operator"/>
    <m/>
  </r>
  <r>
    <n v="76"/>
    <n v="61"/>
    <s v="LCS-07"/>
    <s v="LCS"/>
    <s v="Teeth Grinding"/>
    <n v="122"/>
    <x v="3"/>
    <s v="RE J1"/>
    <s v="yash"/>
    <n v="13"/>
    <s v="Burn"/>
    <x v="4"/>
    <d v="2025-11-01T00:00:00"/>
    <m/>
    <n v="1"/>
    <m/>
    <m/>
    <n v="1"/>
    <n v="335.39977528089889"/>
    <n v="335.39977528089889"/>
    <n v="0"/>
    <n v="21"/>
    <s v="During setup time"/>
    <s v="Due to Settup  "/>
    <m/>
  </r>
  <r>
    <n v="77"/>
    <n v="59"/>
    <s v="LCS-05"/>
    <s v="LCS"/>
    <s v="Teeth Grinding"/>
    <n v="78"/>
    <x v="10"/>
    <s v="RE P1"/>
    <s v="rajpal"/>
    <n v="13"/>
    <s v="Burn"/>
    <x v="4"/>
    <d v="2025-11-01T00:00:00"/>
    <m/>
    <n v="1"/>
    <m/>
    <m/>
    <n v="1"/>
    <n v="468.06"/>
    <n v="468.06"/>
    <n v="0"/>
    <n v="21"/>
    <s v="During setup time"/>
    <s v="Due to Settup  "/>
    <s v="skill"/>
  </r>
  <r>
    <n v="78"/>
    <n v="59"/>
    <s v="LCS-05"/>
    <s v="LCS"/>
    <s v="Teeth Grinding"/>
    <n v="78"/>
    <x v="10"/>
    <s v="RE P1"/>
    <s v="rajpal"/>
    <n v="56"/>
    <s v="MOP u/s "/>
    <x v="4"/>
    <d v="2025-11-01T00:00:00"/>
    <m/>
    <n v="2"/>
    <m/>
    <m/>
    <n v="2"/>
    <n v="468.06"/>
    <n v="936.12"/>
    <n v="3234"/>
    <n v="21"/>
    <s v="During setup time"/>
    <s v="Due to Settup  "/>
    <s v="skill"/>
  </r>
  <r>
    <n v="79"/>
    <n v="72"/>
    <s v="276-03"/>
    <s v="Hi-life"/>
    <s v="Grinding"/>
    <n v="152"/>
    <x v="5"/>
    <s v="RE J1"/>
    <s v="alkar"/>
    <n v="66"/>
    <s v="OD Under Size"/>
    <x v="4"/>
    <d v="2025-11-01T00:00:00"/>
    <m/>
    <n v="2"/>
    <m/>
    <m/>
    <n v="2"/>
    <n v="439.18"/>
    <n v="878.36"/>
    <n v="3242"/>
    <n v="10"/>
    <s v="Collent off running m/c"/>
    <s v="Due to machine "/>
    <s v="process"/>
  </r>
  <r>
    <n v="80"/>
    <n v="72"/>
    <s v="276-03"/>
    <s v="Hi-life"/>
    <s v="Grinding"/>
    <n v="152"/>
    <x v="5"/>
    <s v="RE J1"/>
    <s v="alkar"/>
    <n v="66"/>
    <s v="OD Under Size"/>
    <x v="4"/>
    <d v="2025-11-01T00:00:00"/>
    <m/>
    <n v="1"/>
    <m/>
    <m/>
    <n v="1"/>
    <n v="439.18"/>
    <n v="439.18"/>
    <n v="3242"/>
    <n v="45"/>
    <s v="Running m/c"/>
    <s v="Due to machine "/>
    <s v="process"/>
  </r>
  <r>
    <n v="81"/>
    <n v="26"/>
    <s v="ACE-06"/>
    <s v="Micromatic"/>
    <s v="Turning"/>
    <n v="154"/>
    <x v="1"/>
    <s v="RE J1"/>
    <s v="ramswaroop"/>
    <n v="5"/>
    <s v="Bore Over size"/>
    <x v="4"/>
    <d v="2025-11-01T00:00:00"/>
    <m/>
    <m/>
    <n v="1"/>
    <m/>
    <n v="1"/>
    <n v="82.64"/>
    <n v="82.64"/>
    <n v="3243"/>
    <n v="23"/>
    <s v="during wheel change"/>
    <s v="Line audit"/>
    <s v="Process Issue"/>
  </r>
  <r>
    <n v="82"/>
    <n v="29"/>
    <s v="ACE-09"/>
    <s v="Micromatic"/>
    <s v="Turning"/>
    <n v="154"/>
    <x v="1"/>
    <s v="RE J1"/>
    <s v="ramswaroop"/>
    <n v="5"/>
    <s v="Bore Over size"/>
    <x v="4"/>
    <d v="2025-11-01T00:00:00"/>
    <m/>
    <m/>
    <n v="1"/>
    <m/>
    <n v="1"/>
    <n v="82.64"/>
    <n v="82.64"/>
    <n v="3243"/>
    <n v="23"/>
    <s v="during wheel change"/>
    <s v="Line audit"/>
    <s v="Process Issue"/>
  </r>
  <r>
    <n v="83"/>
    <n v="30"/>
    <s v="ACE-10"/>
    <s v="Micromatic"/>
    <s v="Turning"/>
    <n v="154"/>
    <x v="1"/>
    <s v="RE J1"/>
    <s v="ramswaroop"/>
    <n v="5"/>
    <s v="Bore Over size"/>
    <x v="4"/>
    <d v="2025-11-01T00:00:00"/>
    <m/>
    <m/>
    <n v="1"/>
    <m/>
    <n v="1"/>
    <n v="82.64"/>
    <n v="82.64"/>
    <n v="3243"/>
    <n v="23"/>
    <s v="during wheel change"/>
    <s v="Line audit"/>
    <s v="Process Issue"/>
  </r>
  <r>
    <n v="84"/>
    <n v="59"/>
    <s v="LCS-05"/>
    <s v="LCS"/>
    <s v="Teeth Grinding"/>
    <n v="78"/>
    <x v="10"/>
    <s v="RE P1"/>
    <s v="adanan"/>
    <n v="13"/>
    <s v="Burn"/>
    <x v="4"/>
    <d v="2025-11-01T00:00:00"/>
    <m/>
    <m/>
    <n v="1"/>
    <m/>
    <n v="1"/>
    <n v="468.06"/>
    <n v="468.06"/>
    <n v="0"/>
    <n v="5"/>
    <s v="Burn test"/>
    <s v="Line audit"/>
    <s v="Process Issue"/>
  </r>
  <r>
    <n v="85"/>
    <n v="61"/>
    <s v="LCS-07"/>
    <s v="LCS"/>
    <s v="Teeth Grinding"/>
    <n v="122"/>
    <x v="3"/>
    <s v="RE J1"/>
    <s v="prakash"/>
    <n v="13"/>
    <s v="Burn"/>
    <x v="4"/>
    <d v="2025-11-01T00:00:00"/>
    <m/>
    <m/>
    <n v="1"/>
    <m/>
    <n v="1"/>
    <n v="335.39977528089889"/>
    <n v="335.39977528089889"/>
    <n v="0"/>
    <n v="5"/>
    <s v="Burn test"/>
    <s v="Line audit"/>
    <s v="Process Issue"/>
  </r>
  <r>
    <n v="86"/>
    <n v="58"/>
    <s v="LCS-04"/>
    <s v="LCS"/>
    <s v="Teeth Grinding"/>
    <n v="28"/>
    <x v="4"/>
    <s v="RE P1"/>
    <s v="yash"/>
    <n v="13"/>
    <s v="Burn"/>
    <x v="4"/>
    <d v="2025-11-01T00:00:00"/>
    <m/>
    <m/>
    <n v="1"/>
    <m/>
    <n v="1"/>
    <n v="124.07"/>
    <n v="124.07"/>
    <n v="0"/>
    <n v="5"/>
    <s v="Burn test"/>
    <s v="Line audit"/>
    <s v="Process Issue"/>
  </r>
  <r>
    <n v="87"/>
    <n v="57"/>
    <s v="298-01"/>
    <s v="Gear Grinding"/>
    <s v="Teeth Grinding"/>
    <n v="102"/>
    <x v="8"/>
    <s v="RE J1"/>
    <s v="atul"/>
    <n v="13"/>
    <s v="Burn"/>
    <x v="4"/>
    <d v="2025-11-01T00:00:00"/>
    <m/>
    <m/>
    <n v="1"/>
    <m/>
    <n v="1"/>
    <n v="93"/>
    <n v="93"/>
    <n v="0"/>
    <n v="5"/>
    <s v="Burn test"/>
    <s v="Line audit"/>
    <s v="Process Issue"/>
  </r>
  <r>
    <n v="88"/>
    <n v="61"/>
    <s v="LCS-07"/>
    <s v="LCS"/>
    <s v="Teeth Grinding"/>
    <n v="122"/>
    <x v="3"/>
    <s v="RE J1"/>
    <s v="prakash"/>
    <n v="56"/>
    <s v="MOP u/s "/>
    <x v="4"/>
    <d v="2025-11-01T00:00:00"/>
    <m/>
    <m/>
    <n v="5"/>
    <m/>
    <n v="5"/>
    <n v="335.39977528089889"/>
    <n v="1676.9988764044945"/>
    <n v="3234"/>
    <n v="20"/>
    <s v="During segrigetion "/>
    <s v="During segrigetion "/>
    <s v="Attitude"/>
  </r>
  <r>
    <n v="89"/>
    <n v="75"/>
    <s v="277-04"/>
    <s v="Bestak"/>
    <s v="Grinding"/>
    <n v="152"/>
    <x v="5"/>
    <s v="RE J1"/>
    <s v="jawahar"/>
    <n v="66"/>
    <s v="OD Under Size"/>
    <x v="5"/>
    <d v="2025-11-01T00:00:00"/>
    <n v="2"/>
    <m/>
    <m/>
    <m/>
    <n v="2"/>
    <n v="439.18"/>
    <n v="878.36"/>
    <n v="3242"/>
    <n v="12"/>
    <s v="Double loading"/>
    <s v="Due to operator"/>
    <s v="infrastructure "/>
  </r>
  <r>
    <n v="90"/>
    <n v="71"/>
    <s v="276-02"/>
    <s v="Hi-life"/>
    <s v="Grinding"/>
    <n v="152"/>
    <x v="5"/>
    <s v="RE J1"/>
    <s v="kanhaiya"/>
    <n v="65"/>
    <s v="OD taper part"/>
    <x v="5"/>
    <d v="2025-11-01T00:00:00"/>
    <n v="1"/>
    <m/>
    <m/>
    <m/>
    <n v="1"/>
    <n v="439.18"/>
    <n v="439.18"/>
    <n v="0"/>
    <n v="45"/>
    <s v="Running m/c"/>
    <s v="Due to machine "/>
    <s v="process"/>
  </r>
  <r>
    <n v="91"/>
    <n v="72"/>
    <s v="276-03"/>
    <s v="Hi-life"/>
    <s v="Grinding"/>
    <n v="152"/>
    <x v="5"/>
    <s v="RE J1"/>
    <s v="rahul"/>
    <n v="66"/>
    <s v="OD Under Size"/>
    <x v="5"/>
    <d v="2025-11-01T00:00:00"/>
    <n v="2"/>
    <m/>
    <m/>
    <m/>
    <n v="2"/>
    <n v="439.18"/>
    <n v="878.36"/>
    <n v="3242"/>
    <n v="45"/>
    <s v="Running m/c"/>
    <s v="Due to machine "/>
    <s v="process"/>
  </r>
  <r>
    <n v="92"/>
    <n v="62"/>
    <s v="FQC"/>
    <s v="FQC"/>
    <s v="fqc"/>
    <n v="72"/>
    <x v="9"/>
    <s v="RE P1"/>
    <s v="pratik"/>
    <m/>
    <s v="Thread desh mark"/>
    <x v="5"/>
    <d v="2025-11-01T00:00:00"/>
    <n v="2"/>
    <m/>
    <m/>
    <m/>
    <n v="2"/>
    <n v="357.61"/>
    <n v="715.22"/>
    <n v="0"/>
    <n v="24"/>
    <s v="FQC return"/>
    <s v="Due to operator"/>
    <s v="infrastructure "/>
  </r>
  <r>
    <n v="93"/>
    <n v="27"/>
    <s v="ACE-07"/>
    <s v="Micromatic"/>
    <s v="Turning"/>
    <n v="154"/>
    <x v="1"/>
    <s v="RE J1"/>
    <m/>
    <n v="5"/>
    <s v="Bore Over size"/>
    <x v="5"/>
    <d v="2025-11-01T00:00:00"/>
    <n v="2"/>
    <m/>
    <m/>
    <m/>
    <n v="2"/>
    <n v="82.64"/>
    <n v="165.28"/>
    <n v="3243"/>
    <n v="51"/>
    <s v="Size veriation on m/c"/>
    <s v="Due to machine "/>
    <s v="process"/>
  </r>
  <r>
    <n v="94"/>
    <n v="87"/>
    <s v="293-04"/>
    <s v="Bestak"/>
    <s v="Grinding"/>
    <n v="152"/>
    <x v="5"/>
    <s v="RE J1"/>
    <s v="bhumika"/>
    <m/>
    <s v="Face cut"/>
    <x v="5"/>
    <d v="2025-11-01T00:00:00"/>
    <n v="1"/>
    <m/>
    <m/>
    <m/>
    <n v="1"/>
    <n v="439.18"/>
    <n v="439.18"/>
    <n v="3245"/>
    <n v="33"/>
    <s v="Maintanance trial"/>
    <s v="Due to machine "/>
    <s v="process"/>
  </r>
  <r>
    <n v="95"/>
    <n v="58"/>
    <s v="LCS-04"/>
    <s v="LCS"/>
    <s v="Teeth Grinding"/>
    <n v="122"/>
    <x v="3"/>
    <s v="RE J1"/>
    <s v="surendra"/>
    <n v="13"/>
    <s v="Burn"/>
    <x v="5"/>
    <d v="2025-11-01T00:00:00"/>
    <n v="1"/>
    <m/>
    <m/>
    <m/>
    <n v="1"/>
    <n v="335.39977528089889"/>
    <n v="335.39977528089889"/>
    <n v="0"/>
    <n v="21"/>
    <s v="During setup time"/>
    <s v="Due to Settup  "/>
    <s v="skill"/>
  </r>
  <r>
    <n v="96"/>
    <n v="59"/>
    <s v="LCS-05"/>
    <s v="LCS"/>
    <s v="Teeth Grinding"/>
    <n v="34"/>
    <x v="6"/>
    <s v="RE D1"/>
    <s v="chandrakanta"/>
    <n v="13"/>
    <s v="Burn"/>
    <x v="5"/>
    <d v="2025-11-01T00:00:00"/>
    <n v="1"/>
    <m/>
    <m/>
    <m/>
    <n v="1"/>
    <n v="105.54666666666667"/>
    <n v="105.54666666666667"/>
    <n v="0"/>
    <n v="21"/>
    <s v="During setup time"/>
    <s v="Due to Settup  "/>
    <s v="skill"/>
  </r>
  <r>
    <n v="97"/>
    <n v="71"/>
    <s v="276-02"/>
    <s v="Hi-life"/>
    <s v="Grinding"/>
    <n v="152"/>
    <x v="5"/>
    <s v="RE J1"/>
    <s v="rahul"/>
    <n v="66"/>
    <s v="OD Under Size"/>
    <x v="5"/>
    <d v="2025-11-01T00:00:00"/>
    <n v="1"/>
    <m/>
    <m/>
    <m/>
    <n v="1"/>
    <n v="439.18"/>
    <n v="439.18"/>
    <n v="3242"/>
    <n v="12"/>
    <s v="Double loading"/>
    <s v="Due to operator"/>
    <s v="infrastructure "/>
  </r>
  <r>
    <n v="98"/>
    <n v="71"/>
    <s v="276-02"/>
    <s v="Hi-life"/>
    <s v="Grinding"/>
    <n v="152"/>
    <x v="5"/>
    <s v="RE J1"/>
    <s v="chetan"/>
    <n v="25"/>
    <s v="Coller thickness under size"/>
    <x v="5"/>
    <d v="2025-11-01T00:00:00"/>
    <n v="1"/>
    <m/>
    <m/>
    <m/>
    <n v="1"/>
    <n v="439.18"/>
    <n v="439.18"/>
    <n v="0"/>
    <n v="19"/>
    <s v="During Rework time"/>
    <s v="Due to operator"/>
    <s v="infrastructure "/>
  </r>
  <r>
    <n v="99"/>
    <n v="74"/>
    <s v="277-03"/>
    <s v="Bestak"/>
    <s v="Grinding"/>
    <n v="152"/>
    <x v="5"/>
    <s v="RE J1"/>
    <m/>
    <n v="25"/>
    <s v="Coller thickness under size"/>
    <x v="5"/>
    <d v="2025-11-01T00:00:00"/>
    <n v="1"/>
    <m/>
    <m/>
    <m/>
    <n v="1"/>
    <n v="439.18"/>
    <n v="439.18"/>
    <n v="0"/>
    <n v="19"/>
    <s v="During Rework time"/>
    <s v="Due to operator"/>
    <s v="infrastructure "/>
  </r>
  <r>
    <n v="100"/>
    <n v="71"/>
    <s v="276-02"/>
    <s v="Hi-life"/>
    <s v="Grinding"/>
    <n v="152"/>
    <x v="5"/>
    <s v="RE J1"/>
    <s v="alkar"/>
    <n v="88"/>
    <s v="Step on OD"/>
    <x v="5"/>
    <d v="2025-11-01T00:00:00"/>
    <m/>
    <n v="1"/>
    <m/>
    <m/>
    <n v="1"/>
    <n v="439.18"/>
    <n v="439.18"/>
    <n v="0"/>
    <m/>
    <s v="Power trip"/>
    <n v="0"/>
    <n v="0"/>
  </r>
  <r>
    <n v="101"/>
    <n v="72"/>
    <s v="276-03"/>
    <s v="Hi-life"/>
    <s v="Grinding"/>
    <n v="152"/>
    <x v="5"/>
    <s v="RE J1"/>
    <s v="alkar"/>
    <n v="66"/>
    <s v="OD Under Size"/>
    <x v="5"/>
    <d v="2025-11-01T00:00:00"/>
    <m/>
    <n v="1"/>
    <m/>
    <m/>
    <n v="1"/>
    <n v="439.18"/>
    <n v="439.18"/>
    <n v="3242"/>
    <n v="45"/>
    <s v="Running m/c"/>
    <s v="Due to machine "/>
    <s v="process"/>
  </r>
  <r>
    <n v="102"/>
    <n v="71"/>
    <s v="276-02"/>
    <s v="Hi-life"/>
    <s v="Grinding"/>
    <n v="152"/>
    <x v="5"/>
    <s v="RE J1"/>
    <m/>
    <n v="66"/>
    <s v="OD Under Size"/>
    <x v="5"/>
    <d v="2025-11-01T00:00:00"/>
    <m/>
    <n v="1"/>
    <m/>
    <m/>
    <n v="1"/>
    <n v="439.18"/>
    <n v="439.18"/>
    <n v="3242"/>
    <n v="45"/>
    <s v="Running m/c"/>
    <s v="Due to machine "/>
    <s v="process"/>
  </r>
  <r>
    <n v="103"/>
    <n v="62"/>
    <s v="FQC"/>
    <s v="FQC"/>
    <s v="fqc"/>
    <n v="152"/>
    <x v="5"/>
    <s v="RE J1"/>
    <m/>
    <m/>
    <s v="OD under cut"/>
    <x v="5"/>
    <d v="2025-11-01T00:00:00"/>
    <m/>
    <n v="1"/>
    <m/>
    <m/>
    <n v="1"/>
    <n v="439.18"/>
    <n v="439.18"/>
    <n v="0"/>
    <n v="24"/>
    <s v="FQC return"/>
    <s v="Due to operator"/>
    <s v="infrastructure "/>
  </r>
  <r>
    <n v="104"/>
    <n v="68"/>
    <s v="275-06"/>
    <s v="Toyoda"/>
    <s v="Grinding"/>
    <n v="152"/>
    <x v="5"/>
    <s v="RE J1"/>
    <s v="vishal"/>
    <n v="66"/>
    <s v="OD Under Size"/>
    <x v="5"/>
    <d v="2025-11-01T00:00:00"/>
    <m/>
    <n v="1"/>
    <m/>
    <m/>
    <n v="1"/>
    <n v="439.18"/>
    <n v="439.18"/>
    <n v="3242"/>
    <n v="45"/>
    <s v="Running m/c"/>
    <s v="Due to machine "/>
    <s v="process"/>
  </r>
  <r>
    <n v="105"/>
    <n v="60"/>
    <s v="LCS-06"/>
    <s v="LCS"/>
    <s v="Teeth Grinding"/>
    <n v="154"/>
    <x v="1"/>
    <s v="RE J1"/>
    <s v="jay"/>
    <n v="56"/>
    <s v="MOP u/s "/>
    <x v="5"/>
    <d v="2025-11-01T00:00:00"/>
    <m/>
    <n v="3"/>
    <m/>
    <m/>
    <n v="3"/>
    <n v="82.64"/>
    <n v="247.92000000000002"/>
    <n v="3234"/>
    <n v="12"/>
    <s v="Double loading"/>
    <s v="Due to operator"/>
    <s v="infrastructure "/>
  </r>
  <r>
    <n v="106"/>
    <n v="59"/>
    <s v="LCS-05"/>
    <s v="LCS"/>
    <s v="Teeth Grinding"/>
    <n v="102"/>
    <x v="8"/>
    <s v="RE J1"/>
    <s v="yash"/>
    <n v="56"/>
    <s v="MOP u/s "/>
    <x v="5"/>
    <d v="2025-11-01T00:00:00"/>
    <m/>
    <n v="3"/>
    <m/>
    <m/>
    <n v="3"/>
    <n v="93"/>
    <n v="279"/>
    <n v="3234"/>
    <n v="21"/>
    <s v="During setup time"/>
    <s v="Due to Settup  "/>
    <s v="skill"/>
  </r>
  <r>
    <n v="107"/>
    <n v="29"/>
    <s v="ACE-09"/>
    <s v="Micromatic"/>
    <s v="Turning"/>
    <n v="154"/>
    <x v="1"/>
    <s v="RE J1"/>
    <s v="prince"/>
    <n v="5"/>
    <s v="Bore Over size"/>
    <x v="5"/>
    <d v="2025-11-01T00:00:00"/>
    <m/>
    <m/>
    <n v="3"/>
    <m/>
    <n v="3"/>
    <n v="82.64"/>
    <n v="247.92000000000002"/>
    <n v="3243"/>
    <n v="28"/>
    <s v="Kept inside on m/c"/>
    <s v="Due to operator"/>
    <s v="infrastructure "/>
  </r>
  <r>
    <n v="108"/>
    <n v="72"/>
    <s v="276-03"/>
    <s v="Hi-life"/>
    <s v="Grinding"/>
    <n v="152"/>
    <x v="5"/>
    <s v="RE J1"/>
    <s v="kanhaiya"/>
    <n v="66"/>
    <s v="OD Under Size"/>
    <x v="5"/>
    <d v="2025-11-01T00:00:00"/>
    <m/>
    <m/>
    <n v="1"/>
    <m/>
    <n v="1"/>
    <n v="439.18"/>
    <n v="439.18"/>
    <n v="3242"/>
    <n v="11"/>
    <s v="Cycle time reduce by operator"/>
    <s v="Due to operator"/>
    <s v="infrastructure "/>
  </r>
  <r>
    <n v="109"/>
    <n v="75"/>
    <s v="277-04"/>
    <s v="Bestak"/>
    <s v="Grinding"/>
    <n v="72"/>
    <x v="9"/>
    <s v="RE P1"/>
    <s v="sangeeta"/>
    <n v="66"/>
    <s v="OD Under Size"/>
    <x v="6"/>
    <d v="2025-11-01T00:00:00"/>
    <n v="1"/>
    <m/>
    <m/>
    <m/>
    <n v="1"/>
    <n v="357.61"/>
    <n v="357.61"/>
    <n v="3242"/>
    <n v="28"/>
    <s v="Kept inside on m/c"/>
    <s v="Due to operator"/>
    <s v="infrastructure "/>
  </r>
  <r>
    <n v="110"/>
    <n v="78"/>
    <s v="277-07"/>
    <s v="Bestak"/>
    <s v="Grinding"/>
    <n v="72"/>
    <x v="9"/>
    <s v="RE P1"/>
    <s v="pintu"/>
    <n v="66"/>
    <s v="OD Under Size"/>
    <x v="6"/>
    <d v="2025-11-01T00:00:00"/>
    <n v="2"/>
    <m/>
    <m/>
    <m/>
    <n v="2"/>
    <n v="357.61"/>
    <n v="715.22"/>
    <n v="3242"/>
    <n v="28"/>
    <s v="Kept inside on m/c"/>
    <s v="Due to operator"/>
    <s v="infrastructure "/>
  </r>
  <r>
    <n v="111"/>
    <n v="78"/>
    <s v="277-07"/>
    <s v="Bestak"/>
    <s v="Grinding"/>
    <n v="52"/>
    <x v="0"/>
    <s v="RE P1"/>
    <s v="pintu"/>
    <n v="66"/>
    <s v="OD Under Size"/>
    <x v="6"/>
    <d v="2025-11-01T00:00:00"/>
    <n v="3"/>
    <m/>
    <m/>
    <m/>
    <n v="3"/>
    <n v="400"/>
    <n v="1200"/>
    <n v="3242"/>
    <n v="21"/>
    <s v="During setup time"/>
    <s v="Due to Settup  "/>
    <s v="skill"/>
  </r>
  <r>
    <n v="112"/>
    <n v="74"/>
    <s v="277-03"/>
    <s v="Bestak"/>
    <s v="Grinding"/>
    <n v="52"/>
    <x v="0"/>
    <s v="RE P1"/>
    <s v="chetan"/>
    <n v="66"/>
    <s v="OD Under Size"/>
    <x v="6"/>
    <d v="2025-11-01T00:00:00"/>
    <n v="1"/>
    <m/>
    <m/>
    <m/>
    <n v="1"/>
    <n v="400"/>
    <n v="400"/>
    <n v="3242"/>
    <n v="21"/>
    <s v="During setup time"/>
    <s v="Due to Settup  "/>
    <s v="skill"/>
  </r>
  <r>
    <n v="113"/>
    <n v="87"/>
    <s v="293-04"/>
    <s v="Bestak"/>
    <s v="Grinding"/>
    <n v="52"/>
    <x v="0"/>
    <s v="RE P1"/>
    <s v="balram"/>
    <n v="13"/>
    <s v="Burn"/>
    <x v="6"/>
    <d v="2025-11-01T00:00:00"/>
    <n v="1"/>
    <m/>
    <m/>
    <m/>
    <n v="1"/>
    <n v="400"/>
    <n v="400"/>
    <n v="0"/>
    <n v="21"/>
    <s v="During setup time"/>
    <s v="Due to Settup  "/>
    <s v="skill"/>
  </r>
  <r>
    <n v="114"/>
    <n v="58"/>
    <s v="LCS-04"/>
    <s v="LCS"/>
    <s v="Teeth Grinding"/>
    <n v="122"/>
    <x v="3"/>
    <s v="RE J1"/>
    <m/>
    <n v="91"/>
    <s v="Teeth dent "/>
    <x v="6"/>
    <d v="2025-11-01T00:00:00"/>
    <n v="12"/>
    <m/>
    <m/>
    <m/>
    <n v="12"/>
    <n v="335.39977528089889"/>
    <n v="4024.7973033707867"/>
    <n v="3232"/>
    <n v="24"/>
    <s v="FQC return"/>
    <s v="Due to operator"/>
    <s v="infrastructure "/>
  </r>
  <r>
    <n v="115"/>
    <n v="59"/>
    <s v="LCS-05"/>
    <s v="LCS"/>
    <s v="Teeth Grinding"/>
    <n v="102"/>
    <x v="8"/>
    <s v="RE J1"/>
    <m/>
    <n v="91"/>
    <s v="Teeth dent "/>
    <x v="6"/>
    <d v="2025-11-01T00:00:00"/>
    <n v="25"/>
    <m/>
    <m/>
    <m/>
    <n v="25"/>
    <n v="93"/>
    <n v="2325"/>
    <n v="3232"/>
    <n v="24"/>
    <s v="FQC return"/>
    <s v="Due to operator"/>
    <s v="infrastructure "/>
  </r>
  <r>
    <n v="116"/>
    <n v="59"/>
    <s v="LCS-05"/>
    <s v="LCS"/>
    <s v="Teeth Grinding"/>
    <n v="102"/>
    <x v="8"/>
    <s v="RE J1"/>
    <s v="deepak"/>
    <m/>
    <s v="Heavy chetaring"/>
    <x v="6"/>
    <d v="2025-11-01T00:00:00"/>
    <m/>
    <n v="6"/>
    <m/>
    <m/>
    <n v="6"/>
    <n v="93"/>
    <n v="558"/>
    <n v="0"/>
    <n v="33"/>
    <s v="Maintanance trial"/>
    <s v="Due to machine "/>
    <s v="process"/>
  </r>
  <r>
    <n v="117"/>
    <n v="72"/>
    <s v="276-03"/>
    <s v="Hi-life"/>
    <s v="Grinding"/>
    <n v="52"/>
    <x v="0"/>
    <s v="RE P1"/>
    <s v="jitendra"/>
    <n v="66"/>
    <s v="OD Under Size"/>
    <x v="6"/>
    <d v="2025-11-01T00:00:00"/>
    <m/>
    <m/>
    <n v="3"/>
    <m/>
    <n v="3"/>
    <n v="400"/>
    <n v="1200"/>
    <n v="3242"/>
    <n v="36"/>
    <s v="Marpose disturb"/>
    <s v="Due to machine "/>
    <s v="process"/>
  </r>
  <r>
    <n v="118"/>
    <n v="78"/>
    <s v="277-07"/>
    <s v="Bestak"/>
    <s v="Grinding"/>
    <n v="52"/>
    <x v="0"/>
    <s v="RE P1"/>
    <s v="sagar"/>
    <n v="66"/>
    <s v="OD Under Size"/>
    <x v="6"/>
    <d v="2025-11-01T00:00:00"/>
    <m/>
    <m/>
    <n v="1"/>
    <m/>
    <n v="1"/>
    <n v="400"/>
    <n v="400"/>
    <n v="3242"/>
    <n v="19"/>
    <s v="During Rework time"/>
    <s v="Due to operator"/>
    <s v="infrastructure "/>
  </r>
  <r>
    <n v="119"/>
    <n v="74"/>
    <s v="277-03"/>
    <s v="Bestak"/>
    <s v="Grinding"/>
    <n v="52"/>
    <x v="0"/>
    <s v="RE P1"/>
    <s v="sagar"/>
    <n v="66"/>
    <s v="OD Under Size"/>
    <x v="6"/>
    <d v="2025-11-01T00:00:00"/>
    <m/>
    <m/>
    <n v="1"/>
    <m/>
    <n v="1"/>
    <n v="400"/>
    <n v="400"/>
    <n v="3242"/>
    <n v="11"/>
    <s v="Cycle time reduce by operator"/>
    <s v="Due to operator"/>
    <s v="infrastructure "/>
  </r>
  <r>
    <n v="120"/>
    <n v="87"/>
    <s v="293-04"/>
    <s v="Bestak"/>
    <s v="Grinding"/>
    <n v="52"/>
    <x v="0"/>
    <s v="RE P1"/>
    <s v="shubhash"/>
    <n v="13"/>
    <s v="Burn"/>
    <x v="6"/>
    <d v="2025-11-01T00:00:00"/>
    <m/>
    <m/>
    <n v="1"/>
    <m/>
    <n v="1"/>
    <n v="400"/>
    <n v="400"/>
    <n v="0"/>
    <n v="5"/>
    <s v="Burn test"/>
    <s v="Line audit"/>
    <s v="Process Issue"/>
  </r>
  <r>
    <n v="121"/>
    <n v="26"/>
    <s v="ACE-06"/>
    <s v="Micromatic"/>
    <s v="Turning"/>
    <n v="154"/>
    <x v="1"/>
    <s v="RE J1"/>
    <s v="atul"/>
    <n v="5"/>
    <s v="Bore Over size"/>
    <x v="6"/>
    <d v="2025-11-01T00:00:00"/>
    <m/>
    <m/>
    <n v="1"/>
    <m/>
    <n v="1"/>
    <n v="82.64"/>
    <n v="82.64"/>
    <n v="3243"/>
    <n v="23"/>
    <s v="during wheel change"/>
    <s v="Line audit"/>
    <s v="Process Issue"/>
  </r>
  <r>
    <n v="122"/>
    <n v="59"/>
    <s v="LCS-05"/>
    <s v="LCS"/>
    <s v="Teeth Grinding"/>
    <n v="102"/>
    <x v="8"/>
    <s v="RE J1"/>
    <s v="krishna"/>
    <n v="56"/>
    <s v="MOP u/s "/>
    <x v="6"/>
    <d v="2025-11-01T00:00:00"/>
    <m/>
    <m/>
    <n v="1"/>
    <m/>
    <n v="1"/>
    <n v="93"/>
    <n v="93"/>
    <n v="3234"/>
    <n v="1"/>
    <s v="After dressing"/>
    <s v="Due to machine "/>
    <s v="process"/>
  </r>
  <r>
    <n v="123"/>
    <n v="75"/>
    <s v="277-04"/>
    <s v="Bestak"/>
    <s v="Grinding"/>
    <n v="52"/>
    <x v="0"/>
    <s v="RE P1"/>
    <s v="sangeeta"/>
    <m/>
    <s v="OD desh mark "/>
    <x v="7"/>
    <d v="2025-11-01T00:00:00"/>
    <n v="1"/>
    <m/>
    <m/>
    <m/>
    <n v="1"/>
    <n v="400"/>
    <n v="400"/>
    <n v="0"/>
    <n v="28"/>
    <s v="Kept inside on m/c"/>
    <s v="Due to operator"/>
    <s v="infrastructure "/>
  </r>
  <r>
    <n v="124"/>
    <n v="75"/>
    <s v="277-04"/>
    <s v="Bestak"/>
    <s v="Grinding"/>
    <n v="52"/>
    <x v="0"/>
    <s v="RE P1"/>
    <s v="sangeeta"/>
    <n v="66"/>
    <s v="OD Under Size"/>
    <x v="7"/>
    <d v="2025-11-01T00:00:00"/>
    <n v="2"/>
    <m/>
    <m/>
    <m/>
    <n v="2"/>
    <n v="400"/>
    <n v="800"/>
    <n v="3242"/>
    <n v="28"/>
    <s v="Kept inside on m/c"/>
    <s v="Due to operator"/>
    <s v="infrastructure "/>
  </r>
  <r>
    <n v="125"/>
    <n v="72"/>
    <s v="276-03"/>
    <s v="Hi-life"/>
    <s v="Grinding"/>
    <n v="52"/>
    <x v="0"/>
    <s v="RE P1"/>
    <s v="chetan"/>
    <n v="66"/>
    <s v="OD Under Size"/>
    <x v="7"/>
    <d v="2025-11-01T00:00:00"/>
    <n v="2"/>
    <m/>
    <m/>
    <m/>
    <n v="2"/>
    <n v="400"/>
    <n v="800"/>
    <n v="3242"/>
    <n v="11"/>
    <s v="Cycle time reduce by operator"/>
    <s v="Due to operator"/>
    <s v="infrastructure "/>
  </r>
  <r>
    <n v="126"/>
    <n v="87"/>
    <s v="293-04"/>
    <s v="Bestak"/>
    <s v="Grinding"/>
    <n v="52"/>
    <x v="0"/>
    <s v="RE P1"/>
    <s v="balram"/>
    <n v="13"/>
    <s v="Burn"/>
    <x v="7"/>
    <d v="2025-11-01T00:00:00"/>
    <n v="1"/>
    <m/>
    <m/>
    <m/>
    <n v="1"/>
    <n v="400"/>
    <n v="400"/>
    <n v="0"/>
    <n v="5"/>
    <s v="Burn test"/>
    <s v="Line audit"/>
    <s v="Process Issue"/>
  </r>
  <r>
    <n v="127"/>
    <n v="59"/>
    <s v="LCS-05"/>
    <s v="LCS"/>
    <s v="Teeth Grinding"/>
    <n v="155"/>
    <x v="2"/>
    <s v="RE J1"/>
    <s v="gopal"/>
    <n v="91"/>
    <s v="Teeth dent "/>
    <x v="7"/>
    <d v="2025-11-01T00:00:00"/>
    <n v="20"/>
    <m/>
    <m/>
    <m/>
    <n v="20"/>
    <n v="107.67"/>
    <n v="2153.4"/>
    <n v="3232"/>
    <n v="24"/>
    <s v="FQC return"/>
    <s v="Due to operator"/>
    <s v="infrastructure "/>
  </r>
  <r>
    <n v="128"/>
    <n v="58"/>
    <s v="LCS-04"/>
    <s v="LCS"/>
    <s v="Teeth Grinding"/>
    <n v="28"/>
    <x v="4"/>
    <s v="RE P1"/>
    <s v="pooja"/>
    <n v="56"/>
    <s v="MOP u/s "/>
    <x v="7"/>
    <d v="2025-11-01T00:00:00"/>
    <n v="32"/>
    <m/>
    <m/>
    <m/>
    <n v="32"/>
    <n v="124.07"/>
    <n v="3970.24"/>
    <n v="3234"/>
    <n v="19"/>
    <s v="During Rework time"/>
    <s v="Due to operator"/>
    <s v="infrastructure "/>
  </r>
  <r>
    <n v="129"/>
    <n v="60"/>
    <s v="LCS-06"/>
    <s v="LCS"/>
    <s v="Teeth Grinding"/>
    <n v="155"/>
    <x v="2"/>
    <s v="RE J1"/>
    <s v="sangeeta"/>
    <n v="13"/>
    <s v="Burn"/>
    <x v="7"/>
    <d v="2025-11-01T00:00:00"/>
    <n v="1"/>
    <m/>
    <m/>
    <m/>
    <n v="1"/>
    <n v="107.67"/>
    <n v="107.67"/>
    <n v="0"/>
    <n v="21"/>
    <s v="During setup time"/>
    <s v="Due to Settup  "/>
    <s v="skill"/>
  </r>
  <r>
    <n v="130"/>
    <n v="68"/>
    <s v="275-06"/>
    <s v="Toyoda"/>
    <s v="Grinding"/>
    <n v="52"/>
    <x v="0"/>
    <s v="RE P1"/>
    <s v="sangeeta"/>
    <n v="80"/>
    <s v="Rust "/>
    <x v="7"/>
    <d v="2025-11-01T00:00:00"/>
    <n v="1"/>
    <m/>
    <m/>
    <m/>
    <n v="1"/>
    <n v="400"/>
    <n v="400"/>
    <n v="0"/>
    <n v="28"/>
    <s v="Kept inside on m/c"/>
    <s v="Due to operator"/>
    <s v="infrastructure "/>
  </r>
  <r>
    <n v="131"/>
    <n v="68"/>
    <s v="275-06"/>
    <s v="Toyoda"/>
    <s v="Grinding"/>
    <n v="72"/>
    <x v="9"/>
    <s v="RE P1"/>
    <s v="sangeeta"/>
    <n v="80"/>
    <s v="Rust "/>
    <x v="7"/>
    <d v="2025-11-01T00:00:00"/>
    <n v="1"/>
    <m/>
    <m/>
    <m/>
    <n v="1"/>
    <n v="357.61"/>
    <n v="357.61"/>
    <n v="0"/>
    <n v="28"/>
    <s v="Kept inside on m/c"/>
    <s v="Due to operator"/>
    <s v="infrastructure "/>
  </r>
  <r>
    <n v="132"/>
    <n v="68"/>
    <s v="275-06"/>
    <s v="Toyoda"/>
    <s v="Grinding"/>
    <n v="152"/>
    <x v="5"/>
    <s v="RE J1"/>
    <m/>
    <n v="80"/>
    <s v="Rust "/>
    <x v="7"/>
    <d v="2025-11-01T00:00:00"/>
    <n v="1"/>
    <m/>
    <m/>
    <m/>
    <n v="1"/>
    <n v="439.18"/>
    <n v="439.18"/>
    <n v="0"/>
    <n v="28"/>
    <s v="Kept inside on m/c"/>
    <s v="Due to operator"/>
    <s v="infrastructure "/>
  </r>
  <r>
    <n v="133"/>
    <n v="58"/>
    <s v="LCS-04"/>
    <s v="LCS"/>
    <s v="Teeth Grinding"/>
    <n v="122"/>
    <x v="3"/>
    <s v="RE J1"/>
    <s v="surendra"/>
    <n v="56"/>
    <s v="MOP u/s "/>
    <x v="7"/>
    <d v="2025-11-01T00:00:00"/>
    <m/>
    <n v="1"/>
    <m/>
    <m/>
    <n v="1"/>
    <n v="335.39977528089889"/>
    <n v="335.39977528089889"/>
    <n v="3234"/>
    <n v="12"/>
    <s v="Double loading"/>
    <s v="Due to operator"/>
    <s v="infrastructure "/>
  </r>
  <r>
    <n v="134"/>
    <n v="59"/>
    <s v="LCS-05"/>
    <s v="LCS"/>
    <s v="Teeth Grinding"/>
    <n v="102"/>
    <x v="8"/>
    <s v="RE J1"/>
    <s v="yash"/>
    <n v="56"/>
    <s v="MOP u/s "/>
    <x v="7"/>
    <d v="2025-11-01T00:00:00"/>
    <m/>
    <n v="1"/>
    <m/>
    <m/>
    <n v="1"/>
    <n v="93"/>
    <n v="93"/>
    <n v="3234"/>
    <n v="33"/>
    <s v="Maintanance trial"/>
    <s v="Due to machine "/>
    <s v="process"/>
  </r>
  <r>
    <n v="135"/>
    <n v="58"/>
    <s v="LCS-04"/>
    <s v="LCS"/>
    <s v="Teeth Grinding"/>
    <n v="185"/>
    <x v="7"/>
    <s v="RE Bush"/>
    <s v="surendra"/>
    <n v="14"/>
    <s v="Bush damage"/>
    <x v="7"/>
    <d v="2025-11-01T00:00:00"/>
    <m/>
    <n v="1"/>
    <m/>
    <m/>
    <n v="1"/>
    <n v="25.53"/>
    <n v="25.53"/>
    <n v="0"/>
    <n v="6"/>
    <s v="bush will not use again"/>
    <s v="Prod Declared"/>
    <s v="Process Issue"/>
  </r>
  <r>
    <n v="136"/>
    <n v="71"/>
    <s v="276-02"/>
    <s v="Hi-life"/>
    <s v="Grinding"/>
    <n v="152"/>
    <x v="5"/>
    <s v="RE J1"/>
    <s v="jitendra"/>
    <m/>
    <s v="OD desh mark "/>
    <x v="7"/>
    <d v="2025-11-01T00:00:00"/>
    <m/>
    <m/>
    <n v="1"/>
    <m/>
    <n v="1"/>
    <n v="439.18"/>
    <n v="439.18"/>
    <n v="0"/>
    <n v="11"/>
    <s v="Cycle time reduce by operator"/>
    <s v="Due to operator"/>
    <s v="infrastructure "/>
  </r>
  <r>
    <n v="137"/>
    <n v="87"/>
    <s v="293-04"/>
    <s v="Bestak"/>
    <s v="Grinding"/>
    <n v="152"/>
    <x v="5"/>
    <s v="RE J1"/>
    <s v="shubhash"/>
    <n v="13"/>
    <s v="Burn"/>
    <x v="7"/>
    <d v="2025-11-01T00:00:00"/>
    <m/>
    <m/>
    <n v="1"/>
    <m/>
    <n v="1"/>
    <n v="439.18"/>
    <n v="439.18"/>
    <n v="0"/>
    <n v="21"/>
    <s v="During setup time"/>
    <s v="Due to Settup  "/>
    <s v="skill"/>
  </r>
  <r>
    <n v="138"/>
    <n v="59"/>
    <s v="LCS-05"/>
    <s v="LCS"/>
    <s v="Teeth Grinding"/>
    <n v="102"/>
    <x v="8"/>
    <s v="RE J1"/>
    <s v="keval"/>
    <n v="56"/>
    <s v="MOP u/s "/>
    <x v="7"/>
    <d v="2025-11-01T00:00:00"/>
    <m/>
    <m/>
    <n v="3"/>
    <m/>
    <n v="3"/>
    <n v="93"/>
    <n v="279"/>
    <n v="3234"/>
    <n v="1"/>
    <s v="After dressing"/>
    <s v="Due to machine "/>
    <s v="process"/>
  </r>
  <r>
    <n v="139"/>
    <n v="75"/>
    <s v="277-04"/>
    <s v="Bestak"/>
    <s v="Grinding"/>
    <n v="152"/>
    <x v="5"/>
    <s v="RE J1"/>
    <s v="chetan"/>
    <n v="66"/>
    <s v="OD Under Size"/>
    <x v="8"/>
    <d v="2025-11-01T00:00:00"/>
    <n v="1"/>
    <m/>
    <m/>
    <m/>
    <n v="1"/>
    <n v="439.18"/>
    <n v="439.18"/>
    <n v="3242"/>
    <n v="12"/>
    <s v="Double loading"/>
    <s v="Due to operator"/>
    <s v="infrastructure "/>
  </r>
  <r>
    <n v="140"/>
    <n v="72"/>
    <s v="276-03"/>
    <s v="Hi-life"/>
    <s v="Grinding"/>
    <n v="152"/>
    <x v="5"/>
    <s v="RE J1"/>
    <s v="rahul"/>
    <n v="66"/>
    <s v="OD Under Size"/>
    <x v="8"/>
    <d v="2025-11-01T00:00:00"/>
    <n v="2"/>
    <m/>
    <m/>
    <m/>
    <n v="2"/>
    <n v="439.18"/>
    <n v="878.36"/>
    <n v="3242"/>
    <n v="45"/>
    <s v="Running m/c"/>
    <s v="Due to machine "/>
    <s v="process"/>
  </r>
  <r>
    <n v="141"/>
    <n v="72"/>
    <s v="276-03"/>
    <s v="Hi-life"/>
    <s v="Grinding"/>
    <n v="152"/>
    <x v="5"/>
    <s v="RE J1"/>
    <s v="rahul"/>
    <n v="93"/>
    <s v="Thickness Under size"/>
    <x v="8"/>
    <d v="2025-11-01T00:00:00"/>
    <n v="5"/>
    <m/>
    <m/>
    <m/>
    <n v="5"/>
    <n v="439.18"/>
    <n v="2195.9"/>
    <n v="3258"/>
    <n v="64"/>
    <s v="Wrong correction"/>
    <s v="Due to operator"/>
    <s v="infrastructure "/>
  </r>
  <r>
    <n v="142"/>
    <n v="58"/>
    <s v="LCS-04"/>
    <s v="LCS"/>
    <s v="Teeth Grinding"/>
    <n v="122"/>
    <x v="3"/>
    <s v="RE J1"/>
    <m/>
    <n v="91"/>
    <s v="Teeth dent "/>
    <x v="8"/>
    <d v="2025-11-01T00:00:00"/>
    <n v="7"/>
    <m/>
    <m/>
    <m/>
    <n v="7"/>
    <n v="335.39977528089889"/>
    <n v="2347.798426966292"/>
    <n v="3232"/>
    <m/>
    <s v="MOP Master w ear out"/>
    <n v="0"/>
    <n v="0"/>
  </r>
  <r>
    <n v="143"/>
    <n v="59"/>
    <s v="LCS-05"/>
    <s v="LCS"/>
    <s v="Teeth Grinding"/>
    <n v="155"/>
    <x v="2"/>
    <s v="RE J1"/>
    <m/>
    <n v="56"/>
    <s v="MOP u/s "/>
    <x v="8"/>
    <d v="2025-11-01T00:00:00"/>
    <n v="24"/>
    <m/>
    <m/>
    <m/>
    <n v="24"/>
    <n v="107.67"/>
    <n v="2584.08"/>
    <n v="3234"/>
    <n v="19"/>
    <s v="During Rework time"/>
    <s v="Due to operator"/>
    <s v="infrastructure "/>
  </r>
  <r>
    <n v="144"/>
    <n v="59"/>
    <s v="LCS-05"/>
    <s v="LCS"/>
    <s v="Teeth Grinding"/>
    <n v="28"/>
    <x v="4"/>
    <s v="RE P1"/>
    <m/>
    <n v="91"/>
    <s v="Teeth dent "/>
    <x v="8"/>
    <d v="2025-11-01T00:00:00"/>
    <n v="1"/>
    <m/>
    <m/>
    <m/>
    <n v="1"/>
    <n v="124.07"/>
    <n v="124.07"/>
    <n v="3232"/>
    <m/>
    <s v="MOP Master w ear out"/>
    <n v="0"/>
    <n v="0"/>
  </r>
  <r>
    <n v="145"/>
    <n v="60"/>
    <s v="LCS-06"/>
    <s v="LCS"/>
    <s v="Teeth Grinding"/>
    <n v="78"/>
    <x v="10"/>
    <s v="RE P1"/>
    <m/>
    <n v="91"/>
    <s v="Teeth dent "/>
    <x v="8"/>
    <d v="2025-11-01T00:00:00"/>
    <n v="1"/>
    <m/>
    <m/>
    <m/>
    <n v="1"/>
    <n v="468.06"/>
    <n v="468.06"/>
    <n v="3232"/>
    <m/>
    <s v="MOP Master w ear out"/>
    <n v="0"/>
    <n v="0"/>
  </r>
  <r>
    <n v="146"/>
    <n v="59"/>
    <s v="LCS-05"/>
    <s v="LCS"/>
    <s v="Teeth Grinding"/>
    <n v="154"/>
    <x v="1"/>
    <s v="RE J1"/>
    <m/>
    <n v="91"/>
    <s v="Teeth dent "/>
    <x v="8"/>
    <d v="2025-11-01T00:00:00"/>
    <n v="4"/>
    <m/>
    <m/>
    <m/>
    <n v="4"/>
    <n v="82.64"/>
    <n v="330.56"/>
    <n v="3232"/>
    <m/>
    <s v="MOP Master w ear out"/>
    <n v="0"/>
    <n v="0"/>
  </r>
  <r>
    <n v="147"/>
    <n v="60"/>
    <s v="LCS-06"/>
    <s v="LCS"/>
    <s v="Teeth Grinding"/>
    <n v="122"/>
    <x v="3"/>
    <s v="RE J1"/>
    <m/>
    <n v="56"/>
    <s v="MOP u/s "/>
    <x v="8"/>
    <d v="2025-11-01T00:00:00"/>
    <n v="5"/>
    <m/>
    <m/>
    <m/>
    <n v="5"/>
    <n v="335.39977528089889"/>
    <n v="1676.9988764044945"/>
    <n v="3234"/>
    <n v="19"/>
    <s v="During Rework time"/>
    <s v="Due to operator"/>
    <s v="infrastructure "/>
  </r>
  <r>
    <n v="148"/>
    <n v="60"/>
    <s v="LCS-06"/>
    <s v="LCS"/>
    <s v="Teeth Grinding"/>
    <n v="185"/>
    <x v="7"/>
    <s v="RE Bush"/>
    <m/>
    <n v="14"/>
    <s v="Bush damage"/>
    <x v="8"/>
    <d v="2025-11-01T00:00:00"/>
    <n v="12"/>
    <m/>
    <m/>
    <m/>
    <n v="12"/>
    <n v="25.53"/>
    <n v="306.36"/>
    <n v="0"/>
    <n v="6"/>
    <s v="bush will not use again"/>
    <s v="Prod Declared"/>
    <s v="Process Issue"/>
  </r>
  <r>
    <n v="149"/>
    <n v="74"/>
    <s v="277-03"/>
    <s v="Bestak"/>
    <s v="Grinding"/>
    <n v="152"/>
    <x v="5"/>
    <s v="RE J1"/>
    <s v="vinod"/>
    <n v="66"/>
    <s v="OD Under Size"/>
    <x v="8"/>
    <d v="2025-11-01T00:00:00"/>
    <m/>
    <n v="6"/>
    <m/>
    <m/>
    <n v="6"/>
    <n v="439.18"/>
    <n v="2635.08"/>
    <n v="3242"/>
    <n v="19"/>
    <s v="During Rework time"/>
    <s v="Due to operator"/>
    <s v="infrastructure "/>
  </r>
  <r>
    <n v="150"/>
    <n v="72"/>
    <s v="276-03"/>
    <s v="Hi-life"/>
    <s v="Grinding"/>
    <n v="152"/>
    <x v="5"/>
    <s v="RE J1"/>
    <s v="vinod"/>
    <n v="66"/>
    <s v="OD Under Size"/>
    <x v="8"/>
    <d v="2025-11-01T00:00:00"/>
    <m/>
    <n v="7"/>
    <m/>
    <m/>
    <n v="7"/>
    <n v="439.18"/>
    <n v="3074.26"/>
    <n v="3242"/>
    <n v="19"/>
    <s v="During Rework time"/>
    <s v="Due to operator"/>
    <s v="infrastructure "/>
  </r>
  <r>
    <n v="151"/>
    <n v="75"/>
    <s v="277-04"/>
    <s v="Bestak"/>
    <s v="Grinding"/>
    <n v="152"/>
    <x v="5"/>
    <s v="RE J1"/>
    <s v="vinod"/>
    <n v="66"/>
    <s v="OD Under Size"/>
    <x v="8"/>
    <d v="2025-11-01T00:00:00"/>
    <m/>
    <n v="4"/>
    <m/>
    <m/>
    <n v="4"/>
    <n v="439.18"/>
    <n v="1756.72"/>
    <n v="3242"/>
    <n v="19"/>
    <s v="During Rework time"/>
    <s v="Due to operator"/>
    <s v="infrastructure "/>
  </r>
  <r>
    <n v="152"/>
    <n v="59"/>
    <s v="LCS-05"/>
    <s v="LCS"/>
    <s v="Teeth Grinding"/>
    <n v="78"/>
    <x v="10"/>
    <s v="RE P1"/>
    <s v="yash"/>
    <n v="56"/>
    <s v="MOP u/s "/>
    <x v="8"/>
    <d v="2025-11-01T00:00:00"/>
    <m/>
    <n v="1"/>
    <m/>
    <m/>
    <n v="1"/>
    <n v="468.06"/>
    <n v="468.06"/>
    <n v="3234"/>
    <n v="21"/>
    <s v="During setup time"/>
    <s v="Due to Settup  "/>
    <s v="skill"/>
  </r>
  <r>
    <n v="153"/>
    <n v="60"/>
    <s v="LCS-06"/>
    <s v="LCS"/>
    <s v="Teeth Grinding"/>
    <n v="154"/>
    <x v="1"/>
    <s v="RE J1"/>
    <s v="vikash"/>
    <n v="13"/>
    <s v="Burn"/>
    <x v="8"/>
    <d v="2025-11-01T00:00:00"/>
    <m/>
    <n v="1"/>
    <m/>
    <m/>
    <n v="1"/>
    <n v="82.64"/>
    <n v="82.64"/>
    <n v="0"/>
    <n v="21"/>
    <s v="During setup time"/>
    <s v="Due to Settup  "/>
    <s v="skill"/>
  </r>
  <r>
    <n v="154"/>
    <n v="61"/>
    <s v="LCS-07"/>
    <s v="LCS"/>
    <s v="Teeth Grinding"/>
    <n v="185"/>
    <x v="7"/>
    <s v="RE Bush"/>
    <s v="surendra"/>
    <n v="14"/>
    <s v="Bush damage"/>
    <x v="8"/>
    <d v="2025-11-01T00:00:00"/>
    <m/>
    <m/>
    <n v="4"/>
    <m/>
    <n v="4"/>
    <n v="25.53"/>
    <n v="102.12"/>
    <n v="0"/>
    <n v="6"/>
    <s v="bush will not use again"/>
    <s v="Prod Declared"/>
    <s v="Process Issue"/>
  </r>
  <r>
    <n v="155"/>
    <n v="74"/>
    <s v="277-03"/>
    <s v="Bestak"/>
    <s v="Grinding"/>
    <n v="72"/>
    <x v="9"/>
    <s v="RE P1"/>
    <s v="sagar"/>
    <n v="66"/>
    <s v="OD Under Size"/>
    <x v="8"/>
    <d v="2025-11-01T00:00:00"/>
    <m/>
    <m/>
    <n v="1"/>
    <m/>
    <n v="1"/>
    <n v="357.61"/>
    <n v="357.61"/>
    <n v="3242"/>
    <n v="16"/>
    <s v="During correction time"/>
    <s v="Due to operator"/>
    <s v="infrastructure "/>
  </r>
  <r>
    <n v="156"/>
    <n v="71"/>
    <s v="276-02"/>
    <s v="Hi-life"/>
    <s v="Grinding"/>
    <n v="72"/>
    <x v="9"/>
    <s v="RE P1"/>
    <s v="sagar"/>
    <n v="66"/>
    <s v="OD Under Size"/>
    <x v="8"/>
    <d v="2025-11-01T00:00:00"/>
    <m/>
    <m/>
    <n v="1"/>
    <m/>
    <n v="1"/>
    <n v="357.61"/>
    <n v="357.61"/>
    <n v="3242"/>
    <n v="21"/>
    <s v="During setup time"/>
    <s v="Due to Settup  "/>
    <s v="skill"/>
  </r>
  <r>
    <n v="157"/>
    <n v="78"/>
    <s v="277-07"/>
    <s v="Bestak"/>
    <s v="Grinding"/>
    <n v="72"/>
    <x v="9"/>
    <s v="RE P1"/>
    <s v="jitendra"/>
    <n v="66"/>
    <s v="OD Under Size"/>
    <x v="8"/>
    <d v="2025-11-01T00:00:00"/>
    <m/>
    <m/>
    <n v="1"/>
    <m/>
    <n v="1"/>
    <n v="357.61"/>
    <n v="357.61"/>
    <n v="3242"/>
    <n v="21"/>
    <s v="During setup time"/>
    <s v="Due to Settup  "/>
    <s v="skill"/>
  </r>
  <r>
    <n v="158"/>
    <n v="72"/>
    <s v="276-03"/>
    <s v="Hi-life"/>
    <s v="Grinding"/>
    <n v="72"/>
    <x v="9"/>
    <s v="RE P1"/>
    <s v="sagar"/>
    <n v="25"/>
    <s v="Coller thickness under size"/>
    <x v="8"/>
    <d v="2025-11-01T00:00:00"/>
    <m/>
    <m/>
    <n v="2"/>
    <m/>
    <n v="2"/>
    <n v="357.61"/>
    <n v="715.22"/>
    <n v="0"/>
    <n v="21"/>
    <s v="During setup time"/>
    <s v="Due to Settup  "/>
    <s v="skill"/>
  </r>
  <r>
    <n v="159"/>
    <n v="87"/>
    <s v="293-04"/>
    <s v="Bestak"/>
    <s v="Grinding"/>
    <n v="72"/>
    <x v="9"/>
    <s v="RE P1"/>
    <s v="vishal"/>
    <n v="13"/>
    <s v="Burn"/>
    <x v="8"/>
    <d v="2025-11-01T00:00:00"/>
    <m/>
    <m/>
    <n v="1"/>
    <m/>
    <n v="1"/>
    <n v="357.61"/>
    <n v="357.61"/>
    <n v="0"/>
    <n v="5"/>
    <s v="Burn test"/>
    <s v="Line audit"/>
    <s v="Process Issue"/>
  </r>
  <r>
    <n v="160"/>
    <n v="59"/>
    <s v="LCS-05"/>
    <s v="LCS"/>
    <s v="Teeth Grinding"/>
    <n v="78"/>
    <x v="10"/>
    <s v="RE P1"/>
    <s v="rahul"/>
    <n v="13"/>
    <s v="Burn"/>
    <x v="8"/>
    <d v="2025-11-01T00:00:00"/>
    <m/>
    <m/>
    <n v="1"/>
    <m/>
    <n v="1"/>
    <n v="468.06"/>
    <n v="468.06"/>
    <n v="0"/>
    <n v="21"/>
    <s v="During setup time"/>
    <s v="Due to Settup  "/>
    <s v="skill"/>
  </r>
  <r>
    <n v="161"/>
    <n v="59"/>
    <s v="LCS-05"/>
    <s v="LCS"/>
    <s v="Teeth Grinding"/>
    <n v="78"/>
    <x v="10"/>
    <s v="RE P1"/>
    <s v="keval"/>
    <n v="56"/>
    <s v="MOP u/s "/>
    <x v="8"/>
    <d v="2025-11-01T00:00:00"/>
    <m/>
    <m/>
    <n v="2"/>
    <m/>
    <n v="2"/>
    <n v="468.06"/>
    <n v="936.12"/>
    <n v="3234"/>
    <n v="1"/>
    <s v="After dressing"/>
    <s v="Due to machine "/>
    <s v="process"/>
  </r>
  <r>
    <n v="162"/>
    <n v="61"/>
    <s v="LCS-07"/>
    <s v="LCS"/>
    <s v="Teeth Grinding"/>
    <n v="122"/>
    <x v="3"/>
    <s v="RE J1"/>
    <s v="keval"/>
    <n v="56"/>
    <s v="MOP u/s "/>
    <x v="8"/>
    <d v="2025-11-01T00:00:00"/>
    <m/>
    <m/>
    <n v="4"/>
    <m/>
    <n v="4"/>
    <n v="335.39977528089889"/>
    <n v="1341.5991011235956"/>
    <n v="3234"/>
    <n v="1"/>
    <s v="After dressing"/>
    <s v="Due to machine "/>
    <s v="process"/>
  </r>
  <r>
    <n v="163"/>
    <n v="30"/>
    <s v="ACE-10"/>
    <s v="Micromatic"/>
    <s v="Turning"/>
    <n v="154"/>
    <x v="1"/>
    <s v="RE J1"/>
    <s v="jitendra"/>
    <n v="5"/>
    <s v="Bore Over size"/>
    <x v="9"/>
    <d v="2025-11-01T00:00:00"/>
    <n v="3"/>
    <m/>
    <m/>
    <m/>
    <n v="3"/>
    <n v="82.64"/>
    <n v="247.92000000000002"/>
    <n v="3243"/>
    <n v="45"/>
    <s v="Running m/c"/>
    <s v="Due to machine "/>
    <s v="process"/>
  </r>
  <r>
    <n v="164"/>
    <n v="29"/>
    <s v="ACE-09"/>
    <s v="Micromatic"/>
    <s v="Turning"/>
    <n v="154"/>
    <x v="1"/>
    <s v="RE J1"/>
    <s v="pratik"/>
    <n v="5"/>
    <s v="Bore Over size"/>
    <x v="9"/>
    <d v="2025-11-01T00:00:00"/>
    <n v="3"/>
    <m/>
    <m/>
    <m/>
    <n v="3"/>
    <n v="82.64"/>
    <n v="247.92000000000002"/>
    <n v="3243"/>
    <n v="45"/>
    <s v="Running m/c"/>
    <s v="Due to machine "/>
    <s v="process"/>
  </r>
  <r>
    <n v="165"/>
    <n v="27"/>
    <s v="ACE-07"/>
    <s v="Micromatic"/>
    <s v="Turning"/>
    <n v="154"/>
    <x v="1"/>
    <s v="RE J1"/>
    <s v="ravendra"/>
    <n v="5"/>
    <s v="Bore Over size"/>
    <x v="9"/>
    <d v="2025-11-01T00:00:00"/>
    <n v="3"/>
    <m/>
    <m/>
    <m/>
    <n v="3"/>
    <n v="82.64"/>
    <n v="247.92000000000002"/>
    <n v="3243"/>
    <n v="21"/>
    <s v="During setup time"/>
    <s v="Due to Settup  "/>
    <s v="skill"/>
  </r>
  <r>
    <n v="166"/>
    <n v="26"/>
    <s v="ACE-06"/>
    <s v="Micromatic"/>
    <s v="Turning"/>
    <n v="154"/>
    <x v="1"/>
    <s v="RE J1"/>
    <s v="prabhu"/>
    <n v="5"/>
    <s v="Bore Over size"/>
    <x v="9"/>
    <d v="2025-11-01T00:00:00"/>
    <n v="3"/>
    <m/>
    <m/>
    <m/>
    <n v="3"/>
    <n v="82.64"/>
    <n v="247.92000000000002"/>
    <n v="3243"/>
    <n v="45"/>
    <s v="Running m/c"/>
    <s v="Due to machine "/>
    <s v="process"/>
  </r>
  <r>
    <n v="167"/>
    <n v="71"/>
    <s v="276-02"/>
    <s v="Hi-life"/>
    <s v="Grinding"/>
    <n v="152"/>
    <x v="5"/>
    <s v="RE J1"/>
    <m/>
    <n v="66"/>
    <s v="OD Under Size"/>
    <x v="9"/>
    <d v="2025-11-01T00:00:00"/>
    <n v="5"/>
    <m/>
    <m/>
    <m/>
    <n v="5"/>
    <n v="439.18"/>
    <n v="2195.9"/>
    <n v="3242"/>
    <n v="19"/>
    <s v="During Rework time"/>
    <s v="Due to operator"/>
    <s v="infrastructure "/>
  </r>
  <r>
    <n v="168"/>
    <n v="62"/>
    <s v="FQC"/>
    <s v="FQC"/>
    <s v="fqc"/>
    <n v="72"/>
    <x v="9"/>
    <s v="RE P1"/>
    <m/>
    <m/>
    <s v="Thread desh mark"/>
    <x v="9"/>
    <d v="2025-11-01T00:00:00"/>
    <n v="2"/>
    <m/>
    <m/>
    <m/>
    <n v="2"/>
    <n v="357.61"/>
    <n v="715.22"/>
    <n v="0"/>
    <n v="24"/>
    <s v="FQC return"/>
    <s v="Due to operator"/>
    <s v="infrastructure "/>
  </r>
  <r>
    <n v="169"/>
    <n v="60"/>
    <s v="LCS-06"/>
    <s v="LCS"/>
    <s v="Teeth Grinding"/>
    <n v="154"/>
    <x v="1"/>
    <s v="RE J1"/>
    <s v="krishna"/>
    <n v="56"/>
    <s v="MOP u/s "/>
    <x v="9"/>
    <d v="2025-11-01T00:00:00"/>
    <m/>
    <n v="1"/>
    <m/>
    <m/>
    <n v="1"/>
    <n v="82.64"/>
    <n v="82.64"/>
    <n v="3234"/>
    <n v="1"/>
    <s v="After dressing"/>
    <s v="Due to machine "/>
    <s v="process"/>
  </r>
  <r>
    <n v="170"/>
    <n v="56"/>
    <s v="298-02"/>
    <s v="Gear Grinding"/>
    <s v="Teeth Grinding"/>
    <n v="155"/>
    <x v="2"/>
    <s v="RE J1"/>
    <s v="vikash"/>
    <n v="56"/>
    <s v="MOP u/s "/>
    <x v="9"/>
    <d v="2025-11-01T00:00:00"/>
    <m/>
    <n v="3"/>
    <m/>
    <m/>
    <n v="3"/>
    <n v="107.67"/>
    <n v="323.01"/>
    <n v="3234"/>
    <n v="45"/>
    <s v="Running m/c"/>
    <s v="Due to machine "/>
    <s v="process"/>
  </r>
  <r>
    <n v="171"/>
    <n v="57"/>
    <s v="298-01"/>
    <s v="Gear Grinding"/>
    <s v="Teeth Grinding"/>
    <n v="102"/>
    <x v="8"/>
    <s v="RE J1"/>
    <s v="atul"/>
    <n v="91"/>
    <s v="Teeth dent "/>
    <x v="9"/>
    <d v="2025-11-01T00:00:00"/>
    <m/>
    <n v="1"/>
    <m/>
    <m/>
    <n v="1"/>
    <n v="93"/>
    <n v="93"/>
    <n v="3232"/>
    <n v="28"/>
    <s v="Kept inside on m/c"/>
    <s v="Due to operator"/>
    <s v="infrastructure "/>
  </r>
  <r>
    <n v="172"/>
    <n v="78"/>
    <s v="277-07"/>
    <s v="Bestak"/>
    <s v="Grinding"/>
    <n v="72"/>
    <x v="9"/>
    <s v="RE P1"/>
    <m/>
    <n v="66"/>
    <s v="OD Under Size"/>
    <x v="9"/>
    <d v="2025-11-01T00:00:00"/>
    <m/>
    <m/>
    <n v="1"/>
    <m/>
    <n v="1"/>
    <n v="357.61"/>
    <n v="357.61"/>
    <n v="3242"/>
    <n v="28"/>
    <s v="Kept inside on m/c"/>
    <s v="Due to operator"/>
    <s v="infrastructure "/>
  </r>
  <r>
    <n v="173"/>
    <n v="74"/>
    <s v="277-03"/>
    <s v="Bestak"/>
    <s v="Grinding"/>
    <n v="72"/>
    <x v="9"/>
    <s v="RE P1"/>
    <m/>
    <m/>
    <s v="OD desh mark "/>
    <x v="9"/>
    <d v="2025-11-01T00:00:00"/>
    <m/>
    <m/>
    <n v="1"/>
    <m/>
    <n v="1"/>
    <n v="357.61"/>
    <n v="357.61"/>
    <n v="0"/>
    <n v="28"/>
    <s v="Kept inside on m/c"/>
    <s v="Due to operator"/>
    <s v="infrastructure "/>
  </r>
  <r>
    <n v="174"/>
    <n v="72"/>
    <s v="276-03"/>
    <s v="Hi-life"/>
    <s v="Grinding"/>
    <n v="72"/>
    <x v="9"/>
    <s v="RE P1"/>
    <m/>
    <n v="66"/>
    <s v="OD Under Size"/>
    <x v="9"/>
    <d v="2025-11-01T00:00:00"/>
    <m/>
    <m/>
    <n v="1"/>
    <m/>
    <n v="1"/>
    <n v="357.61"/>
    <n v="357.61"/>
    <n v="3242"/>
    <n v="28"/>
    <s v="Kept inside on m/c"/>
    <s v="Due to operator"/>
    <s v="infrastructure "/>
  </r>
  <r>
    <n v="175"/>
    <n v="87"/>
    <s v="293-04"/>
    <s v="Bestak"/>
    <s v="Grinding"/>
    <n v="72"/>
    <x v="9"/>
    <s v="RE P1"/>
    <m/>
    <n v="80"/>
    <s v="Rust "/>
    <x v="9"/>
    <d v="2025-11-01T00:00:00"/>
    <m/>
    <m/>
    <n v="1"/>
    <m/>
    <n v="1"/>
    <n v="357.61"/>
    <n v="357.61"/>
    <n v="0"/>
    <n v="28"/>
    <s v="Kept inside on m/c"/>
    <s v="Due to operator"/>
    <s v="infrastructure "/>
  </r>
  <r>
    <n v="176"/>
    <n v="78"/>
    <s v="277-07"/>
    <s v="Bestak"/>
    <s v="Grinding"/>
    <n v="72"/>
    <x v="9"/>
    <s v="RE P1"/>
    <m/>
    <n v="25"/>
    <s v="Coller thickness under size"/>
    <x v="9"/>
    <d v="2025-11-01T00:00:00"/>
    <m/>
    <m/>
    <n v="1"/>
    <m/>
    <n v="1"/>
    <n v="357.61"/>
    <n v="357.61"/>
    <n v="0"/>
    <n v="28"/>
    <s v="Kept inside on m/c"/>
    <s v="Due to operator"/>
    <s v="infrastructure "/>
  </r>
  <r>
    <n v="177"/>
    <n v="59"/>
    <s v="LCS-05"/>
    <s v="LCS"/>
    <s v="Teeth Grinding"/>
    <n v="78"/>
    <x v="10"/>
    <s v="RE P1"/>
    <s v="anilpal"/>
    <n v="56"/>
    <s v="MOP u/s "/>
    <x v="9"/>
    <d v="2025-11-01T00:00:00"/>
    <m/>
    <m/>
    <n v="3"/>
    <m/>
    <n v="3"/>
    <n v="468.06"/>
    <n v="1404.18"/>
    <n v="3234"/>
    <n v="19"/>
    <s v="During Rework time"/>
    <s v="Due to operator"/>
    <s v="infrastructure "/>
  </r>
  <r>
    <n v="178"/>
    <n v="59"/>
    <s v="LCS-05"/>
    <s v="LCS"/>
    <s v="Teeth Grinding"/>
    <n v="78"/>
    <x v="10"/>
    <s v="RE P1"/>
    <s v="anilpal"/>
    <n v="33"/>
    <s v="Double finishing"/>
    <x v="9"/>
    <d v="2025-11-01T00:00:00"/>
    <m/>
    <m/>
    <n v="3"/>
    <m/>
    <n v="3"/>
    <n v="468.06"/>
    <n v="1404.18"/>
    <n v="0"/>
    <n v="19"/>
    <s v="During Rework time"/>
    <s v="Due to operator"/>
    <s v="infrastructure "/>
  </r>
  <r>
    <n v="179"/>
    <n v="61"/>
    <s v="LCS-07"/>
    <s v="LCS"/>
    <s v="Teeth Grinding"/>
    <n v="122"/>
    <x v="3"/>
    <s v="RE J1"/>
    <s v="keval"/>
    <n v="56"/>
    <s v="MOP u/s "/>
    <x v="9"/>
    <d v="2025-11-01T00:00:00"/>
    <m/>
    <m/>
    <n v="1"/>
    <m/>
    <n v="1"/>
    <n v="335.39977528089889"/>
    <n v="335.39977528089889"/>
    <n v="3234"/>
    <n v="19"/>
    <s v="During Rework time"/>
    <s v="Due to operator"/>
    <s v="infrastructure "/>
  </r>
  <r>
    <n v="180"/>
    <n v="58"/>
    <s v="LCS-04"/>
    <s v="LCS"/>
    <s v="Teeth Grinding"/>
    <n v="122"/>
    <x v="3"/>
    <s v="RE J1"/>
    <s v="krishna"/>
    <n v="56"/>
    <s v="MOP u/s "/>
    <x v="9"/>
    <d v="2025-11-01T00:00:00"/>
    <m/>
    <m/>
    <n v="1"/>
    <m/>
    <n v="1"/>
    <n v="335.39977528089889"/>
    <n v="335.39977528089889"/>
    <n v="3234"/>
    <n v="1"/>
    <s v="After dressing"/>
    <s v="Due to machine "/>
    <s v="process"/>
  </r>
  <r>
    <n v="181"/>
    <n v="58"/>
    <s v="LCS-04"/>
    <s v="LCS"/>
    <s v="Teeth Grinding"/>
    <n v="185"/>
    <x v="7"/>
    <s v="RE Bush"/>
    <s v="krishna"/>
    <n v="14"/>
    <s v="Bush damage"/>
    <x v="9"/>
    <d v="2025-11-01T00:00:00"/>
    <m/>
    <m/>
    <n v="2"/>
    <m/>
    <n v="2"/>
    <n v="25.53"/>
    <n v="51.06"/>
    <n v="0"/>
    <n v="6"/>
    <s v="bush will not use again"/>
    <s v="Prod Declared"/>
    <s v="Process Issue"/>
  </r>
  <r>
    <n v="182"/>
    <n v="74"/>
    <s v="277-03"/>
    <s v="Bestak"/>
    <s v="Grinding"/>
    <n v="72"/>
    <x v="9"/>
    <s v="RE P1"/>
    <s v="alkar"/>
    <n v="66"/>
    <s v="OD Under Size"/>
    <x v="10"/>
    <d v="2025-11-01T00:00:00"/>
    <n v="3"/>
    <m/>
    <m/>
    <m/>
    <n v="3"/>
    <n v="357.61"/>
    <n v="1072.83"/>
    <n v="3242"/>
    <n v="28"/>
    <s v="Kept inside on m/c"/>
    <s v="Due to operator"/>
    <s v="infrastructure "/>
  </r>
  <r>
    <n v="183"/>
    <n v="78"/>
    <s v="277-07"/>
    <s v="Bestak"/>
    <s v="Grinding"/>
    <n v="72"/>
    <x v="9"/>
    <s v="RE P1"/>
    <s v="alkar"/>
    <n v="66"/>
    <s v="OD Under Size"/>
    <x v="10"/>
    <d v="2025-11-01T00:00:00"/>
    <n v="2"/>
    <m/>
    <m/>
    <m/>
    <n v="2"/>
    <n v="357.61"/>
    <n v="715.22"/>
    <n v="3242"/>
    <n v="19"/>
    <s v="During Rework time"/>
    <s v="Due to operator"/>
    <s v="infrastructure "/>
  </r>
  <r>
    <n v="184"/>
    <n v="75"/>
    <s v="277-04"/>
    <s v="Bestak"/>
    <s v="Grinding"/>
    <n v="72"/>
    <x v="9"/>
    <s v="RE P1"/>
    <s v="jiwan"/>
    <n v="66"/>
    <s v="OD Under Size"/>
    <x v="10"/>
    <d v="2025-11-01T00:00:00"/>
    <n v="2"/>
    <m/>
    <m/>
    <m/>
    <n v="2"/>
    <n v="357.61"/>
    <n v="715.22"/>
    <n v="3242"/>
    <n v="19"/>
    <s v="During Rework time"/>
    <s v="Due to operator"/>
    <s v="infrastructure "/>
  </r>
  <r>
    <n v="185"/>
    <n v="72"/>
    <s v="276-03"/>
    <s v="Hi-life"/>
    <s v="Grinding"/>
    <n v="52"/>
    <x v="0"/>
    <s v="RE P1"/>
    <m/>
    <n v="66"/>
    <s v="OD Under Size"/>
    <x v="10"/>
    <d v="2025-11-01T00:00:00"/>
    <n v="3"/>
    <m/>
    <m/>
    <m/>
    <n v="3"/>
    <n v="400"/>
    <n v="1200"/>
    <n v="3242"/>
    <n v="19"/>
    <s v="During Rework time"/>
    <s v="Due to operator"/>
    <s v="infrastructure "/>
  </r>
  <r>
    <n v="186"/>
    <n v="72"/>
    <s v="276-03"/>
    <s v="Hi-life"/>
    <s v="Grinding"/>
    <n v="52"/>
    <x v="0"/>
    <s v="RE P1"/>
    <m/>
    <n v="66"/>
    <s v="OD Under Size"/>
    <x v="10"/>
    <d v="2025-11-01T00:00:00"/>
    <n v="3"/>
    <m/>
    <m/>
    <m/>
    <n v="3"/>
    <n v="400"/>
    <n v="1200"/>
    <n v="3242"/>
    <n v="21"/>
    <s v="During setup time"/>
    <s v="Due to Settup  "/>
    <s v="skill"/>
  </r>
  <r>
    <n v="187"/>
    <n v="29"/>
    <s v="ACE-09"/>
    <s v="Micromatic"/>
    <s v="Turning"/>
    <n v="154"/>
    <x v="1"/>
    <s v="RE J1"/>
    <m/>
    <n v="5"/>
    <s v="Bore Over size"/>
    <x v="10"/>
    <d v="2025-11-01T00:00:00"/>
    <n v="20"/>
    <m/>
    <m/>
    <m/>
    <n v="20"/>
    <n v="82.64"/>
    <n v="1652.8"/>
    <n v="3243"/>
    <n v="19"/>
    <s v="During Rework time"/>
    <s v="Due to operator"/>
    <s v="infrastructure "/>
  </r>
  <r>
    <n v="188"/>
    <n v="33"/>
    <s v="ACE-13"/>
    <s v="Micromatic"/>
    <s v="Turning"/>
    <n v="154"/>
    <x v="1"/>
    <s v="RE J1"/>
    <m/>
    <n v="93"/>
    <s v="Thickness Under size"/>
    <x v="10"/>
    <d v="2025-11-01T00:00:00"/>
    <n v="15"/>
    <m/>
    <m/>
    <m/>
    <n v="15"/>
    <n v="82.64"/>
    <n v="1239.5999999999999"/>
    <n v="3258"/>
    <n v="19"/>
    <s v="During Rework time"/>
    <s v="Due to operator"/>
    <s v="infrastructure "/>
  </r>
  <r>
    <n v="189"/>
    <n v="59"/>
    <s v="LCS-05"/>
    <s v="LCS"/>
    <s v="Teeth Grinding"/>
    <n v="78"/>
    <x v="10"/>
    <s v="RE P1"/>
    <s v="jyoti"/>
    <n v="56"/>
    <s v="MOP u/s "/>
    <x v="10"/>
    <d v="2025-11-01T00:00:00"/>
    <n v="1"/>
    <m/>
    <m/>
    <m/>
    <n v="1"/>
    <n v="468.06"/>
    <n v="468.06"/>
    <n v="3234"/>
    <n v="1"/>
    <s v="After dressing"/>
    <s v="Due to machine "/>
    <s v="process"/>
  </r>
  <r>
    <n v="190"/>
    <n v="58"/>
    <s v="LCS-04"/>
    <s v="LCS"/>
    <s v="Teeth Grinding"/>
    <n v="28"/>
    <x v="4"/>
    <s v="RE P1"/>
    <s v="ajay"/>
    <n v="13"/>
    <s v="Burn"/>
    <x v="10"/>
    <d v="2025-11-01T00:00:00"/>
    <n v="1"/>
    <m/>
    <m/>
    <m/>
    <n v="1"/>
    <n v="124.07"/>
    <n v="124.07"/>
    <n v="0"/>
    <n v="21"/>
    <s v="During setup time"/>
    <s v="Due to Settup  "/>
    <s v="skill"/>
  </r>
  <r>
    <n v="191"/>
    <n v="87"/>
    <s v="293-04"/>
    <s v="Bestak"/>
    <s v="Grinding"/>
    <n v="52"/>
    <x v="0"/>
    <s v="RE P1"/>
    <s v="shubhash"/>
    <n v="13"/>
    <s v="Burn"/>
    <x v="10"/>
    <d v="2025-11-01T00:00:00"/>
    <n v="1"/>
    <m/>
    <m/>
    <m/>
    <n v="1"/>
    <n v="400"/>
    <n v="400"/>
    <n v="0"/>
    <n v="21"/>
    <s v="During setup time"/>
    <s v="Due to Settup  "/>
    <s v="skill"/>
  </r>
  <r>
    <n v="192"/>
    <n v="29"/>
    <s v="ACE-09"/>
    <s v="Micromatic"/>
    <s v="Turning"/>
    <n v="154"/>
    <x v="1"/>
    <s v="RE J1"/>
    <s v="bholaram"/>
    <n v="5"/>
    <s v="Bore Over size"/>
    <x v="10"/>
    <d v="2025-11-01T00:00:00"/>
    <m/>
    <n v="1"/>
    <m/>
    <m/>
    <n v="1"/>
    <n v="82.64"/>
    <n v="82.64"/>
    <n v="3243"/>
    <n v="12"/>
    <s v="Double loading"/>
    <s v="Due to operator"/>
    <s v="infrastructure "/>
  </r>
  <r>
    <n v="193"/>
    <n v="29"/>
    <s v="ACE-09"/>
    <s v="Micromatic"/>
    <s v="Turning"/>
    <n v="154"/>
    <x v="1"/>
    <s v="RE J1"/>
    <s v="bholaram"/>
    <n v="5"/>
    <s v="Bore Over size"/>
    <x v="10"/>
    <d v="2025-11-01T00:00:00"/>
    <m/>
    <n v="3"/>
    <m/>
    <m/>
    <n v="3"/>
    <n v="82.64"/>
    <n v="247.92000000000002"/>
    <n v="3243"/>
    <n v="28"/>
    <s v="Kept inside on m/c"/>
    <s v="Due to operator"/>
    <s v="infrastructure "/>
  </r>
  <r>
    <n v="194"/>
    <n v="75"/>
    <s v="277-04"/>
    <s v="Bestak"/>
    <s v="Grinding"/>
    <n v="52"/>
    <x v="0"/>
    <s v="RE P1"/>
    <s v="jitendra"/>
    <n v="66"/>
    <s v="OD Under Size"/>
    <x v="10"/>
    <d v="2025-11-01T00:00:00"/>
    <m/>
    <n v="1"/>
    <m/>
    <m/>
    <n v="1"/>
    <n v="400"/>
    <n v="400"/>
    <n v="3242"/>
    <n v="12"/>
    <s v="Double loading"/>
    <s v="Due to operator"/>
    <s v="infrastructure "/>
  </r>
  <r>
    <n v="195"/>
    <n v="61"/>
    <s v="LCS-07"/>
    <s v="LCS"/>
    <s v="Teeth Grinding"/>
    <n v="122"/>
    <x v="3"/>
    <s v="RE J1"/>
    <s v="prakash"/>
    <n v="13"/>
    <s v="Burn"/>
    <x v="10"/>
    <d v="2025-11-01T00:00:00"/>
    <m/>
    <n v="1"/>
    <m/>
    <m/>
    <n v="1"/>
    <n v="335.39977528089889"/>
    <n v="335.39977528089889"/>
    <n v="0"/>
    <n v="21"/>
    <s v="During setup time"/>
    <s v="Due to Settup  "/>
    <s v="skill"/>
  </r>
  <r>
    <n v="196"/>
    <n v="61"/>
    <s v="LCS-07"/>
    <s v="LCS"/>
    <s v="Teeth Grinding"/>
    <n v="122"/>
    <x v="3"/>
    <s v="RE J1"/>
    <s v="prakash"/>
    <n v="56"/>
    <s v="MOP u/s "/>
    <x v="10"/>
    <d v="2025-11-01T00:00:00"/>
    <m/>
    <n v="1"/>
    <m/>
    <m/>
    <n v="1"/>
    <n v="335.39977528089889"/>
    <n v="335.39977528089889"/>
    <n v="3234"/>
    <n v="23"/>
    <s v="during wheel change"/>
    <s v="Line audit"/>
    <s v="Process Issue"/>
  </r>
  <r>
    <n v="197"/>
    <n v="61"/>
    <s v="LCS-07"/>
    <s v="LCS"/>
    <s v="Teeth Grinding"/>
    <n v="185"/>
    <x v="7"/>
    <s v="RE Bush"/>
    <s v="prakash"/>
    <n v="14"/>
    <s v="Bush damage"/>
    <x v="10"/>
    <d v="2025-11-01T00:00:00"/>
    <m/>
    <n v="2"/>
    <m/>
    <m/>
    <n v="2"/>
    <n v="25.53"/>
    <n v="51.06"/>
    <n v="0"/>
    <n v="6"/>
    <s v="bush will not use again"/>
    <s v="Prod Declared"/>
    <s v="Process Issue"/>
  </r>
  <r>
    <n v="198"/>
    <n v="59"/>
    <s v="LCS-05"/>
    <s v="LCS"/>
    <s v="Teeth Grinding"/>
    <n v="154"/>
    <x v="1"/>
    <s v="RE J1"/>
    <s v="deepak"/>
    <n v="13"/>
    <s v="Burn"/>
    <x v="10"/>
    <d v="2025-11-01T00:00:00"/>
    <m/>
    <n v="1"/>
    <m/>
    <m/>
    <n v="1"/>
    <n v="82.64"/>
    <n v="82.64"/>
    <n v="0"/>
    <n v="21"/>
    <s v="During setup time"/>
    <s v="Due to Settup  "/>
    <s v="skill"/>
  </r>
  <r>
    <n v="199"/>
    <n v="56"/>
    <s v="298-02"/>
    <s v="Gear Grinding"/>
    <s v="Teeth Grinding"/>
    <n v="155"/>
    <x v="2"/>
    <s v="RE J1"/>
    <s v="jay"/>
    <n v="56"/>
    <s v="MOP u/s "/>
    <x v="10"/>
    <d v="2025-11-01T00:00:00"/>
    <m/>
    <n v="16"/>
    <m/>
    <m/>
    <n v="16"/>
    <n v="107.67"/>
    <n v="1722.72"/>
    <n v="3234"/>
    <n v="24"/>
    <s v="FQC return"/>
    <s v="Due to operator"/>
    <s v="infrastructure "/>
  </r>
  <r>
    <n v="200"/>
    <n v="58"/>
    <s v="LCS-04"/>
    <s v="LCS"/>
    <s v="Teeth Grinding"/>
    <n v="77"/>
    <x v="11"/>
    <s v="RE P1"/>
    <s v="yogendra"/>
    <n v="13"/>
    <s v="Burn"/>
    <x v="10"/>
    <d v="2025-11-01T00:00:00"/>
    <m/>
    <m/>
    <n v="1"/>
    <m/>
    <n v="1"/>
    <n v="79.064999999999998"/>
    <n v="79.064999999999998"/>
    <n v="0"/>
    <n v="21"/>
    <s v="During setup time"/>
    <s v="Due to Settup  "/>
    <s v="skill"/>
  </r>
  <r>
    <n v="201"/>
    <n v="26"/>
    <s v="ACE-06"/>
    <s v="Micromatic"/>
    <s v="Turning"/>
    <n v="154"/>
    <x v="1"/>
    <s v="RE J1"/>
    <s v="ramswaroop"/>
    <n v="5"/>
    <s v="Bore Over size"/>
    <x v="10"/>
    <d v="2025-11-01T00:00:00"/>
    <m/>
    <m/>
    <n v="4"/>
    <m/>
    <n v="4"/>
    <n v="82.64"/>
    <n v="330.56"/>
    <n v="3243"/>
    <n v="23"/>
    <s v="during wheel change"/>
    <s v="Line audit"/>
    <s v="Process Issue"/>
  </r>
  <r>
    <n v="202"/>
    <n v="29"/>
    <s v="ACE-09"/>
    <s v="Micromatic"/>
    <s v="Turning"/>
    <n v="154"/>
    <x v="1"/>
    <s v="RE J1"/>
    <s v="kiran"/>
    <n v="5"/>
    <s v="Bore Over size"/>
    <x v="11"/>
    <d v="2025-11-01T00:00:00"/>
    <n v="2"/>
    <m/>
    <m/>
    <m/>
    <n v="2"/>
    <n v="82.64"/>
    <n v="165.28"/>
    <n v="3243"/>
    <n v="23"/>
    <s v="during wheel change"/>
    <s v="Line audit"/>
    <s v="Process Issue"/>
  </r>
  <r>
    <n v="203"/>
    <n v="72"/>
    <s v="276-03"/>
    <s v="Hi-life"/>
    <s v="Grinding"/>
    <n v="52"/>
    <x v="0"/>
    <s v="RE P1"/>
    <s v="atul"/>
    <n v="66"/>
    <s v="OD Under Size"/>
    <x v="11"/>
    <d v="2025-11-01T00:00:00"/>
    <n v="1"/>
    <m/>
    <m/>
    <m/>
    <n v="1"/>
    <n v="400"/>
    <n v="400"/>
    <n v="3242"/>
    <n v="28"/>
    <s v="Kept inside on m/c"/>
    <s v="Due to operator"/>
    <s v="infrastructure "/>
  </r>
  <r>
    <n v="204"/>
    <n v="59"/>
    <s v="LCS-05"/>
    <s v="LCS"/>
    <s v="Teeth Grinding"/>
    <n v="77"/>
    <x v="11"/>
    <s v="RE P1"/>
    <s v="yash"/>
    <n v="13"/>
    <s v="Burn"/>
    <x v="11"/>
    <d v="2025-11-01T00:00:00"/>
    <n v="2"/>
    <m/>
    <m/>
    <m/>
    <n v="2"/>
    <n v="79.064999999999998"/>
    <n v="158.13"/>
    <n v="0"/>
    <n v="21"/>
    <s v="During setup time"/>
    <s v="Due to Settup  "/>
    <s v="skill"/>
  </r>
  <r>
    <n v="205"/>
    <n v="58"/>
    <s v="LCS-04"/>
    <s v="LCS"/>
    <s v="Teeth Grinding"/>
    <n v="154"/>
    <x v="1"/>
    <s v="RE J1"/>
    <m/>
    <n v="13"/>
    <s v="Burn"/>
    <x v="11"/>
    <d v="2025-11-01T00:00:00"/>
    <n v="1"/>
    <m/>
    <m/>
    <m/>
    <n v="1"/>
    <n v="82.64"/>
    <n v="82.64"/>
    <n v="0"/>
    <n v="21"/>
    <s v="During setup time"/>
    <s v="Due to Settup  "/>
    <s v="skill"/>
  </r>
  <r>
    <n v="206"/>
    <n v="59"/>
    <s v="LCS-05"/>
    <s v="LCS"/>
    <s v="Teeth Grinding"/>
    <n v="78"/>
    <x v="10"/>
    <s v="RE P1"/>
    <m/>
    <n v="56"/>
    <s v="MOP u/s "/>
    <x v="11"/>
    <d v="2025-11-01T00:00:00"/>
    <n v="15"/>
    <m/>
    <m/>
    <m/>
    <n v="15"/>
    <n v="468.06"/>
    <n v="7020.9"/>
    <n v="3234"/>
    <n v="1"/>
    <s v="After dressing"/>
    <s v="Due to machine "/>
    <s v="process"/>
  </r>
  <r>
    <n v="207"/>
    <n v="75"/>
    <s v="277-04"/>
    <s v="Bestak"/>
    <s v="Grinding"/>
    <n v="52"/>
    <x v="0"/>
    <s v="RE P1"/>
    <s v="jitendra"/>
    <m/>
    <s v="OD desh mark "/>
    <x v="11"/>
    <d v="2025-11-01T00:00:00"/>
    <m/>
    <n v="1"/>
    <m/>
    <m/>
    <n v="1"/>
    <n v="400"/>
    <n v="400"/>
    <n v="0"/>
    <n v="8"/>
    <s v="Carier bolt slip"/>
    <s v="Due to operator"/>
    <s v="infrastructure "/>
  </r>
  <r>
    <n v="208"/>
    <n v="75"/>
    <s v="277-04"/>
    <s v="Bestak"/>
    <s v="Grinding"/>
    <n v="52"/>
    <x v="0"/>
    <s v="RE P1"/>
    <s v="jitendra"/>
    <n v="66"/>
    <s v="OD Under Size"/>
    <x v="11"/>
    <d v="2025-11-01T00:00:00"/>
    <m/>
    <n v="1"/>
    <m/>
    <m/>
    <n v="1"/>
    <n v="400"/>
    <n v="400"/>
    <n v="3242"/>
    <n v="12"/>
    <s v="Double loading"/>
    <s v="Due to operator"/>
    <s v="infrastructure "/>
  </r>
  <r>
    <n v="209"/>
    <n v="72"/>
    <s v="276-03"/>
    <s v="Hi-life"/>
    <s v="Grinding"/>
    <n v="52"/>
    <x v="0"/>
    <s v="RE P1"/>
    <s v="sagar"/>
    <m/>
    <s v="Gear with u/s"/>
    <x v="11"/>
    <d v="2025-11-01T00:00:00"/>
    <m/>
    <n v="1"/>
    <m/>
    <m/>
    <n v="1"/>
    <n v="400"/>
    <n v="400"/>
    <n v="0"/>
    <n v="64"/>
    <s v="Wrong correction"/>
    <s v="Due to operator"/>
    <s v="infrastructure "/>
  </r>
  <r>
    <n v="210"/>
    <n v="60"/>
    <s v="LCS-06"/>
    <s v="LCS"/>
    <s v="Teeth Grinding"/>
    <n v="155"/>
    <x v="2"/>
    <s v="RE J1"/>
    <s v="vikash"/>
    <n v="56"/>
    <s v="MOP u/s "/>
    <x v="11"/>
    <d v="2025-11-01T00:00:00"/>
    <m/>
    <n v="5"/>
    <m/>
    <m/>
    <n v="5"/>
    <n v="107.67"/>
    <n v="538.35"/>
    <n v="3234"/>
    <n v="1"/>
    <s v="After dressing"/>
    <s v="Due to machine "/>
    <s v="process"/>
  </r>
  <r>
    <n v="211"/>
    <n v="58"/>
    <s v="LCS-04"/>
    <s v="LCS"/>
    <s v="Teeth Grinding"/>
    <n v="77"/>
    <x v="11"/>
    <s v="RE P1"/>
    <s v="krishna"/>
    <n v="56"/>
    <s v="MOP u/s "/>
    <x v="11"/>
    <d v="2025-11-01T00:00:00"/>
    <m/>
    <n v="1"/>
    <m/>
    <m/>
    <n v="1"/>
    <n v="79.064999999999998"/>
    <n v="79.064999999999998"/>
    <n v="3234"/>
    <n v="20"/>
    <s v="During segrigetion "/>
    <s v="During segrigetion "/>
    <s v="Attitude"/>
  </r>
  <r>
    <n v="212"/>
    <n v="56"/>
    <s v="298-02"/>
    <s v="Gear Grinding"/>
    <s v="Teeth Grinding"/>
    <n v="102"/>
    <x v="8"/>
    <s v="RE J1"/>
    <s v="rajpal"/>
    <n v="13"/>
    <s v="Burn"/>
    <x v="11"/>
    <d v="2025-11-01T00:00:00"/>
    <m/>
    <n v="1"/>
    <m/>
    <m/>
    <n v="1"/>
    <n v="93"/>
    <n v="93"/>
    <n v="0"/>
    <n v="5"/>
    <s v="Burn test"/>
    <s v="Line audit"/>
    <s v="Process Issue"/>
  </r>
  <r>
    <n v="213"/>
    <n v="59"/>
    <s v="LCS-05"/>
    <s v="LCS"/>
    <s v="Teeth Grinding"/>
    <n v="155"/>
    <x v="2"/>
    <s v="RE J1"/>
    <s v="vikash"/>
    <n v="13"/>
    <s v="Burn"/>
    <x v="11"/>
    <d v="2025-11-01T00:00:00"/>
    <m/>
    <n v="1"/>
    <m/>
    <m/>
    <n v="1"/>
    <n v="107.67"/>
    <n v="107.67"/>
    <n v="0"/>
    <n v="5"/>
    <s v="Burn test"/>
    <s v="Line audit"/>
    <s v="Process Issue"/>
  </r>
  <r>
    <n v="214"/>
    <n v="61"/>
    <s v="LCS-07"/>
    <s v="LCS"/>
    <s v="Teeth Grinding"/>
    <n v="122"/>
    <x v="3"/>
    <s v="RE J1"/>
    <s v="prakash"/>
    <n v="13"/>
    <s v="Burn"/>
    <x v="11"/>
    <d v="2025-11-01T00:00:00"/>
    <m/>
    <n v="1"/>
    <m/>
    <m/>
    <n v="1"/>
    <n v="335.39977528089889"/>
    <n v="335.39977528089889"/>
    <n v="0"/>
    <n v="5"/>
    <s v="Burn test"/>
    <s v="Line audit"/>
    <s v="Process Issue"/>
  </r>
  <r>
    <n v="215"/>
    <n v="61"/>
    <s v="LCS-07"/>
    <s v="LCS"/>
    <s v="Teeth Grinding"/>
    <n v="122"/>
    <x v="3"/>
    <s v="RE J1"/>
    <s v="prakash"/>
    <n v="91"/>
    <s v="Teeth dent "/>
    <x v="11"/>
    <d v="2025-11-01T00:00:00"/>
    <m/>
    <n v="1"/>
    <m/>
    <m/>
    <n v="1"/>
    <n v="335.39977528089889"/>
    <n v="335.39977528089889"/>
    <n v="3232"/>
    <n v="28"/>
    <s v="Kept inside on m/c"/>
    <s v="Due to operator"/>
    <s v="infrastructure "/>
  </r>
  <r>
    <n v="216"/>
    <n v="60"/>
    <s v="LCS-06"/>
    <s v="LCS"/>
    <s v="Teeth Grinding"/>
    <n v="155"/>
    <x v="2"/>
    <s v="RE J1"/>
    <s v="vishwajeet"/>
    <n v="103"/>
    <s v="TTE out "/>
    <x v="11"/>
    <d v="2025-11-01T00:00:00"/>
    <m/>
    <m/>
    <n v="2"/>
    <m/>
    <n v="2"/>
    <n v="107.67"/>
    <n v="215.34"/>
    <n v="0"/>
    <n v="45"/>
    <s v="Running m/c"/>
    <s v="Due to machine "/>
    <s v="process"/>
  </r>
  <r>
    <n v="217"/>
    <n v="29"/>
    <s v="ACE-09"/>
    <s v="Micromatic"/>
    <s v="Turning"/>
    <n v="154"/>
    <x v="1"/>
    <s v="RE J1"/>
    <s v="ramswaroop"/>
    <n v="5"/>
    <s v="Bore Over size"/>
    <x v="11"/>
    <d v="2025-11-01T00:00:00"/>
    <m/>
    <m/>
    <n v="1"/>
    <m/>
    <n v="1"/>
    <n v="82.64"/>
    <n v="82.64"/>
    <n v="3243"/>
    <n v="45"/>
    <s v="Running m/c"/>
    <s v="Due to machine "/>
    <s v="process"/>
  </r>
  <r>
    <n v="218"/>
    <n v="78"/>
    <s v="277-07"/>
    <s v="Bestak"/>
    <s v="Grinding"/>
    <n v="52"/>
    <x v="0"/>
    <s v="RE P1"/>
    <s v="vishal"/>
    <n v="66"/>
    <s v="OD Under Size"/>
    <x v="12"/>
    <d v="2025-11-01T00:00:00"/>
    <n v="2"/>
    <m/>
    <m/>
    <m/>
    <n v="2"/>
    <n v="400"/>
    <n v="800"/>
    <n v="3242"/>
    <n v="10"/>
    <s v="Collent off running m/c"/>
    <s v="Due to machine "/>
    <s v="process"/>
  </r>
  <r>
    <n v="219"/>
    <n v="74"/>
    <s v="277-03"/>
    <s v="Bestak"/>
    <s v="Grinding"/>
    <n v="52"/>
    <x v="0"/>
    <s v="RE P1"/>
    <s v="vishal"/>
    <n v="66"/>
    <s v="OD Under Size"/>
    <x v="12"/>
    <d v="2025-11-01T00:00:00"/>
    <n v="1"/>
    <m/>
    <m/>
    <m/>
    <n v="1"/>
    <n v="400"/>
    <n v="400"/>
    <n v="3242"/>
    <n v="64"/>
    <s v="Wrong correction"/>
    <s v="Due to operator"/>
    <s v="infrastructure "/>
  </r>
  <r>
    <n v="220"/>
    <n v="29"/>
    <s v="ACE-09"/>
    <s v="Micromatic"/>
    <s v="Turning"/>
    <n v="154"/>
    <x v="1"/>
    <s v="RE J1"/>
    <s v="pradeep"/>
    <n v="5"/>
    <s v="Bore Over size"/>
    <x v="12"/>
    <d v="2025-11-01T00:00:00"/>
    <n v="1"/>
    <m/>
    <m/>
    <m/>
    <n v="1"/>
    <n v="82.64"/>
    <n v="82.64"/>
    <n v="3243"/>
    <n v="23"/>
    <s v="during wheel change"/>
    <s v="Line audit"/>
    <s v="Process Issue"/>
  </r>
  <r>
    <n v="221"/>
    <n v="59"/>
    <s v="LCS-05"/>
    <s v="LCS"/>
    <s v="Teeth Grinding"/>
    <n v="78"/>
    <x v="10"/>
    <s v="RE P1"/>
    <m/>
    <n v="56"/>
    <s v="MOP u/s "/>
    <x v="12"/>
    <d v="2025-11-01T00:00:00"/>
    <n v="13"/>
    <m/>
    <m/>
    <m/>
    <n v="13"/>
    <n v="468.06"/>
    <n v="6084.78"/>
    <n v="3234"/>
    <n v="1"/>
    <s v="After dressing"/>
    <s v="Due to machine "/>
    <s v="process"/>
  </r>
  <r>
    <n v="222"/>
    <n v="71"/>
    <s v="276-02"/>
    <s v="Hi-life"/>
    <s v="Grinding"/>
    <n v="52"/>
    <x v="0"/>
    <s v="RE P1"/>
    <s v="jawahar"/>
    <n v="66"/>
    <s v="OD Under Size"/>
    <x v="12"/>
    <d v="2025-11-01T00:00:00"/>
    <m/>
    <n v="1"/>
    <m/>
    <m/>
    <n v="1"/>
    <n v="400"/>
    <n v="400"/>
    <n v="3242"/>
    <n v="64"/>
    <s v="Wrong correction"/>
    <s v="Due to operator"/>
    <s v="infrastructure "/>
  </r>
  <r>
    <n v="223"/>
    <n v="34"/>
    <s v="ACE-14"/>
    <s v="Micromatic"/>
    <s v="Turning"/>
    <n v="154"/>
    <x v="1"/>
    <s v="RE J1"/>
    <s v="manoj"/>
    <n v="93"/>
    <s v="Thickness Under size"/>
    <x v="12"/>
    <d v="2025-11-01T00:00:00"/>
    <m/>
    <n v="1"/>
    <m/>
    <m/>
    <n v="1"/>
    <n v="82.64"/>
    <n v="82.64"/>
    <n v="3258"/>
    <n v="64"/>
    <s v="Wrong correction"/>
    <s v="Due to operator"/>
    <s v="infrastructure "/>
  </r>
  <r>
    <n v="224"/>
    <n v="59"/>
    <s v="LCS-05"/>
    <s v="LCS"/>
    <s v="Teeth Grinding"/>
    <n v="122"/>
    <x v="3"/>
    <s v="RE J1"/>
    <s v="krishna"/>
    <n v="13"/>
    <s v="Burn"/>
    <x v="12"/>
    <d v="2025-11-01T00:00:00"/>
    <m/>
    <n v="1"/>
    <m/>
    <m/>
    <n v="1"/>
    <n v="335.39977528089889"/>
    <n v="335.39977528089889"/>
    <n v="0"/>
    <n v="5"/>
    <s v="Burn test"/>
    <s v="Line audit"/>
    <s v="Process Issue"/>
  </r>
  <r>
    <n v="225"/>
    <n v="59"/>
    <s v="LCS-05"/>
    <s v="LCS"/>
    <s v="Teeth Grinding"/>
    <n v="77"/>
    <x v="11"/>
    <s v="RE P1"/>
    <s v="gopal"/>
    <n v="103"/>
    <s v="TTE out "/>
    <x v="12"/>
    <d v="2025-11-01T00:00:00"/>
    <m/>
    <n v="11"/>
    <m/>
    <m/>
    <n v="11"/>
    <n v="79.064999999999998"/>
    <n v="869.71499999999992"/>
    <n v="0"/>
    <n v="20"/>
    <s v="During segrigetion "/>
    <s v="During segrigetion "/>
    <s v="Attitude"/>
  </r>
  <r>
    <n v="226"/>
    <n v="61"/>
    <s v="LCS-07"/>
    <s v="LCS"/>
    <s v="Teeth Grinding"/>
    <n v="122"/>
    <x v="3"/>
    <s v="RE J1"/>
    <s v="prakash"/>
    <n v="89"/>
    <s v="TCE out"/>
    <x v="12"/>
    <d v="2025-11-01T00:00:00"/>
    <m/>
    <n v="1"/>
    <m/>
    <m/>
    <n v="1"/>
    <n v="335.39977528089889"/>
    <n v="335.39977528089889"/>
    <n v="0"/>
    <n v="19"/>
    <s v="During Rework time"/>
    <s v="Due to operator"/>
    <s v="infrastructure "/>
  </r>
  <r>
    <n v="227"/>
    <n v="58"/>
    <s v="LCS-04"/>
    <s v="LCS"/>
    <s v="Teeth Grinding"/>
    <n v="122"/>
    <x v="3"/>
    <s v="RE J1"/>
    <s v="anilpal"/>
    <n v="56"/>
    <s v="MOP u/s "/>
    <x v="12"/>
    <d v="2025-11-01T00:00:00"/>
    <m/>
    <m/>
    <n v="1"/>
    <m/>
    <n v="1"/>
    <n v="335.39977528089889"/>
    <n v="335.39977528089889"/>
    <n v="3234"/>
    <n v="1"/>
    <s v="After dressing"/>
    <s v="Due to machine "/>
    <s v="process"/>
  </r>
  <r>
    <n v="228"/>
    <n v="58"/>
    <s v="LCS-04"/>
    <s v="LCS"/>
    <s v="Teeth Grinding"/>
    <n v="185"/>
    <x v="7"/>
    <s v="RE Bush"/>
    <s v="anilpal"/>
    <n v="14"/>
    <s v="Bush damage"/>
    <x v="12"/>
    <d v="2025-11-01T00:00:00"/>
    <m/>
    <m/>
    <n v="1"/>
    <m/>
    <n v="1"/>
    <n v="25.53"/>
    <n v="25.53"/>
    <n v="0"/>
    <n v="6"/>
    <s v="bush will not use again"/>
    <s v="Prod Declared"/>
    <s v="Process Issue"/>
  </r>
  <r>
    <n v="229"/>
    <n v="29"/>
    <s v="ACE-09"/>
    <s v="Micromatic"/>
    <s v="Turning"/>
    <n v="154"/>
    <x v="1"/>
    <s v="RE J1"/>
    <s v="jitendra"/>
    <n v="5"/>
    <s v="Bore Over size"/>
    <x v="13"/>
    <d v="2025-11-01T00:00:00"/>
    <n v="4"/>
    <m/>
    <m/>
    <m/>
    <n v="4"/>
    <n v="82.64"/>
    <n v="330.56"/>
    <n v="3243"/>
    <n v="20"/>
    <s v="During segrigetion "/>
    <s v="During segrigetion "/>
    <s v="Attitude"/>
  </r>
  <r>
    <n v="230"/>
    <n v="27"/>
    <s v="ACE-07"/>
    <s v="Micromatic"/>
    <s v="Turning"/>
    <n v="154"/>
    <x v="1"/>
    <s v="RE J1"/>
    <s v="pratik"/>
    <n v="93"/>
    <s v="Thickness Under size"/>
    <x v="13"/>
    <d v="2025-11-01T00:00:00"/>
    <n v="1"/>
    <m/>
    <m/>
    <m/>
    <n v="1"/>
    <n v="82.64"/>
    <n v="82.64"/>
    <n v="3258"/>
    <n v="28"/>
    <s v="Kept inside on m/c"/>
    <s v="Due to operator"/>
    <s v="infrastructure "/>
  </r>
  <r>
    <n v="231"/>
    <n v="74"/>
    <s v="277-03"/>
    <s v="Bestak"/>
    <s v="Grinding"/>
    <n v="52"/>
    <x v="0"/>
    <s v="RE P1"/>
    <s v="vinod"/>
    <n v="66"/>
    <s v="OD Under Size"/>
    <x v="13"/>
    <d v="2025-11-01T00:00:00"/>
    <n v="1"/>
    <m/>
    <m/>
    <m/>
    <n v="1"/>
    <n v="400"/>
    <n v="400"/>
    <n v="3242"/>
    <n v="45"/>
    <s v="Running m/c"/>
    <s v="Due to machine "/>
    <s v="process"/>
  </r>
  <r>
    <n v="232"/>
    <n v="75"/>
    <s v="277-04"/>
    <s v="Bestak"/>
    <s v="Grinding"/>
    <n v="52"/>
    <x v="0"/>
    <s v="RE P1"/>
    <s v="vinod"/>
    <n v="62"/>
    <s v="OD Ovality"/>
    <x v="13"/>
    <d v="2025-11-01T00:00:00"/>
    <n v="1"/>
    <m/>
    <m/>
    <m/>
    <n v="1"/>
    <n v="400"/>
    <n v="400"/>
    <n v="3281"/>
    <n v="10"/>
    <s v="Collent off running m/c"/>
    <s v="Due to machine "/>
    <s v="process"/>
  </r>
  <r>
    <n v="233"/>
    <n v="61"/>
    <s v="LCS-07"/>
    <s v="LCS"/>
    <s v="Teeth Grinding"/>
    <n v="122"/>
    <x v="3"/>
    <s v="RE J1"/>
    <s v="yash"/>
    <n v="33"/>
    <s v="Double finishing"/>
    <x v="13"/>
    <d v="2025-11-01T00:00:00"/>
    <m/>
    <n v="2"/>
    <m/>
    <m/>
    <n v="2"/>
    <n v="335.39977528089889"/>
    <n v="670.79955056179779"/>
    <n v="0"/>
    <n v="33"/>
    <s v="Maintanance trial"/>
    <s v="Due to machine "/>
    <s v="process"/>
  </r>
  <r>
    <n v="234"/>
    <n v="57"/>
    <s v="298-01"/>
    <s v="Gear Grinding"/>
    <s v="Teeth Grinding"/>
    <n v="102"/>
    <x v="8"/>
    <s v="RE J1"/>
    <s v="vikash"/>
    <n v="13"/>
    <s v="Burn"/>
    <x v="13"/>
    <d v="2025-11-01T00:00:00"/>
    <m/>
    <n v="1"/>
    <m/>
    <m/>
    <n v="1"/>
    <n v="93"/>
    <n v="93"/>
    <n v="0"/>
    <n v="21"/>
    <s v="During setup time"/>
    <s v="Due to Settup  "/>
    <s v="skill"/>
  </r>
  <r>
    <n v="235"/>
    <n v="30"/>
    <s v="ACE-10"/>
    <s v="Micromatic"/>
    <s v="Turning"/>
    <n v="154"/>
    <x v="1"/>
    <s v="RE J1"/>
    <s v="kiran"/>
    <n v="5"/>
    <s v="Bore Over size"/>
    <x v="13"/>
    <d v="2025-11-01T00:00:00"/>
    <m/>
    <n v="1"/>
    <m/>
    <m/>
    <n v="1"/>
    <n v="82.64"/>
    <n v="82.64"/>
    <n v="3243"/>
    <n v="12"/>
    <s v="Double loading"/>
    <s v="Due to operator"/>
    <s v="infrastructure "/>
  </r>
  <r>
    <n v="236"/>
    <n v="75"/>
    <s v="277-04"/>
    <s v="Bestak"/>
    <s v="Grinding"/>
    <n v="52"/>
    <x v="0"/>
    <s v="RE P1"/>
    <s v="chetan"/>
    <n v="66"/>
    <s v="OD Under Size"/>
    <x v="13"/>
    <d v="2025-11-01T00:00:00"/>
    <m/>
    <m/>
    <n v="2"/>
    <m/>
    <n v="2"/>
    <n v="400"/>
    <n v="800"/>
    <n v="3242"/>
    <n v="10"/>
    <s v="Collent off running m/c"/>
    <s v="Due to machine "/>
    <s v="process"/>
  </r>
  <r>
    <n v="237"/>
    <n v="71"/>
    <s v="276-02"/>
    <s v="Hi-life"/>
    <s v="Grinding"/>
    <n v="52"/>
    <x v="0"/>
    <s v="RE P1"/>
    <s v="rahul"/>
    <n v="66"/>
    <s v="OD Under Size"/>
    <x v="13"/>
    <d v="2025-11-01T00:00:00"/>
    <m/>
    <m/>
    <n v="1"/>
    <m/>
    <n v="1"/>
    <n v="400"/>
    <n v="400"/>
    <n v="3242"/>
    <n v="45"/>
    <s v="Running m/c"/>
    <s v="Due to machine "/>
    <s v="process"/>
  </r>
  <r>
    <n v="238"/>
    <n v="60"/>
    <s v="LCS-06"/>
    <s v="LCS"/>
    <s v="Teeth Grinding"/>
    <n v="155"/>
    <x v="2"/>
    <s v="RE J1"/>
    <s v="vishwamohan"/>
    <n v="56"/>
    <s v="MOP u/s "/>
    <x v="13"/>
    <d v="2025-11-01T00:00:00"/>
    <m/>
    <m/>
    <n v="2"/>
    <m/>
    <n v="2"/>
    <n v="107.67"/>
    <n v="215.34"/>
    <n v="3234"/>
    <n v="1"/>
    <s v="After dressing"/>
    <s v="Due to machine "/>
    <s v="process"/>
  </r>
  <r>
    <n v="239"/>
    <n v="57"/>
    <s v="298-01"/>
    <s v="Gear Grinding"/>
    <s v="Teeth Grinding"/>
    <n v="102"/>
    <x v="8"/>
    <s v="RE J1"/>
    <s v="keval"/>
    <n v="56"/>
    <s v="MOP u/s "/>
    <x v="13"/>
    <d v="2025-11-01T00:00:00"/>
    <m/>
    <m/>
    <n v="1"/>
    <m/>
    <n v="1"/>
    <n v="93"/>
    <n v="93"/>
    <n v="3234"/>
    <n v="23"/>
    <s v="during wheel change"/>
    <s v="Line audit"/>
    <s v="Process Issue"/>
  </r>
  <r>
    <n v="240"/>
    <n v="29"/>
    <s v="ACE-09"/>
    <s v="Micromatic"/>
    <s v="Turning"/>
    <n v="154"/>
    <x v="1"/>
    <s v="RE J1"/>
    <s v="ravendra"/>
    <n v="5"/>
    <s v="Bore Over size"/>
    <x v="14"/>
    <d v="2025-11-01T00:00:00"/>
    <n v="1"/>
    <m/>
    <m/>
    <m/>
    <n v="1"/>
    <n v="82.64"/>
    <n v="82.64"/>
    <n v="3243"/>
    <n v="23"/>
    <s v="during wheel change"/>
    <s v="Line audit"/>
    <s v="Process Issue"/>
  </r>
  <r>
    <n v="241"/>
    <n v="75"/>
    <s v="277-04"/>
    <s v="Bestak"/>
    <s v="Grinding"/>
    <n v="52"/>
    <x v="0"/>
    <s v="RE P1"/>
    <s v="chandrakanta"/>
    <n v="66"/>
    <s v="OD Under Size"/>
    <x v="14"/>
    <d v="2025-11-01T00:00:00"/>
    <n v="2"/>
    <m/>
    <m/>
    <m/>
    <n v="2"/>
    <n v="400"/>
    <n v="800"/>
    <n v="3242"/>
    <n v="28"/>
    <s v="Kept inside on m/c"/>
    <s v="Due to operator"/>
    <s v="infrastructure "/>
  </r>
  <r>
    <n v="242"/>
    <n v="74"/>
    <s v="277-03"/>
    <s v="Bestak"/>
    <s v="Grinding"/>
    <n v="52"/>
    <x v="0"/>
    <s v="RE P1"/>
    <s v="vinod"/>
    <n v="84"/>
    <s v="Spline dent"/>
    <x v="14"/>
    <d v="2025-11-01T00:00:00"/>
    <n v="1"/>
    <m/>
    <m/>
    <m/>
    <n v="1"/>
    <n v="400"/>
    <n v="400"/>
    <n v="3253"/>
    <n v="28"/>
    <s v="Kept inside on m/c"/>
    <s v="Due to operator"/>
    <s v="infrastructure "/>
  </r>
  <r>
    <n v="243"/>
    <n v="87"/>
    <s v="293-04"/>
    <s v="Bestak"/>
    <s v="Grinding"/>
    <n v="52"/>
    <x v="0"/>
    <s v="RE P1"/>
    <s v="shubhash"/>
    <n v="13"/>
    <s v="Burn"/>
    <x v="14"/>
    <d v="2025-11-01T00:00:00"/>
    <n v="1"/>
    <m/>
    <m/>
    <m/>
    <n v="1"/>
    <n v="400"/>
    <n v="400"/>
    <n v="0"/>
    <n v="5"/>
    <s v="Burn test"/>
    <s v="Line audit"/>
    <s v="Process Issue"/>
  </r>
  <r>
    <n v="244"/>
    <n v="58"/>
    <s v="LCS-04"/>
    <s v="LCS"/>
    <s v="Teeth Grinding"/>
    <n v="122"/>
    <x v="3"/>
    <s v="RE J1"/>
    <m/>
    <n v="56"/>
    <s v="MOP u/s "/>
    <x v="14"/>
    <d v="2025-11-01T00:00:00"/>
    <n v="2"/>
    <m/>
    <m/>
    <m/>
    <n v="2"/>
    <n v="335.39977528089889"/>
    <n v="670.79955056179779"/>
    <n v="3234"/>
    <n v="64"/>
    <s v="Wrong correction"/>
    <s v="Due to operator"/>
    <s v="infrastructure "/>
  </r>
  <r>
    <n v="245"/>
    <n v="58"/>
    <s v="LCS-04"/>
    <s v="LCS"/>
    <s v="Teeth Grinding"/>
    <n v="185"/>
    <x v="7"/>
    <s v="RE Bush"/>
    <s v="jay"/>
    <n v="14"/>
    <s v="Bush damage"/>
    <x v="14"/>
    <d v="2025-11-01T00:00:00"/>
    <n v="2"/>
    <m/>
    <m/>
    <m/>
    <n v="2"/>
    <n v="25.53"/>
    <n v="51.06"/>
    <n v="0"/>
    <n v="6"/>
    <s v="bush will not use again"/>
    <s v="Prod Declared"/>
    <s v="Process Issue"/>
  </r>
  <r>
    <n v="246"/>
    <n v="61"/>
    <s v="LCS-07"/>
    <s v="LCS"/>
    <s v="Teeth Grinding"/>
    <n v="122"/>
    <x v="3"/>
    <s v="RE J1"/>
    <s v="mukesh"/>
    <n v="33"/>
    <s v="Double finishing"/>
    <x v="14"/>
    <d v="2025-11-01T00:00:00"/>
    <m/>
    <n v="1"/>
    <m/>
    <m/>
    <n v="1"/>
    <n v="335.39977528089889"/>
    <n v="335.39977528089889"/>
    <n v="5"/>
    <n v="33"/>
    <s v="Maintanance trial"/>
    <s v="Due to machine "/>
    <s v="process"/>
  </r>
  <r>
    <n v="247"/>
    <n v="58"/>
    <s v="LCS-04"/>
    <s v="LCS"/>
    <s v="Teeth Grinding"/>
    <n v="122"/>
    <x v="3"/>
    <s v="RE J1"/>
    <s v="krishna"/>
    <n v="13"/>
    <s v="Burn"/>
    <x v="14"/>
    <d v="2025-11-01T00:00:00"/>
    <m/>
    <n v="1"/>
    <m/>
    <m/>
    <n v="1"/>
    <n v="335.39977528089889"/>
    <n v="335.39977528089889"/>
    <n v="0"/>
    <n v="5"/>
    <s v="Burn test"/>
    <s v="Line audit"/>
    <s v="Process Issue"/>
  </r>
  <r>
    <n v="248"/>
    <n v="75"/>
    <s v="277-04"/>
    <s v="Bestak"/>
    <s v="Grinding"/>
    <n v="52"/>
    <x v="0"/>
    <s v="RE P1"/>
    <s v="jitendra"/>
    <n v="66"/>
    <s v="OD Under Size"/>
    <x v="14"/>
    <d v="2025-11-01T00:00:00"/>
    <m/>
    <n v="2"/>
    <m/>
    <m/>
    <n v="2"/>
    <n v="400"/>
    <n v="800"/>
    <n v="3242"/>
    <n v="33"/>
    <s v="Maintanance trial"/>
    <s v="Due to machine "/>
    <s v="process"/>
  </r>
  <r>
    <n v="249"/>
    <n v="87"/>
    <s v="293-04"/>
    <s v="Bestak"/>
    <s v="Grinding"/>
    <n v="52"/>
    <x v="0"/>
    <s v="RE P1"/>
    <s v="ramgopal"/>
    <n v="13"/>
    <s v="Burn"/>
    <x v="14"/>
    <d v="2025-11-01T00:00:00"/>
    <m/>
    <n v="1"/>
    <m/>
    <m/>
    <n v="1"/>
    <n v="400"/>
    <n v="400"/>
    <n v="0"/>
    <n v="5"/>
    <s v="Burn test"/>
    <s v="Line audit"/>
    <s v="Process Issue"/>
  </r>
  <r>
    <n v="250"/>
    <n v="26"/>
    <s v="ACE-06"/>
    <s v="Micromatic"/>
    <s v="Turning"/>
    <n v="154"/>
    <x v="1"/>
    <s v="RE J1"/>
    <s v="somya"/>
    <n v="5"/>
    <s v="Bore Over size"/>
    <x v="14"/>
    <d v="2025-11-01T00:00:00"/>
    <m/>
    <n v="1"/>
    <m/>
    <m/>
    <n v="1"/>
    <n v="82.64"/>
    <n v="82.64"/>
    <n v="3243"/>
    <n v="23"/>
    <s v="during wheel change"/>
    <s v="Line audit"/>
    <s v="Process Issue"/>
  </r>
  <r>
    <n v="251"/>
    <n v="29"/>
    <s v="ACE-09"/>
    <s v="Micromatic"/>
    <s v="Turning"/>
    <n v="154"/>
    <x v="1"/>
    <s v="RE J1"/>
    <s v="ram "/>
    <n v="5"/>
    <s v="Bore Over size"/>
    <x v="14"/>
    <d v="2025-11-01T00:00:00"/>
    <m/>
    <n v="1"/>
    <m/>
    <m/>
    <n v="1"/>
    <n v="82.64"/>
    <n v="82.64"/>
    <n v="3243"/>
    <n v="23"/>
    <s v="during wheel change"/>
    <s v="Line audit"/>
    <s v="Process Issue"/>
  </r>
  <r>
    <n v="252"/>
    <n v="30"/>
    <s v="ACE-10"/>
    <s v="Micromatic"/>
    <s v="Turning"/>
    <n v="154"/>
    <x v="1"/>
    <s v="RE J1"/>
    <s v="sibhu"/>
    <n v="5"/>
    <s v="Bore Over size"/>
    <x v="14"/>
    <d v="2025-11-01T00:00:00"/>
    <m/>
    <n v="1"/>
    <m/>
    <m/>
    <n v="1"/>
    <n v="82.64"/>
    <n v="82.64"/>
    <n v="3243"/>
    <n v="23"/>
    <s v="during wheel change"/>
    <s v="Line audit"/>
    <s v="Process Issue"/>
  </r>
  <r>
    <n v="253"/>
    <n v="56"/>
    <s v="298-02"/>
    <s v="Gear Grinding"/>
    <s v="Teeth Grinding"/>
    <n v="155"/>
    <x v="2"/>
    <s v="RE J1"/>
    <s v="vishwamohan"/>
    <n v="56"/>
    <s v="MOP u/s "/>
    <x v="14"/>
    <d v="2025-11-01T00:00:00"/>
    <m/>
    <m/>
    <n v="1"/>
    <m/>
    <n v="1"/>
    <n v="107.67"/>
    <n v="107.67"/>
    <n v="3234"/>
    <n v="33"/>
    <s v="Maintanance trial"/>
    <s v="Due to machine "/>
    <s v="process"/>
  </r>
  <r>
    <n v="254"/>
    <n v="61"/>
    <s v="LCS-07"/>
    <s v="LCS"/>
    <s v="Teeth Grinding"/>
    <n v="122"/>
    <x v="3"/>
    <s v="RE J1"/>
    <s v="mukesh"/>
    <n v="33"/>
    <s v="Double finishing"/>
    <x v="15"/>
    <d v="2025-11-01T00:00:00"/>
    <m/>
    <n v="1"/>
    <m/>
    <m/>
    <n v="1"/>
    <n v="335.39977528089889"/>
    <n v="335.39977528089889"/>
    <n v="0"/>
    <n v="16"/>
    <s v="During correction time"/>
    <s v="Due to operator"/>
    <s v="infrastructure "/>
  </r>
  <r>
    <n v="255"/>
    <n v="58"/>
    <s v="LCS-04"/>
    <s v="LCS"/>
    <s v="Teeth Grinding"/>
    <n v="122"/>
    <x v="3"/>
    <s v="RE J1"/>
    <s v="krishna"/>
    <n v="13"/>
    <s v="Burn"/>
    <x v="15"/>
    <d v="2025-11-01T00:00:00"/>
    <m/>
    <n v="1"/>
    <m/>
    <m/>
    <n v="1"/>
    <n v="335.39977528089889"/>
    <n v="335.39977528089889"/>
    <n v="0"/>
    <n v="5"/>
    <s v="Burn test"/>
    <s v="Line audit"/>
    <s v="Process Issue"/>
  </r>
  <r>
    <n v="256"/>
    <n v="75"/>
    <s v="277-04"/>
    <s v="Bestak"/>
    <s v="Grinding"/>
    <n v="52"/>
    <x v="0"/>
    <s v="RE P1"/>
    <s v="jitendra"/>
    <n v="66"/>
    <s v="OD Under Size"/>
    <x v="15"/>
    <d v="2025-11-01T00:00:00"/>
    <m/>
    <n v="2"/>
    <m/>
    <m/>
    <n v="2"/>
    <n v="400"/>
    <n v="800"/>
    <n v="3242"/>
    <n v="33"/>
    <s v="Maintanance trial"/>
    <s v="Due to machine "/>
    <s v="process"/>
  </r>
  <r>
    <n v="257"/>
    <n v="86"/>
    <s v="293-03"/>
    <s v="Bestak"/>
    <s v="Grinding"/>
    <n v="52"/>
    <x v="0"/>
    <s v="RE P1"/>
    <s v="ramniwash"/>
    <n v="13"/>
    <s v="Burn"/>
    <x v="15"/>
    <d v="2025-11-01T00:00:00"/>
    <m/>
    <n v="1"/>
    <m/>
    <m/>
    <n v="1"/>
    <n v="400"/>
    <n v="400"/>
    <n v="0"/>
    <n v="5"/>
    <s v="Burn test"/>
    <s v="Line audit"/>
    <s v="Process Issue"/>
  </r>
  <r>
    <n v="258"/>
    <n v="26"/>
    <s v="ACE-06"/>
    <s v="Micromatic"/>
    <s v="Turning"/>
    <n v="154"/>
    <x v="1"/>
    <s v="RE J1"/>
    <s v="somya"/>
    <n v="5"/>
    <s v="Bore Over size"/>
    <x v="15"/>
    <d v="2025-11-01T00:00:00"/>
    <m/>
    <n v="1"/>
    <m/>
    <m/>
    <n v="1"/>
    <n v="82.64"/>
    <n v="82.64"/>
    <n v="3243"/>
    <n v="23"/>
    <s v="during wheel change"/>
    <s v="Line audit"/>
    <s v="Process Issue"/>
  </r>
  <r>
    <n v="259"/>
    <n v="29"/>
    <s v="ACE-09"/>
    <s v="Micromatic"/>
    <s v="Turning"/>
    <n v="154"/>
    <x v="1"/>
    <s v="RE J1"/>
    <s v="ram"/>
    <n v="5"/>
    <s v="Bore Over size"/>
    <x v="15"/>
    <d v="2025-11-01T00:00:00"/>
    <m/>
    <n v="1"/>
    <m/>
    <m/>
    <n v="1"/>
    <n v="82.64"/>
    <n v="82.64"/>
    <n v="3243"/>
    <n v="23"/>
    <s v="during wheel change"/>
    <s v="Line audit"/>
    <s v="Process Issue"/>
  </r>
  <r>
    <n v="260"/>
    <n v="30"/>
    <s v="ACE-10"/>
    <s v="Micromatic"/>
    <s v="Turning"/>
    <n v="154"/>
    <x v="1"/>
    <s v="RE J1"/>
    <s v="sibhu"/>
    <n v="5"/>
    <s v="Bore Over size"/>
    <x v="15"/>
    <d v="2025-11-01T00:00:00"/>
    <m/>
    <n v="1"/>
    <m/>
    <m/>
    <n v="1"/>
    <n v="82.64"/>
    <n v="82.64"/>
    <n v="3243"/>
    <n v="23"/>
    <s v="during wheel change"/>
    <s v="Line audit"/>
    <s v="Process Issue"/>
  </r>
  <r>
    <n v="261"/>
    <n v="56"/>
    <s v="298-02"/>
    <s v="Gear Grinding"/>
    <s v="Teeth Grinding"/>
    <n v="155"/>
    <x v="2"/>
    <s v="RE J1"/>
    <s v="vishwamohan"/>
    <n v="56"/>
    <s v="MOP u/s "/>
    <x v="15"/>
    <d v="2025-11-01T00:00:00"/>
    <m/>
    <m/>
    <n v="1"/>
    <m/>
    <n v="1"/>
    <n v="107.67"/>
    <n v="107.67"/>
    <n v="3234"/>
    <n v="33"/>
    <s v="Maintanance trial"/>
    <s v="Due to machine "/>
    <s v="process"/>
  </r>
  <r>
    <n v="262"/>
    <n v="29"/>
    <s v="ACE-09"/>
    <s v="Micromatic"/>
    <s v="Turning"/>
    <n v="154"/>
    <x v="1"/>
    <s v="RE J1"/>
    <s v="pratik"/>
    <n v="5"/>
    <s v="Bore Over size"/>
    <x v="16"/>
    <d v="2025-11-01T00:00:00"/>
    <n v="7"/>
    <m/>
    <m/>
    <m/>
    <n v="7"/>
    <n v="82.64"/>
    <n v="578.48"/>
    <n v="3243"/>
    <n v="19"/>
    <s v="During Rework time"/>
    <s v="Due to operator"/>
    <s v="infrastructure "/>
  </r>
  <r>
    <n v="263"/>
    <n v="34"/>
    <s v="ACE-14"/>
    <s v="Micromatic"/>
    <s v="Turning"/>
    <n v="154"/>
    <x v="1"/>
    <s v="RE J1"/>
    <s v="vikash"/>
    <n v="93"/>
    <s v="Thickness Under size"/>
    <x v="16"/>
    <d v="2025-11-01T00:00:00"/>
    <n v="7"/>
    <m/>
    <m/>
    <m/>
    <n v="7"/>
    <n v="82.64"/>
    <n v="578.48"/>
    <n v="3258"/>
    <n v="20"/>
    <s v="During segrigetion "/>
    <s v="During segrigetion "/>
    <s v="Attitude"/>
  </r>
  <r>
    <n v="264"/>
    <n v="57"/>
    <s v="298-01"/>
    <s v="Gear Grinding"/>
    <s v="Teeth Grinding"/>
    <n v="102"/>
    <x v="8"/>
    <s v="RE J1"/>
    <s v="deepak"/>
    <n v="13"/>
    <s v="Burn"/>
    <x v="16"/>
    <d v="2025-11-01T00:00:00"/>
    <n v="1"/>
    <m/>
    <m/>
    <m/>
    <n v="1"/>
    <n v="93"/>
    <n v="93"/>
    <n v="0"/>
    <n v="5"/>
    <s v="Burn test"/>
    <s v="Line audit"/>
    <s v="Process Issue"/>
  </r>
  <r>
    <n v="265"/>
    <n v="56"/>
    <s v="298-02"/>
    <s v="Gear Grinding"/>
    <s v="Teeth Grinding"/>
    <n v="155"/>
    <x v="2"/>
    <s v="RE J1"/>
    <s v="prakash"/>
    <n v="13"/>
    <s v="Burn"/>
    <x v="16"/>
    <d v="2025-11-01T00:00:00"/>
    <n v="1"/>
    <m/>
    <m/>
    <m/>
    <n v="1"/>
    <n v="107.67"/>
    <n v="107.67"/>
    <n v="0"/>
    <n v="5"/>
    <s v="Burn test"/>
    <s v="Line audit"/>
    <s v="Process Issue"/>
  </r>
  <r>
    <n v="266"/>
    <n v="60"/>
    <s v="LCS-06"/>
    <s v="LCS"/>
    <s v="Teeth Grinding"/>
    <n v="154"/>
    <x v="1"/>
    <s v="RE J1"/>
    <s v="pooja"/>
    <n v="13"/>
    <s v="Burn"/>
    <x v="16"/>
    <d v="2025-11-01T00:00:00"/>
    <n v="1"/>
    <m/>
    <m/>
    <m/>
    <n v="1"/>
    <n v="82.64"/>
    <n v="82.64"/>
    <n v="0"/>
    <n v="5"/>
    <s v="Burn test"/>
    <s v="Line audit"/>
    <s v="Process Issue"/>
  </r>
  <r>
    <n v="267"/>
    <n v="59"/>
    <s v="LCS-05"/>
    <s v="LCS"/>
    <s v="Teeth Grinding"/>
    <n v="28"/>
    <x v="4"/>
    <s v="RE P1"/>
    <s v="jyoti"/>
    <n v="13"/>
    <s v="Burn"/>
    <x v="16"/>
    <d v="2025-11-01T00:00:00"/>
    <n v="1"/>
    <m/>
    <m/>
    <m/>
    <n v="1"/>
    <n v="124.07"/>
    <n v="124.07"/>
    <n v="0"/>
    <n v="5"/>
    <s v="Burn test"/>
    <s v="Line audit"/>
    <s v="Process Issue"/>
  </r>
  <r>
    <n v="268"/>
    <n v="61"/>
    <s v="LCS-07"/>
    <s v="LCS"/>
    <s v="Teeth Grinding"/>
    <n v="122"/>
    <x v="3"/>
    <s v="RE J1"/>
    <s v="mukesh"/>
    <n v="13"/>
    <s v="Burn"/>
    <x v="16"/>
    <d v="2025-11-01T00:00:00"/>
    <n v="1"/>
    <m/>
    <m/>
    <m/>
    <n v="1"/>
    <n v="335.39977528089889"/>
    <n v="335.39977528089889"/>
    <n v="0"/>
    <n v="5"/>
    <s v="Burn test"/>
    <s v="Line audit"/>
    <s v="Process Issue"/>
  </r>
  <r>
    <n v="269"/>
    <n v="58"/>
    <s v="LCS-04"/>
    <s v="LCS"/>
    <s v="Teeth Grinding"/>
    <n v="122"/>
    <x v="3"/>
    <s v="RE J1"/>
    <s v="bhumika"/>
    <n v="56"/>
    <s v="MOP u/s "/>
    <x v="16"/>
    <d v="2025-11-01T00:00:00"/>
    <n v="1"/>
    <m/>
    <m/>
    <m/>
    <n v="1"/>
    <n v="335.39977528089889"/>
    <n v="335.39977528089889"/>
    <n v="3234"/>
    <n v="1"/>
    <s v="After dressing"/>
    <s v="Due to machine "/>
    <s v="process"/>
  </r>
  <r>
    <n v="270"/>
    <n v="60"/>
    <s v="LCS-06"/>
    <s v="LCS"/>
    <s v="Teeth Grinding"/>
    <n v="78"/>
    <x v="10"/>
    <s v="RE P1"/>
    <s v="shyam"/>
    <n v="56"/>
    <s v="MOP u/s "/>
    <x v="16"/>
    <d v="2025-11-01T00:00:00"/>
    <n v="1"/>
    <m/>
    <m/>
    <m/>
    <n v="1"/>
    <n v="468.06"/>
    <n v="468.06"/>
    <n v="3234"/>
    <n v="20"/>
    <s v="During segrigetion "/>
    <s v="During segrigetion "/>
    <s v="Attitude"/>
  </r>
  <r>
    <n v="271"/>
    <n v="75"/>
    <s v="277-04"/>
    <s v="Bestak"/>
    <s v="Grinding"/>
    <n v="52"/>
    <x v="0"/>
    <s v="RE P1"/>
    <s v="jitendra"/>
    <n v="66"/>
    <s v="OD Under Size"/>
    <x v="16"/>
    <d v="2025-11-01T00:00:00"/>
    <n v="3"/>
    <m/>
    <m/>
    <m/>
    <n v="3"/>
    <n v="400"/>
    <n v="1200"/>
    <n v="3242"/>
    <n v="44"/>
    <s v="Power cut "/>
    <s v="Prod Declared"/>
    <s v="Process Issue"/>
  </r>
  <r>
    <n v="272"/>
    <n v="32"/>
    <s v="ACE-12"/>
    <s v="Micromatic"/>
    <s v="Turning"/>
    <n v="154"/>
    <x v="1"/>
    <s v="RE J1"/>
    <s v="ravendra"/>
    <n v="5"/>
    <s v="Bore Over size"/>
    <x v="16"/>
    <d v="2025-11-01T00:00:00"/>
    <n v="7"/>
    <m/>
    <m/>
    <m/>
    <n v="7"/>
    <n v="82.64"/>
    <n v="578.48"/>
    <n v="3243"/>
    <n v="64"/>
    <s v="Wrong correction"/>
    <s v="Due to operator"/>
    <s v="infrastructure "/>
  </r>
  <r>
    <n v="273"/>
    <n v="74"/>
    <s v="277-03"/>
    <s v="Bestak"/>
    <s v="Grinding"/>
    <n v="52"/>
    <x v="0"/>
    <s v="RE P1"/>
    <s v="jiwan"/>
    <n v="66"/>
    <s v="OD Under Size"/>
    <x v="16"/>
    <d v="2025-11-01T00:00:00"/>
    <n v="1"/>
    <m/>
    <m/>
    <m/>
    <n v="1"/>
    <n v="400"/>
    <n v="400"/>
    <n v="3242"/>
    <n v="44"/>
    <s v="Power cut "/>
    <s v="Prod Declared"/>
    <s v="Process Issue"/>
  </r>
  <r>
    <n v="274"/>
    <n v="87"/>
    <s v="293-04"/>
    <s v="Bestak"/>
    <s v="Grinding"/>
    <n v="52"/>
    <x v="0"/>
    <s v="RE P1"/>
    <s v="balram"/>
    <m/>
    <s v="Threading double cut "/>
    <x v="16"/>
    <d v="2025-11-01T00:00:00"/>
    <m/>
    <n v="1"/>
    <m/>
    <m/>
    <n v="1"/>
    <n v="400"/>
    <n v="400"/>
    <n v="0"/>
    <n v="45"/>
    <s v="Running m/c"/>
    <s v="Due to machine "/>
    <s v="process"/>
  </r>
  <r>
    <n v="275"/>
    <n v="26"/>
    <s v="ACE-06"/>
    <s v="Micromatic"/>
    <s v="Turning"/>
    <n v="154"/>
    <x v="1"/>
    <s v="RE J1"/>
    <s v="manoj"/>
    <n v="5"/>
    <s v="Bore Over size"/>
    <x v="16"/>
    <d v="2025-11-01T00:00:00"/>
    <m/>
    <m/>
    <n v="1"/>
    <m/>
    <n v="1"/>
    <n v="82.64"/>
    <n v="82.64"/>
    <n v="3243"/>
    <n v="23"/>
    <s v="during wheel change"/>
    <s v="Line audit"/>
    <s v="Process Issue"/>
  </r>
  <r>
    <n v="276"/>
    <n v="32"/>
    <s v="ACE-12"/>
    <s v="Micromatic"/>
    <s v="Turning"/>
    <n v="154"/>
    <x v="1"/>
    <s v="RE J1"/>
    <m/>
    <n v="6"/>
    <s v="Bore Over size in Ovality "/>
    <x v="16"/>
    <d v="2025-11-01T00:00:00"/>
    <m/>
    <m/>
    <n v="1"/>
    <m/>
    <n v="1"/>
    <n v="82.64"/>
    <n v="82.64"/>
    <n v="3277"/>
    <n v="33"/>
    <s v="Maintanance trial"/>
    <s v="Due to machine "/>
    <s v="process"/>
  </r>
  <r>
    <n v="277"/>
    <n v="75"/>
    <s v="277-04"/>
    <s v="Bestak"/>
    <s v="Grinding"/>
    <n v="52"/>
    <x v="0"/>
    <s v="RE P1"/>
    <s v="jitendra"/>
    <n v="66"/>
    <s v="OD Under Size"/>
    <x v="16"/>
    <d v="2025-11-01T00:00:00"/>
    <m/>
    <m/>
    <n v="1"/>
    <m/>
    <n v="1"/>
    <n v="400"/>
    <n v="400"/>
    <n v="3242"/>
    <n v="28"/>
    <s v="Kept inside on m/c"/>
    <s v="Due to operator"/>
    <s v="infrastructure "/>
  </r>
  <r>
    <n v="278"/>
    <n v="72"/>
    <s v="276-03"/>
    <s v="Hi-life"/>
    <s v="Grinding"/>
    <n v="52"/>
    <x v="0"/>
    <s v="RE P1"/>
    <s v="alkar"/>
    <n v="66"/>
    <s v="OD Under Size"/>
    <x v="16"/>
    <d v="2025-11-01T00:00:00"/>
    <m/>
    <m/>
    <n v="2"/>
    <m/>
    <n v="2"/>
    <n v="400"/>
    <n v="800"/>
    <n v="3242"/>
    <n v="36"/>
    <s v="Marpose disturb"/>
    <s v="Due to machine "/>
    <s v="process"/>
  </r>
  <r>
    <n v="279"/>
    <n v="78"/>
    <s v="277-07"/>
    <s v="Bestak"/>
    <s v="Grinding"/>
    <n v="52"/>
    <x v="0"/>
    <s v="RE P1"/>
    <s v="vishal"/>
    <n v="66"/>
    <s v="OD Under Size"/>
    <x v="16"/>
    <d v="2025-11-01T00:00:00"/>
    <m/>
    <m/>
    <n v="1"/>
    <m/>
    <n v="1"/>
    <n v="400"/>
    <n v="400"/>
    <n v="3242"/>
    <n v="28"/>
    <s v="Kept inside on m/c"/>
    <s v="Due to operator"/>
    <s v="infrastructure "/>
  </r>
  <r>
    <n v="280"/>
    <n v="60"/>
    <s v="LCS-06"/>
    <s v="LCS"/>
    <s v="Teeth Grinding"/>
    <n v="28"/>
    <x v="4"/>
    <s v="RE P1"/>
    <s v="pooja"/>
    <n v="56"/>
    <s v="MOP u/s "/>
    <x v="17"/>
    <d v="2025-11-01T00:00:00"/>
    <n v="1"/>
    <m/>
    <m/>
    <m/>
    <n v="1"/>
    <n v="124.07"/>
    <n v="124.07"/>
    <n v="3234"/>
    <n v="1"/>
    <s v="After dressing"/>
    <s v="Due to machine "/>
    <s v="process"/>
  </r>
  <r>
    <n v="281"/>
    <n v="26"/>
    <s v="ACE-06"/>
    <s v="Micromatic"/>
    <s v="Turning"/>
    <n v="154"/>
    <x v="1"/>
    <s v="RE J1"/>
    <s v="pratik"/>
    <n v="80"/>
    <s v="Rust "/>
    <x v="17"/>
    <d v="2025-11-01T00:00:00"/>
    <n v="10"/>
    <m/>
    <m/>
    <m/>
    <n v="10"/>
    <n v="82.64"/>
    <n v="826.4"/>
    <n v="0"/>
    <n v="15"/>
    <s v="During ACMA (5S) time"/>
    <s v="Prod Declared"/>
    <s v="Process Issue"/>
  </r>
  <r>
    <n v="282"/>
    <n v="62"/>
    <s v="FQC"/>
    <s v="FQC"/>
    <s v="fqc"/>
    <n v="154"/>
    <x v="1"/>
    <s v="RE J1"/>
    <m/>
    <n v="91"/>
    <s v="Teeth dent "/>
    <x v="17"/>
    <d v="2025-11-01T00:00:00"/>
    <n v="22"/>
    <m/>
    <m/>
    <m/>
    <n v="22"/>
    <n v="82.64"/>
    <n v="1818.08"/>
    <n v="3232"/>
    <n v="24"/>
    <s v="FQC return"/>
    <s v="Due to operator"/>
    <s v="infrastructure "/>
  </r>
  <r>
    <n v="283"/>
    <n v="27"/>
    <s v="ACE-07"/>
    <s v="Micromatic"/>
    <s v="Turning"/>
    <n v="154"/>
    <x v="1"/>
    <s v="RE J1"/>
    <s v="kiran"/>
    <n v="5"/>
    <s v="Bore Over size"/>
    <x v="17"/>
    <d v="2025-11-01T00:00:00"/>
    <n v="15"/>
    <m/>
    <m/>
    <m/>
    <n v="15"/>
    <n v="82.64"/>
    <n v="1239.5999999999999"/>
    <n v="3243"/>
    <n v="20"/>
    <s v="During segrigetion "/>
    <s v="During segrigetion "/>
    <s v="Attitude"/>
  </r>
  <r>
    <n v="284"/>
    <n v="33"/>
    <s v="ACE-13"/>
    <s v="Micromatic"/>
    <s v="Turning"/>
    <n v="154"/>
    <x v="1"/>
    <s v="RE J1"/>
    <s v="bhanu"/>
    <n v="93"/>
    <s v="Thickness Under size"/>
    <x v="17"/>
    <d v="2025-11-01T00:00:00"/>
    <n v="15"/>
    <m/>
    <m/>
    <m/>
    <n v="15"/>
    <n v="82.64"/>
    <n v="1239.5999999999999"/>
    <n v="3258"/>
    <n v="19"/>
    <s v="During Rework time"/>
    <s v="Due to operator"/>
    <s v="infrastructure "/>
  </r>
  <r>
    <n v="285"/>
    <n v="27"/>
    <s v="ACE-07"/>
    <s v="Micromatic"/>
    <s v="Turning"/>
    <n v="154"/>
    <x v="1"/>
    <s v="RE J1"/>
    <m/>
    <n v="91"/>
    <s v="Teeth dent "/>
    <x v="17"/>
    <d v="2025-11-01T00:00:00"/>
    <m/>
    <n v="5"/>
    <m/>
    <m/>
    <n v="5"/>
    <n v="82.64"/>
    <n v="413.2"/>
    <n v="3232"/>
    <n v="24"/>
    <s v="FQC return"/>
    <s v="Due to operator"/>
    <s v="infrastructure "/>
  </r>
  <r>
    <n v="286"/>
    <n v="26"/>
    <s v="ACE-06"/>
    <s v="Micromatic"/>
    <s v="Turning"/>
    <n v="154"/>
    <x v="1"/>
    <s v="RE J1"/>
    <m/>
    <n v="5"/>
    <s v="Bore Over size"/>
    <x v="17"/>
    <d v="2025-11-01T00:00:00"/>
    <m/>
    <n v="5"/>
    <m/>
    <m/>
    <n v="5"/>
    <n v="82.64"/>
    <n v="413.2"/>
    <n v="3243"/>
    <n v="19"/>
    <s v="During Rework time"/>
    <s v="Due to operator"/>
    <s v="infrastructure "/>
  </r>
  <r>
    <n v="287"/>
    <n v="30"/>
    <s v="ACE-10"/>
    <s v="Micromatic"/>
    <s v="Turning"/>
    <n v="154"/>
    <x v="1"/>
    <s v="RE J1"/>
    <m/>
    <n v="93"/>
    <s v="Thickness Under size"/>
    <x v="17"/>
    <d v="2025-11-01T00:00:00"/>
    <m/>
    <n v="5"/>
    <m/>
    <m/>
    <n v="5"/>
    <n v="82.64"/>
    <n v="413.2"/>
    <n v="3258"/>
    <n v="20"/>
    <s v="During segrigetion "/>
    <s v="During segrigetion "/>
    <s v="Attitude"/>
  </r>
  <r>
    <n v="288"/>
    <n v="29"/>
    <s v="ACE-09"/>
    <s v="Micromatic"/>
    <s v="Turning"/>
    <n v="154"/>
    <x v="1"/>
    <s v="RE J1"/>
    <m/>
    <n v="5"/>
    <s v="Bore Over size"/>
    <x v="17"/>
    <d v="2025-11-01T00:00:00"/>
    <m/>
    <n v="5"/>
    <m/>
    <m/>
    <n v="5"/>
    <n v="82.64"/>
    <n v="413.2"/>
    <n v="3243"/>
    <n v="19"/>
    <s v="During Rework time"/>
    <s v="Due to operator"/>
    <s v="infrastructure "/>
  </r>
  <r>
    <n v="289"/>
    <n v="60"/>
    <s v="LCS-06"/>
    <s v="LCS"/>
    <s v="Teeth Grinding"/>
    <n v="28"/>
    <x v="4"/>
    <s v="RE P1"/>
    <s v="deepak"/>
    <n v="33"/>
    <s v="Double finishing"/>
    <x v="17"/>
    <d v="2025-11-01T00:00:00"/>
    <m/>
    <n v="1"/>
    <m/>
    <m/>
    <n v="1"/>
    <n v="124.07"/>
    <n v="124.07"/>
    <n v="0"/>
    <n v="19"/>
    <s v="During Rework time"/>
    <s v="Due to operator"/>
    <s v="infrastructure "/>
  </r>
  <r>
    <n v="290"/>
    <n v="57"/>
    <s v="298-01"/>
    <s v="Gear Grinding"/>
    <s v="Teeth Grinding"/>
    <n v="102"/>
    <x v="8"/>
    <s v="RE J1"/>
    <s v="keval"/>
    <n v="56"/>
    <s v="MOP u/s "/>
    <x v="17"/>
    <d v="2025-11-01T00:00:00"/>
    <m/>
    <n v="3"/>
    <m/>
    <m/>
    <n v="3"/>
    <n v="93"/>
    <n v="279"/>
    <n v="3234"/>
    <n v="24"/>
    <s v="FQC return"/>
    <s v="Due to operator"/>
    <s v="infrastructure "/>
  </r>
  <r>
    <n v="291"/>
    <n v="75"/>
    <s v="277-04"/>
    <s v="Bestak"/>
    <s v="Grinding"/>
    <n v="52"/>
    <x v="0"/>
    <s v="RE P1"/>
    <s v="chetan"/>
    <n v="66"/>
    <s v="OD Under Size"/>
    <x v="17"/>
    <d v="2025-11-01T00:00:00"/>
    <m/>
    <n v="2"/>
    <m/>
    <m/>
    <n v="2"/>
    <n v="400"/>
    <n v="800"/>
    <n v="3242"/>
    <n v="12"/>
    <s v="Double loading"/>
    <s v="Due to operator"/>
    <s v="infrastructure "/>
  </r>
  <r>
    <n v="292"/>
    <n v="75"/>
    <s v="277-04"/>
    <s v="Bestak"/>
    <s v="Grinding"/>
    <n v="52"/>
    <x v="0"/>
    <s v="RE P1"/>
    <s v="chetan"/>
    <m/>
    <s v="OD desh mark "/>
    <x v="17"/>
    <d v="2025-11-01T00:00:00"/>
    <m/>
    <n v="1"/>
    <m/>
    <m/>
    <n v="1"/>
    <n v="400"/>
    <n v="400"/>
    <n v="0"/>
    <n v="8"/>
    <s v="Carier bolt slip"/>
    <s v="Due to operator"/>
    <s v="infrastructure "/>
  </r>
  <r>
    <n v="293"/>
    <n v="30"/>
    <s v="ACE-10"/>
    <s v="Micromatic"/>
    <s v="Turning"/>
    <n v="154"/>
    <x v="1"/>
    <s v="RE J1"/>
    <s v="prince"/>
    <n v="5"/>
    <s v="Bore Over size"/>
    <x v="17"/>
    <d v="2025-11-01T00:00:00"/>
    <m/>
    <m/>
    <n v="1"/>
    <m/>
    <n v="1"/>
    <n v="82.64"/>
    <n v="82.64"/>
    <n v="3243"/>
    <n v="28"/>
    <s v="Kept inside on m/c"/>
    <s v="Due to operator"/>
    <s v="infrastructure "/>
  </r>
  <r>
    <n v="294"/>
    <n v="29"/>
    <s v="ACE-09"/>
    <s v="Micromatic"/>
    <s v="Turning"/>
    <n v="154"/>
    <x v="1"/>
    <s v="RE J1"/>
    <s v="mahendra"/>
    <n v="5"/>
    <s v="Bore Over size"/>
    <x v="17"/>
    <d v="2025-11-01T00:00:00"/>
    <m/>
    <m/>
    <n v="2"/>
    <m/>
    <n v="2"/>
    <n v="82.64"/>
    <n v="165.28"/>
    <n v="3243"/>
    <n v="28"/>
    <s v="Kept inside on m/c"/>
    <s v="Due to operator"/>
    <s v="infrastructure "/>
  </r>
  <r>
    <n v="295"/>
    <n v="56"/>
    <s v="298-02"/>
    <s v="Gear Grinding"/>
    <s v="Teeth Grinding"/>
    <n v="155"/>
    <x v="2"/>
    <s v="RE J1"/>
    <s v="prakash"/>
    <n v="13"/>
    <s v="Burn"/>
    <x v="18"/>
    <d v="2025-11-01T00:00:00"/>
    <n v="1"/>
    <m/>
    <m/>
    <m/>
    <n v="1"/>
    <n v="107.67"/>
    <n v="107.67"/>
    <n v="0"/>
    <n v="5"/>
    <s v="Burn test"/>
    <s v="Line audit"/>
    <s v="Process Issue"/>
  </r>
  <r>
    <n v="296"/>
    <n v="60"/>
    <s v="LCS-06"/>
    <s v="LCS"/>
    <s v="Teeth Grinding"/>
    <n v="154"/>
    <x v="1"/>
    <s v="RE J1"/>
    <s v="pooja"/>
    <n v="13"/>
    <s v="Burn"/>
    <x v="18"/>
    <d v="2025-11-01T00:00:00"/>
    <n v="1"/>
    <m/>
    <m/>
    <m/>
    <n v="1"/>
    <n v="82.64"/>
    <n v="82.64"/>
    <n v="0"/>
    <n v="5"/>
    <s v="Burn test"/>
    <s v="Line audit"/>
    <s v="Process Issue"/>
  </r>
  <r>
    <n v="297"/>
    <n v="60"/>
    <s v="LCS-06"/>
    <s v="LCS"/>
    <s v="Teeth Grinding"/>
    <n v="154"/>
    <x v="1"/>
    <s v="RE J1"/>
    <s v="pooja"/>
    <n v="56"/>
    <s v="MOP u/s "/>
    <x v="18"/>
    <d v="2025-11-01T00:00:00"/>
    <n v="14"/>
    <m/>
    <m/>
    <m/>
    <n v="14"/>
    <n v="82.64"/>
    <n v="1156.96"/>
    <n v="3234"/>
    <n v="20"/>
    <s v="During segrigetion "/>
    <s v="During segrigetion "/>
    <s v="Attitude"/>
  </r>
  <r>
    <n v="298"/>
    <n v="61"/>
    <s v="LCS-07"/>
    <s v="LCS"/>
    <s v="Teeth Grinding"/>
    <n v="122"/>
    <x v="3"/>
    <s v="RE J1"/>
    <s v="shyam"/>
    <n v="56"/>
    <s v="MOP u/s "/>
    <x v="18"/>
    <d v="2025-11-01T00:00:00"/>
    <n v="7"/>
    <m/>
    <m/>
    <m/>
    <n v="7"/>
    <n v="335.39977528089889"/>
    <n v="2347.798426966292"/>
    <n v="3234"/>
    <n v="24"/>
    <s v="FQC return"/>
    <s v="Due to operator"/>
    <s v="infrastructure "/>
  </r>
  <r>
    <n v="299"/>
    <n v="57"/>
    <s v="298-01"/>
    <s v="Gear Grinding"/>
    <s v="Teeth Grinding"/>
    <n v="155"/>
    <x v="2"/>
    <s v="RE J1"/>
    <s v="prakash"/>
    <n v="56"/>
    <s v="MOP u/s "/>
    <x v="18"/>
    <d v="2025-11-01T00:00:00"/>
    <n v="1"/>
    <m/>
    <m/>
    <m/>
    <n v="1"/>
    <n v="107.67"/>
    <n v="107.67"/>
    <n v="3234"/>
    <n v="24"/>
    <s v="FQC return"/>
    <s v="Due to operator"/>
    <s v="infrastructure "/>
  </r>
  <r>
    <n v="300"/>
    <n v="56"/>
    <s v="298-02"/>
    <s v="Gear Grinding"/>
    <s v="Teeth Grinding"/>
    <n v="102"/>
    <x v="8"/>
    <s v="RE J1"/>
    <s v="adnan"/>
    <n v="56"/>
    <s v="MOP u/s "/>
    <x v="18"/>
    <d v="2025-11-01T00:00:00"/>
    <n v="1"/>
    <m/>
    <m/>
    <m/>
    <n v="1"/>
    <n v="93"/>
    <n v="93"/>
    <n v="3234"/>
    <n v="24"/>
    <s v="FQC return"/>
    <s v="Due to operator"/>
    <s v="infrastructure "/>
  </r>
  <r>
    <n v="301"/>
    <n v="75"/>
    <s v="277-04"/>
    <s v="Bestak"/>
    <s v="Grinding"/>
    <n v="52"/>
    <x v="0"/>
    <s v="RE P1"/>
    <s v="kanhaiya"/>
    <m/>
    <s v="Small dia u/s"/>
    <x v="18"/>
    <d v="2025-11-01T00:00:00"/>
    <n v="2"/>
    <m/>
    <m/>
    <m/>
    <n v="2"/>
    <n v="400"/>
    <n v="800"/>
    <n v="0"/>
    <n v="45"/>
    <s v="Running m/c"/>
    <s v="Due to machine "/>
    <s v="process"/>
  </r>
  <r>
    <n v="302"/>
    <n v="74"/>
    <s v="277-03"/>
    <s v="Bestak"/>
    <s v="Grinding"/>
    <n v="52"/>
    <x v="0"/>
    <s v="RE P1"/>
    <s v="sagar"/>
    <m/>
    <s v="step dia u/s"/>
    <x v="18"/>
    <d v="2025-11-01T00:00:00"/>
    <n v="1"/>
    <m/>
    <m/>
    <m/>
    <n v="1"/>
    <n v="400"/>
    <n v="400"/>
    <n v="0"/>
    <n v="36"/>
    <s v="Marpose disturb"/>
    <s v="Due to machine "/>
    <s v="process"/>
  </r>
  <r>
    <n v="303"/>
    <n v="74"/>
    <s v="277-03"/>
    <s v="Bestak"/>
    <s v="Grinding"/>
    <n v="52"/>
    <x v="0"/>
    <s v="RE P1"/>
    <s v="jitendra"/>
    <n v="66"/>
    <s v="OD Under Size"/>
    <x v="18"/>
    <d v="2025-11-01T00:00:00"/>
    <n v="2"/>
    <m/>
    <m/>
    <m/>
    <n v="2"/>
    <n v="400"/>
    <n v="800"/>
    <n v="3242"/>
    <n v="11"/>
    <s v="Cycle time reduce by operator"/>
    <s v="Due to operator"/>
    <s v="infrastructure "/>
  </r>
  <r>
    <n v="304"/>
    <n v="72"/>
    <s v="276-03"/>
    <s v="Hi-life"/>
    <s v="Grinding"/>
    <n v="52"/>
    <x v="0"/>
    <s v="RE P1"/>
    <s v="chetan"/>
    <m/>
    <s v="DG dia u/s"/>
    <x v="18"/>
    <d v="2025-11-01T00:00:00"/>
    <m/>
    <n v="1"/>
    <m/>
    <m/>
    <n v="1"/>
    <n v="400"/>
    <n v="400"/>
    <n v="0"/>
    <n v="36"/>
    <s v="Marpose disturb"/>
    <s v="Due to machine "/>
    <s v="process"/>
  </r>
  <r>
    <n v="305"/>
    <n v="71"/>
    <s v="276-02"/>
    <s v="Hi-life"/>
    <s v="Grinding"/>
    <n v="52"/>
    <x v="0"/>
    <s v="RE P1"/>
    <s v="rahul"/>
    <m/>
    <s v="Gear with u/s"/>
    <x v="18"/>
    <d v="2025-11-01T00:00:00"/>
    <m/>
    <n v="1"/>
    <m/>
    <m/>
    <n v="1"/>
    <n v="400"/>
    <n v="400"/>
    <n v="0"/>
    <n v="64"/>
    <s v="Wrong correction"/>
    <s v="Due to operator"/>
    <s v="infrastructure "/>
  </r>
  <r>
    <n v="306"/>
    <n v="59"/>
    <s v="LCS-05"/>
    <s v="LCS"/>
    <s v="Teeth Grinding"/>
    <n v="78"/>
    <x v="10"/>
    <s v="RE P1"/>
    <s v="deepak"/>
    <n v="13"/>
    <s v="Burn"/>
    <x v="18"/>
    <d v="2025-11-01T00:00:00"/>
    <m/>
    <n v="1"/>
    <m/>
    <m/>
    <n v="1"/>
    <n v="468.06"/>
    <n v="468.06"/>
    <n v="0"/>
    <n v="21"/>
    <s v="During setup time"/>
    <s v="Due to Settup  "/>
    <s v="skill"/>
  </r>
  <r>
    <n v="307"/>
    <n v="75"/>
    <s v="277-04"/>
    <s v="Bestak"/>
    <s v="Grinding"/>
    <n v="52"/>
    <x v="0"/>
    <s v="RE P1"/>
    <s v="vishal"/>
    <n v="66"/>
    <s v="OD Under Size"/>
    <x v="18"/>
    <d v="2025-11-01T00:00:00"/>
    <m/>
    <m/>
    <n v="1"/>
    <m/>
    <n v="1"/>
    <n v="400"/>
    <n v="400"/>
    <n v="3242"/>
    <n v="28"/>
    <s v="Kept inside on m/c"/>
    <s v="Due to operator"/>
    <s v="infrastructure "/>
  </r>
  <r>
    <n v="308"/>
    <n v="74"/>
    <s v="277-03"/>
    <s v="Bestak"/>
    <s v="Grinding"/>
    <n v="52"/>
    <x v="0"/>
    <s v="RE P1"/>
    <s v="jitendra"/>
    <n v="66"/>
    <s v="OD Under Size"/>
    <x v="18"/>
    <d v="2025-11-01T00:00:00"/>
    <m/>
    <m/>
    <n v="1"/>
    <m/>
    <n v="1"/>
    <n v="400"/>
    <n v="400"/>
    <n v="3242"/>
    <n v="28"/>
    <s v="Kept inside on m/c"/>
    <s v="Due to operator"/>
    <s v="infrastructure "/>
  </r>
  <r>
    <n v="309"/>
    <n v="62"/>
    <s v="FQC"/>
    <s v="FQC"/>
    <s v="fqc"/>
    <n v="52"/>
    <x v="0"/>
    <s v="RE P1"/>
    <s v="vinod"/>
    <n v="66"/>
    <s v="OD Under Size"/>
    <x v="18"/>
    <d v="2025-11-01T00:00:00"/>
    <m/>
    <m/>
    <n v="2"/>
    <m/>
    <n v="2"/>
    <n v="400"/>
    <n v="800"/>
    <n v="3242"/>
    <n v="24"/>
    <s v="FQC return"/>
    <s v="Due to operator"/>
    <s v="infrastructure "/>
  </r>
  <r>
    <n v="310"/>
    <n v="62"/>
    <s v="FQC"/>
    <s v="FQC"/>
    <s v="fqc"/>
    <n v="52"/>
    <x v="0"/>
    <s v="RE P1"/>
    <s v="vinod"/>
    <n v="94"/>
    <s v="Thread Dent"/>
    <x v="18"/>
    <d v="2025-11-01T00:00:00"/>
    <m/>
    <m/>
    <n v="1"/>
    <m/>
    <n v="1"/>
    <n v="400"/>
    <n v="400"/>
    <n v="3251"/>
    <n v="24"/>
    <s v="FQC return"/>
    <s v="Due to operator"/>
    <s v="infrastructure "/>
  </r>
  <r>
    <n v="311"/>
    <n v="71"/>
    <s v="276-02"/>
    <s v="Hi-life"/>
    <s v="Grinding"/>
    <n v="72"/>
    <x v="9"/>
    <s v="RE P1"/>
    <s v="vinod"/>
    <n v="66"/>
    <s v="OD Under Size"/>
    <x v="18"/>
    <d v="2025-11-01T00:00:00"/>
    <m/>
    <m/>
    <n v="1"/>
    <m/>
    <n v="1"/>
    <n v="357.61"/>
    <n v="357.61"/>
    <n v="3242"/>
    <n v="21"/>
    <s v="During setup time"/>
    <s v="Due to Settup  "/>
    <s v="skill"/>
  </r>
  <r>
    <n v="312"/>
    <n v="59"/>
    <s v="LCS-05"/>
    <s v="LCS"/>
    <s v="Teeth Grinding"/>
    <n v="78"/>
    <x v="10"/>
    <s v="RE P1"/>
    <s v="vishwamohan"/>
    <n v="56"/>
    <s v="MOP u/s "/>
    <x v="18"/>
    <d v="2025-11-01T00:00:00"/>
    <m/>
    <m/>
    <n v="2"/>
    <m/>
    <n v="2"/>
    <n v="468.06"/>
    <n v="936.12"/>
    <n v="3234"/>
    <n v="1"/>
    <s v="After dressing"/>
    <s v="Due to machine "/>
    <s v="process"/>
  </r>
  <r>
    <n v="313"/>
    <n v="60"/>
    <s v="LCS-06"/>
    <s v="LCS"/>
    <s v="Teeth Grinding"/>
    <n v="154"/>
    <x v="1"/>
    <s v="RE J1"/>
    <s v="rajpal"/>
    <n v="89"/>
    <s v="TCE out"/>
    <x v="18"/>
    <d v="2025-11-01T00:00:00"/>
    <m/>
    <m/>
    <n v="6"/>
    <m/>
    <n v="6"/>
    <n v="82.64"/>
    <n v="495.84000000000003"/>
    <n v="0"/>
    <n v="45"/>
    <s v="Running m/c"/>
    <s v="Due to machine "/>
    <s v="process"/>
  </r>
  <r>
    <n v="314"/>
    <n v="27"/>
    <s v="ACE-07"/>
    <s v="Micromatic"/>
    <s v="Turning"/>
    <n v="154"/>
    <x v="1"/>
    <s v="RE J1"/>
    <s v="prabhu"/>
    <n v="93"/>
    <s v="Thickness Under size"/>
    <x v="19"/>
    <d v="2025-11-01T00:00:00"/>
    <n v="1"/>
    <m/>
    <m/>
    <m/>
    <n v="1"/>
    <n v="82.64"/>
    <n v="82.64"/>
    <n v="3258"/>
    <n v="28"/>
    <s v="Kept inside on m/c"/>
    <s v="Due to operator"/>
    <s v="infrastructure "/>
  </r>
  <r>
    <n v="315"/>
    <n v="75"/>
    <s v="277-04"/>
    <s v="Bestak"/>
    <s v="Grinding"/>
    <n v="52"/>
    <x v="0"/>
    <s v="RE P1"/>
    <s v="chetan"/>
    <n v="66"/>
    <s v="OD Under Size"/>
    <x v="19"/>
    <d v="2025-11-01T00:00:00"/>
    <n v="1"/>
    <m/>
    <m/>
    <m/>
    <n v="1"/>
    <n v="400"/>
    <n v="400"/>
    <n v="3242"/>
    <n v="28"/>
    <s v="Kept inside on m/c"/>
    <s v="Due to operator"/>
    <s v="infrastructure "/>
  </r>
  <r>
    <n v="316"/>
    <n v="74"/>
    <s v="277-03"/>
    <s v="Bestak"/>
    <s v="Grinding"/>
    <n v="72"/>
    <x v="9"/>
    <s v="RE P1"/>
    <s v="sagar"/>
    <n v="66"/>
    <s v="OD Under Size"/>
    <x v="19"/>
    <d v="2025-11-01T00:00:00"/>
    <n v="1"/>
    <m/>
    <m/>
    <m/>
    <n v="1"/>
    <n v="357.61"/>
    <n v="357.61"/>
    <n v="3242"/>
    <n v="19"/>
    <s v="During Rework time"/>
    <s v="Due to operator"/>
    <s v="infrastructure "/>
  </r>
  <r>
    <n v="317"/>
    <n v="26"/>
    <s v="ACE-06"/>
    <s v="Micromatic"/>
    <s v="Turning"/>
    <n v="154"/>
    <x v="1"/>
    <s v="RE J1"/>
    <m/>
    <n v="5"/>
    <s v="Bore Over size"/>
    <x v="19"/>
    <d v="2025-11-01T00:00:00"/>
    <n v="20"/>
    <m/>
    <m/>
    <m/>
    <n v="20"/>
    <n v="82.64"/>
    <n v="1652.8"/>
    <n v="3243"/>
    <n v="20"/>
    <s v="During segrigetion "/>
    <s v="During segrigetion "/>
    <s v="Attitude"/>
  </r>
  <r>
    <n v="318"/>
    <n v="61"/>
    <s v="LCS-07"/>
    <s v="LCS"/>
    <s v="Teeth Grinding"/>
    <n v="122"/>
    <x v="3"/>
    <s v="RE J1"/>
    <s v="krishna"/>
    <n v="13"/>
    <s v="Burn"/>
    <x v="19"/>
    <d v="2025-11-01T00:00:00"/>
    <n v="1"/>
    <m/>
    <m/>
    <m/>
    <n v="1"/>
    <n v="335.39977528089889"/>
    <n v="335.39977528089889"/>
    <n v="0"/>
    <n v="5"/>
    <s v="Burn test"/>
    <s v="Line audit"/>
    <s v="Process Issue"/>
  </r>
  <r>
    <n v="319"/>
    <n v="59"/>
    <s v="LCS-05"/>
    <s v="LCS"/>
    <s v="Teeth Grinding"/>
    <n v="78"/>
    <x v="10"/>
    <s v="RE P1"/>
    <s v="prakash"/>
    <n v="56"/>
    <s v="MOP u/s "/>
    <x v="19"/>
    <d v="2025-11-01T00:00:00"/>
    <n v="1"/>
    <m/>
    <m/>
    <m/>
    <n v="1"/>
    <n v="468.06"/>
    <n v="468.06"/>
    <n v="3234"/>
    <n v="1"/>
    <s v="After dressing"/>
    <s v="Due to machine "/>
    <s v="process"/>
  </r>
  <r>
    <n v="320"/>
    <n v="58"/>
    <s v="LCS-04"/>
    <s v="LCS"/>
    <s v="Teeth Grinding"/>
    <n v="102"/>
    <x v="8"/>
    <s v="RE J1"/>
    <s v="sagar"/>
    <n v="56"/>
    <s v="MOP u/s "/>
    <x v="19"/>
    <d v="2025-11-01T00:00:00"/>
    <n v="2"/>
    <m/>
    <m/>
    <m/>
    <n v="2"/>
    <n v="93"/>
    <n v="186"/>
    <n v="3234"/>
    <n v="20"/>
    <s v="During segrigetion "/>
    <s v="During segrigetion "/>
    <s v="Attitude"/>
  </r>
  <r>
    <n v="321"/>
    <n v="58"/>
    <s v="LCS-04"/>
    <s v="LCS"/>
    <s v="Teeth Grinding"/>
    <n v="102"/>
    <x v="8"/>
    <s v="RE J1"/>
    <s v="adnan"/>
    <n v="13"/>
    <s v="Burn"/>
    <x v="19"/>
    <d v="2025-11-01T00:00:00"/>
    <m/>
    <n v="2"/>
    <m/>
    <m/>
    <n v="2"/>
    <n v="93"/>
    <n v="186"/>
    <n v="0"/>
    <n v="21"/>
    <s v="During setup time"/>
    <s v="Due to Settup  "/>
    <s v="skill"/>
  </r>
  <r>
    <n v="322"/>
    <n v="58"/>
    <s v="LCS-04"/>
    <s v="LCS"/>
    <s v="Teeth Grinding"/>
    <n v="102"/>
    <x v="8"/>
    <s v="RE J1"/>
    <s v="adnan"/>
    <n v="56"/>
    <s v="MOP u/s "/>
    <x v="19"/>
    <d v="2025-11-01T00:00:00"/>
    <m/>
    <n v="1"/>
    <m/>
    <m/>
    <n v="1"/>
    <n v="93"/>
    <n v="93"/>
    <n v="3234"/>
    <n v="12"/>
    <s v="Double loading"/>
    <s v="Due to operator"/>
    <s v="infrastructure "/>
  </r>
  <r>
    <n v="323"/>
    <n v="57"/>
    <s v="298-01"/>
    <s v="Gear Grinding"/>
    <s v="Teeth Grinding"/>
    <n v="102"/>
    <x v="8"/>
    <s v="RE J1"/>
    <s v="keval"/>
    <n v="13"/>
    <s v="Burn"/>
    <x v="19"/>
    <d v="2025-11-01T00:00:00"/>
    <m/>
    <n v="1"/>
    <m/>
    <m/>
    <n v="1"/>
    <n v="93"/>
    <n v="93"/>
    <n v="0"/>
    <n v="21"/>
    <s v="During setup time"/>
    <s v="Due to Settup  "/>
    <s v="skill"/>
  </r>
  <r>
    <n v="324"/>
    <n v="59"/>
    <s v="LCS-05"/>
    <s v="LCS"/>
    <s v="Teeth Grinding"/>
    <n v="155"/>
    <x v="2"/>
    <s v="RE J1"/>
    <s v="vishwamohan"/>
    <n v="13"/>
    <s v="Burn"/>
    <x v="19"/>
    <d v="2025-11-01T00:00:00"/>
    <m/>
    <m/>
    <n v="1"/>
    <m/>
    <n v="1"/>
    <n v="107.67"/>
    <n v="107.67"/>
    <n v="0"/>
    <n v="21"/>
    <s v="During setup time"/>
    <s v="Due to Settup  "/>
    <s v="skill"/>
  </r>
  <r>
    <n v="325"/>
    <n v="59"/>
    <s v="LCS-05"/>
    <s v="LCS"/>
    <s v="Teeth Grinding"/>
    <n v="155"/>
    <x v="2"/>
    <s v="RE J1"/>
    <s v="vishwamohan"/>
    <n v="56"/>
    <s v="MOP u/s "/>
    <x v="19"/>
    <d v="2025-11-01T00:00:00"/>
    <m/>
    <m/>
    <n v="1"/>
    <m/>
    <n v="1"/>
    <n v="107.67"/>
    <n v="107.67"/>
    <n v="3234"/>
    <n v="21"/>
    <s v="During setup time"/>
    <s v="Due to Settup  "/>
    <s v="skill"/>
  </r>
  <r>
    <n v="326"/>
    <n v="58"/>
    <s v="LCS-04"/>
    <s v="LCS"/>
    <s v="Teeth Grinding"/>
    <n v="102"/>
    <x v="8"/>
    <s v="RE J1"/>
    <m/>
    <n v="56"/>
    <s v="MOP u/s "/>
    <x v="19"/>
    <d v="2025-11-01T00:00:00"/>
    <m/>
    <m/>
    <n v="2"/>
    <m/>
    <n v="2"/>
    <n v="93"/>
    <n v="186"/>
    <n v="3234"/>
    <n v="45"/>
    <s v="Running m/c"/>
    <s v="Due to machine "/>
    <s v="process"/>
  </r>
  <r>
    <n v="327"/>
    <n v="59"/>
    <s v="LCS-05"/>
    <s v="LCS"/>
    <s v="Teeth Grinding"/>
    <n v="78"/>
    <x v="10"/>
    <s v="RE P1"/>
    <s v="chhaya"/>
    <m/>
    <s v="Master dent"/>
    <x v="20"/>
    <d v="2025-11-01T00:00:00"/>
    <n v="1"/>
    <m/>
    <m/>
    <m/>
    <n v="1"/>
    <n v="468.06"/>
    <n v="468.06"/>
    <n v="0"/>
    <n v="24"/>
    <s v="FQC return"/>
    <s v="Due to operator"/>
    <s v="infrastructure "/>
  </r>
  <r>
    <n v="328"/>
    <n v="56"/>
    <s v="298-02"/>
    <s v="Gear Grinding"/>
    <s v="Teeth Grinding"/>
    <n v="155"/>
    <x v="2"/>
    <s v="RE J1"/>
    <s v="chhaya"/>
    <m/>
    <s v="Master dent"/>
    <x v="20"/>
    <d v="2025-11-01T00:00:00"/>
    <n v="10"/>
    <m/>
    <m/>
    <m/>
    <n v="10"/>
    <n v="107.67"/>
    <n v="1076.7"/>
    <n v="0"/>
    <n v="24"/>
    <s v="FQC return"/>
    <s v="Due to operator"/>
    <s v="infrastructure "/>
  </r>
  <r>
    <n v="329"/>
    <n v="58"/>
    <s v="LCS-04"/>
    <s v="LCS"/>
    <s v="Teeth Grinding"/>
    <n v="77"/>
    <x v="11"/>
    <s v="RE P1"/>
    <s v="chhaya"/>
    <m/>
    <s v="Master dent"/>
    <x v="20"/>
    <d v="2025-11-01T00:00:00"/>
    <n v="1"/>
    <m/>
    <m/>
    <m/>
    <n v="1"/>
    <n v="79.064999999999998"/>
    <n v="79.064999999999998"/>
    <n v="0"/>
    <n v="24"/>
    <s v="FQC return"/>
    <s v="Due to operator"/>
    <s v="infrastructure "/>
  </r>
  <r>
    <n v="330"/>
    <n v="61"/>
    <s v="LCS-07"/>
    <s v="LCS"/>
    <s v="Teeth Grinding"/>
    <n v="122"/>
    <x v="3"/>
    <s v="RE J1"/>
    <s v="chhaya"/>
    <m/>
    <s v="Master dent"/>
    <x v="20"/>
    <d v="2025-11-01T00:00:00"/>
    <n v="10"/>
    <m/>
    <m/>
    <m/>
    <n v="10"/>
    <n v="335.39977528089889"/>
    <n v="3353.9977528089889"/>
    <n v="0"/>
    <n v="24"/>
    <s v="FQC return"/>
    <s v="Due to operator"/>
    <s v="infrastructure "/>
  </r>
  <r>
    <n v="331"/>
    <n v="60"/>
    <s v="LCS-06"/>
    <s v="LCS"/>
    <s v="Teeth Grinding"/>
    <n v="28"/>
    <x v="4"/>
    <s v="RE P1"/>
    <s v="chhaya"/>
    <m/>
    <s v="Master dent"/>
    <x v="20"/>
    <d v="2025-11-01T00:00:00"/>
    <n v="2"/>
    <m/>
    <m/>
    <m/>
    <n v="2"/>
    <n v="124.07"/>
    <n v="248.14"/>
    <n v="0"/>
    <n v="24"/>
    <s v="FQC return"/>
    <s v="Due to operator"/>
    <s v="infrastructure "/>
  </r>
  <r>
    <n v="332"/>
    <n v="61"/>
    <s v="LCS-07"/>
    <s v="LCS"/>
    <s v="Teeth Grinding"/>
    <n v="122"/>
    <x v="3"/>
    <s v="RE J1"/>
    <s v="mukesh"/>
    <n v="89"/>
    <s v="TCE out"/>
    <x v="20"/>
    <d v="2025-11-01T00:00:00"/>
    <n v="4"/>
    <m/>
    <m/>
    <m/>
    <n v="4"/>
    <n v="335.39977528089889"/>
    <n v="1341.5991011235956"/>
    <n v="0"/>
    <n v="24"/>
    <s v="FQC return"/>
    <s v="Due to operator"/>
    <s v="infrastructure "/>
  </r>
  <r>
    <n v="333"/>
    <n v="61"/>
    <s v="LCS-07"/>
    <s v="LCS"/>
    <s v="Teeth Grinding"/>
    <n v="122"/>
    <x v="3"/>
    <s v="RE J1"/>
    <s v="mukesh"/>
    <n v="56"/>
    <s v="MOP u/s "/>
    <x v="20"/>
    <d v="2025-11-01T00:00:00"/>
    <n v="6"/>
    <m/>
    <m/>
    <m/>
    <n v="6"/>
    <n v="335.39977528089889"/>
    <n v="2012.3986516853934"/>
    <n v="3234"/>
    <n v="24"/>
    <s v="FQC return"/>
    <s v="Due to operator"/>
    <s v="infrastructure "/>
  </r>
  <r>
    <n v="334"/>
    <n v="59"/>
    <s v="LCS-05"/>
    <s v="LCS"/>
    <s v="Teeth Grinding"/>
    <n v="155"/>
    <x v="2"/>
    <s v="RE J1"/>
    <s v="prakash"/>
    <n v="56"/>
    <s v="MOP u/s "/>
    <x v="20"/>
    <d v="2025-11-01T00:00:00"/>
    <n v="2"/>
    <m/>
    <m/>
    <m/>
    <n v="2"/>
    <n v="107.67"/>
    <n v="215.34"/>
    <n v="3234"/>
    <n v="1"/>
    <s v="After dressing"/>
    <s v="Due to machine "/>
    <s v="process"/>
  </r>
  <r>
    <n v="335"/>
    <n v="57"/>
    <s v="298-01"/>
    <s v="Gear Grinding"/>
    <s v="Teeth Grinding"/>
    <n v="102"/>
    <x v="8"/>
    <s v="RE J1"/>
    <s v="yash"/>
    <n v="56"/>
    <s v="MOP u/s "/>
    <x v="20"/>
    <d v="2025-11-01T00:00:00"/>
    <n v="1"/>
    <m/>
    <m/>
    <m/>
    <n v="1"/>
    <n v="93"/>
    <n v="93"/>
    <n v="3234"/>
    <n v="1"/>
    <s v="After dressing"/>
    <s v="Due to machine "/>
    <s v="process"/>
  </r>
  <r>
    <n v="336"/>
    <n v="27"/>
    <s v="ACE-07"/>
    <s v="Micromatic"/>
    <s v="Turning"/>
    <n v="154"/>
    <x v="1"/>
    <s v="RE J1"/>
    <s v="kemraj"/>
    <n v="5"/>
    <s v="Bore Over size"/>
    <x v="20"/>
    <d v="2025-11-01T00:00:00"/>
    <n v="4"/>
    <m/>
    <m/>
    <m/>
    <n v="4"/>
    <n v="82.64"/>
    <n v="330.56"/>
    <n v="3243"/>
    <n v="23"/>
    <s v="during wheel change"/>
    <s v="Line audit"/>
    <s v="Process Issue"/>
  </r>
  <r>
    <n v="337"/>
    <n v="30"/>
    <s v="ACE-10"/>
    <s v="Micromatic"/>
    <s v="Turning"/>
    <n v="154"/>
    <x v="1"/>
    <s v="RE J1"/>
    <s v="pratik"/>
    <n v="5"/>
    <s v="Bore Over size"/>
    <x v="20"/>
    <d v="2025-11-01T00:00:00"/>
    <n v="22"/>
    <m/>
    <m/>
    <m/>
    <n v="22"/>
    <n v="82.64"/>
    <n v="1818.08"/>
    <n v="3243"/>
    <n v="19"/>
    <s v="During Rework time"/>
    <s v="Due to operator"/>
    <s v="infrastructure "/>
  </r>
  <r>
    <n v="338"/>
    <n v="72"/>
    <s v="276-03"/>
    <s v="Hi-life"/>
    <s v="Grinding"/>
    <n v="72"/>
    <x v="9"/>
    <s v="RE P1"/>
    <s v="alkar"/>
    <n v="66"/>
    <s v="OD Under Size"/>
    <x v="20"/>
    <d v="2025-11-01T00:00:00"/>
    <n v="1"/>
    <m/>
    <m/>
    <m/>
    <n v="1"/>
    <n v="357.61"/>
    <n v="357.61"/>
    <n v="3242"/>
    <n v="28"/>
    <s v="Kept inside on m/c"/>
    <s v="Due to operator"/>
    <s v="infrastructure "/>
  </r>
  <r>
    <n v="339"/>
    <n v="71"/>
    <s v="276-02"/>
    <s v="Hi-life"/>
    <s v="Grinding"/>
    <n v="72"/>
    <x v="9"/>
    <s v="RE P1"/>
    <s v="sagar"/>
    <n v="93"/>
    <s v="Thickness Under size"/>
    <x v="20"/>
    <d v="2025-11-01T00:00:00"/>
    <n v="2"/>
    <m/>
    <m/>
    <m/>
    <n v="2"/>
    <n v="357.61"/>
    <n v="715.22"/>
    <n v="3258"/>
    <n v="45"/>
    <s v="Running m/c"/>
    <s v="Due to machine "/>
    <s v="process"/>
  </r>
  <r>
    <n v="340"/>
    <n v="72"/>
    <s v="276-03"/>
    <s v="Hi-life"/>
    <s v="Grinding"/>
    <n v="72"/>
    <x v="9"/>
    <s v="RE P1"/>
    <s v="kanhaiya"/>
    <n v="66"/>
    <s v="OD Under Size"/>
    <x v="20"/>
    <d v="2025-11-01T00:00:00"/>
    <n v="1"/>
    <m/>
    <m/>
    <m/>
    <n v="1"/>
    <n v="357.61"/>
    <n v="357.61"/>
    <n v="3242"/>
    <n v="45"/>
    <s v="Running m/c"/>
    <s v="Due to machine "/>
    <s v="process"/>
  </r>
  <r>
    <n v="341"/>
    <n v="78"/>
    <s v="277-07"/>
    <s v="Bestak"/>
    <s v="Grinding"/>
    <n v="72"/>
    <x v="9"/>
    <s v="RE P1"/>
    <s v="sagar"/>
    <n v="66"/>
    <s v="OD Under Size"/>
    <x v="20"/>
    <d v="2025-11-01T00:00:00"/>
    <n v="1"/>
    <m/>
    <m/>
    <m/>
    <n v="1"/>
    <n v="357.61"/>
    <n v="357.61"/>
    <n v="3242"/>
    <n v="21"/>
    <s v="During setup time"/>
    <s v="Due to Settup  "/>
    <s v="skill"/>
  </r>
  <r>
    <n v="342"/>
    <n v="60"/>
    <s v="LCS-06"/>
    <s v="LCS"/>
    <s v="Teeth Grinding"/>
    <n v="154"/>
    <x v="1"/>
    <s v="RE J1"/>
    <s v="pooja"/>
    <n v="13"/>
    <s v="Burn"/>
    <x v="20"/>
    <d v="2025-11-01T00:00:00"/>
    <n v="1"/>
    <m/>
    <m/>
    <m/>
    <n v="1"/>
    <n v="82.64"/>
    <n v="82.64"/>
    <n v="0"/>
    <n v="23"/>
    <s v="during wheel change"/>
    <s v="Line audit"/>
    <s v="Process Issue"/>
  </r>
  <r>
    <n v="343"/>
    <n v="57"/>
    <s v="298-01"/>
    <s v="Gear Grinding"/>
    <s v="Teeth Grinding"/>
    <n v="72"/>
    <x v="9"/>
    <s v="RE P1"/>
    <s v="jawahar"/>
    <n v="13"/>
    <s v="Burn"/>
    <x v="20"/>
    <d v="2025-11-01T00:00:00"/>
    <n v="1"/>
    <m/>
    <m/>
    <m/>
    <n v="1"/>
    <n v="357.61"/>
    <n v="357.61"/>
    <n v="0"/>
    <n v="5"/>
    <s v="Burn test"/>
    <s v="Line audit"/>
    <s v="Process Issue"/>
  </r>
  <r>
    <n v="344"/>
    <n v="74"/>
    <s v="277-03"/>
    <s v="Bestak"/>
    <s v="Grinding"/>
    <n v="72"/>
    <x v="9"/>
    <s v="RE P1"/>
    <m/>
    <n v="94"/>
    <s v="Thread Dent"/>
    <x v="20"/>
    <d v="2025-11-01T00:00:00"/>
    <m/>
    <n v="15"/>
    <m/>
    <m/>
    <n v="15"/>
    <n v="357.61"/>
    <n v="5364.1500000000005"/>
    <n v="3251"/>
    <m/>
    <s v="Due to shotblasting"/>
    <n v="0"/>
    <n v="0"/>
  </r>
  <r>
    <n v="345"/>
    <n v="71"/>
    <s v="276-02"/>
    <s v="Hi-life"/>
    <s v="Grinding"/>
    <n v="52"/>
    <x v="0"/>
    <s v="RE P1"/>
    <m/>
    <n v="66"/>
    <s v="OD Under Size"/>
    <x v="20"/>
    <d v="2025-11-01T00:00:00"/>
    <m/>
    <n v="1"/>
    <m/>
    <m/>
    <n v="1"/>
    <n v="400"/>
    <n v="400"/>
    <n v="3242"/>
    <n v="10"/>
    <s v="Collent off running m/c"/>
    <s v="Due to machine "/>
    <s v="process"/>
  </r>
  <r>
    <n v="346"/>
    <n v="62"/>
    <s v="FQC"/>
    <s v="FQC"/>
    <s v="fqc"/>
    <n v="155"/>
    <x v="2"/>
    <s v="RE J1"/>
    <m/>
    <n v="89"/>
    <s v="TCE out"/>
    <x v="20"/>
    <d v="2025-11-01T00:00:00"/>
    <m/>
    <n v="2"/>
    <m/>
    <m/>
    <n v="2"/>
    <n v="107.67"/>
    <n v="215.34"/>
    <n v="0"/>
    <n v="24"/>
    <s v="FQC return"/>
    <s v="Due to operator"/>
    <s v="infrastructure "/>
  </r>
  <r>
    <n v="347"/>
    <n v="59"/>
    <s v="LCS-05"/>
    <s v="LCS"/>
    <s v="Teeth Grinding"/>
    <n v="155"/>
    <x v="2"/>
    <s v="RE J1"/>
    <m/>
    <n v="89"/>
    <s v="TCE out"/>
    <x v="20"/>
    <d v="2025-11-01T00:00:00"/>
    <m/>
    <n v="1"/>
    <m/>
    <m/>
    <n v="1"/>
    <n v="107.67"/>
    <n v="107.67"/>
    <n v="0"/>
    <n v="45"/>
    <s v="Running m/c"/>
    <s v="Due to machine "/>
    <s v="process"/>
  </r>
  <r>
    <n v="348"/>
    <n v="59"/>
    <s v="LCS-05"/>
    <s v="LCS"/>
    <s v="Teeth Grinding"/>
    <n v="155"/>
    <x v="2"/>
    <s v="RE J1"/>
    <m/>
    <n v="56"/>
    <s v="MOP u/s "/>
    <x v="20"/>
    <d v="2025-11-01T00:00:00"/>
    <m/>
    <m/>
    <n v="3"/>
    <m/>
    <n v="3"/>
    <n v="107.67"/>
    <n v="323.01"/>
    <n v="3234"/>
    <n v="1"/>
    <s v="After dressing"/>
    <s v="Due to machine "/>
    <s v="process"/>
  </r>
  <r>
    <n v="349"/>
    <n v="59"/>
    <s v="LCS-05"/>
    <s v="LCS"/>
    <s v="Teeth Grinding"/>
    <n v="155"/>
    <x v="2"/>
    <s v="RE J1"/>
    <s v="pooja"/>
    <n v="56"/>
    <s v="MOP u/s "/>
    <x v="21"/>
    <d v="2025-11-01T00:00:00"/>
    <n v="3"/>
    <m/>
    <m/>
    <m/>
    <n v="3"/>
    <n v="107.67"/>
    <n v="323.01"/>
    <n v="3234"/>
    <n v="1"/>
    <s v="After dressing"/>
    <s v="Due to machine "/>
    <s v="process"/>
  </r>
  <r>
    <n v="350"/>
    <n v="58"/>
    <s v="LCS-04"/>
    <s v="LCS"/>
    <s v="Teeth Grinding"/>
    <n v="72"/>
    <x v="9"/>
    <s v="RE P1"/>
    <m/>
    <m/>
    <s v="Thread damage"/>
    <x v="21"/>
    <d v="2025-11-01T00:00:00"/>
    <n v="12"/>
    <m/>
    <m/>
    <m/>
    <n v="12"/>
    <n v="357.61"/>
    <n v="4291.32"/>
    <n v="0"/>
    <m/>
    <s v="Due to shotblasting"/>
    <n v="0"/>
    <n v="0"/>
  </r>
  <r>
    <n v="351"/>
    <n v="26"/>
    <s v="ACE-06"/>
    <s v="Micromatic"/>
    <s v="Turning"/>
    <n v="154"/>
    <x v="1"/>
    <s v="RE J1"/>
    <s v="pratik"/>
    <n v="5"/>
    <s v="Bore Over size"/>
    <x v="21"/>
    <d v="2025-11-01T00:00:00"/>
    <n v="15"/>
    <m/>
    <m/>
    <m/>
    <n v="15"/>
    <n v="82.64"/>
    <n v="1239.5999999999999"/>
    <n v="3243"/>
    <n v="19"/>
    <s v="During Rework time"/>
    <s v="Due to operator"/>
    <s v="infrastructure "/>
  </r>
  <r>
    <n v="352"/>
    <n v="59"/>
    <s v="LCS-05"/>
    <s v="LCS"/>
    <s v="Teeth Grinding"/>
    <n v="155"/>
    <x v="2"/>
    <s v="RE J1"/>
    <m/>
    <n v="33"/>
    <s v="Double finishing"/>
    <x v="21"/>
    <d v="2025-11-01T00:00:00"/>
    <m/>
    <n v="3"/>
    <m/>
    <m/>
    <n v="3"/>
    <n v="107.67"/>
    <n v="323.01"/>
    <n v="0"/>
    <n v="45"/>
    <s v="Running m/c"/>
    <s v="Due to machine "/>
    <s v="process"/>
  </r>
  <r>
    <n v="353"/>
    <n v="58"/>
    <s v="LCS-04"/>
    <s v="LCS"/>
    <s v="Teeth Grinding"/>
    <n v="102"/>
    <x v="8"/>
    <s v="RE J1"/>
    <s v="atul"/>
    <n v="56"/>
    <s v="MOP u/s "/>
    <x v="21"/>
    <d v="2025-11-01T00:00:00"/>
    <m/>
    <n v="1"/>
    <m/>
    <m/>
    <n v="1"/>
    <n v="93"/>
    <n v="93"/>
    <n v="3234"/>
    <n v="1"/>
    <s v="After dressing"/>
    <s v="Due to machine "/>
    <s v="process"/>
  </r>
  <r>
    <n v="354"/>
    <n v="60"/>
    <s v="LCS-06"/>
    <s v="LCS"/>
    <s v="Teeth Grinding"/>
    <n v="102"/>
    <x v="8"/>
    <s v="RE J1"/>
    <m/>
    <n v="33"/>
    <s v="Double finishing"/>
    <x v="21"/>
    <d v="2025-11-01T00:00:00"/>
    <m/>
    <n v="1"/>
    <m/>
    <m/>
    <n v="1"/>
    <n v="93"/>
    <n v="93"/>
    <n v="0"/>
    <n v="45"/>
    <s v="Running m/c"/>
    <s v="Due to machine "/>
    <s v="process"/>
  </r>
  <r>
    <n v="355"/>
    <n v="59"/>
    <s v="LCS-05"/>
    <s v="LCS"/>
    <s v="Teeth Grinding"/>
    <n v="155"/>
    <x v="2"/>
    <s v="RE J1"/>
    <s v="atul"/>
    <n v="56"/>
    <s v="MOP u/s "/>
    <x v="21"/>
    <d v="2025-11-01T00:00:00"/>
    <m/>
    <m/>
    <n v="13"/>
    <m/>
    <n v="13"/>
    <n v="107.67"/>
    <n v="1399.71"/>
    <n v="3234"/>
    <n v="19"/>
    <s v="During Rework time"/>
    <s v="Due to operator"/>
    <s v="infrastructure "/>
  </r>
  <r>
    <n v="356"/>
    <n v="59"/>
    <s v="LCS-05"/>
    <s v="LCS"/>
    <s v="Teeth Grinding"/>
    <n v="77"/>
    <x v="11"/>
    <s v="RE P1"/>
    <s v="atul"/>
    <n v="13"/>
    <s v="Burn"/>
    <x v="21"/>
    <d v="2025-11-01T00:00:00"/>
    <m/>
    <m/>
    <n v="1"/>
    <m/>
    <n v="1"/>
    <n v="79.064999999999998"/>
    <n v="79.064999999999998"/>
    <n v="0"/>
    <n v="21"/>
    <s v="During setup time"/>
    <s v="Due to Settup  "/>
    <s v="skill"/>
  </r>
  <r>
    <n v="357"/>
    <n v="27"/>
    <s v="ACE-07"/>
    <s v="Micromatic"/>
    <s v="Turning"/>
    <n v="154"/>
    <x v="1"/>
    <s v="RE J1"/>
    <m/>
    <n v="5"/>
    <s v="Bore Over size"/>
    <x v="22"/>
    <d v="2025-11-01T00:00:00"/>
    <n v="7"/>
    <m/>
    <m/>
    <m/>
    <n v="7"/>
    <n v="82.64"/>
    <n v="578.48"/>
    <n v="3243"/>
    <n v="19"/>
    <s v="During Rework time"/>
    <s v="Due to operator"/>
    <s v="infrastructure "/>
  </r>
  <r>
    <n v="358"/>
    <n v="59"/>
    <s v="LCS-05"/>
    <s v="LCS"/>
    <s v="Teeth Grinding"/>
    <n v="154"/>
    <x v="1"/>
    <s v="RE J1"/>
    <s v="prakash"/>
    <n v="13"/>
    <s v="Burn"/>
    <x v="22"/>
    <d v="2025-11-01T00:00:00"/>
    <m/>
    <n v="1"/>
    <m/>
    <m/>
    <n v="1"/>
    <n v="82.64"/>
    <n v="82.64"/>
    <n v="0"/>
    <n v="21"/>
    <s v="During setup time"/>
    <s v="Due to Settup  "/>
    <s v="skill"/>
  </r>
  <r>
    <n v="359"/>
    <n v="61"/>
    <s v="LCS-07"/>
    <s v="LCS"/>
    <s v="Teeth Grinding"/>
    <n v="122"/>
    <x v="3"/>
    <s v="RE J1"/>
    <s v="mukesh"/>
    <n v="13"/>
    <s v="Burn"/>
    <x v="22"/>
    <d v="2025-11-01T00:00:00"/>
    <m/>
    <n v="1"/>
    <m/>
    <m/>
    <n v="1"/>
    <n v="335.39977528089889"/>
    <n v="335.39977528089889"/>
    <n v="0"/>
    <n v="21"/>
    <s v="During setup time"/>
    <s v="Due to Settup  "/>
    <s v="skill"/>
  </r>
  <r>
    <n v="360"/>
    <n v="57"/>
    <s v="298-01"/>
    <s v="Gear Grinding"/>
    <s v="Teeth Grinding"/>
    <n v="102"/>
    <x v="8"/>
    <s v="RE J1"/>
    <s v="keval"/>
    <n v="13"/>
    <s v="Burn"/>
    <x v="22"/>
    <d v="2025-11-01T00:00:00"/>
    <m/>
    <n v="1"/>
    <m/>
    <m/>
    <n v="1"/>
    <n v="93"/>
    <n v="93"/>
    <n v="0"/>
    <n v="21"/>
    <s v="During setup time"/>
    <s v="Due to Settup  "/>
    <s v="skill"/>
  </r>
  <r>
    <n v="361"/>
    <n v="56"/>
    <s v="298-02"/>
    <s v="Gear Grinding"/>
    <s v="Teeth Grinding"/>
    <n v="155"/>
    <x v="2"/>
    <s v="RE J1"/>
    <s v="mukul"/>
    <n v="13"/>
    <s v="Burn"/>
    <x v="22"/>
    <d v="2025-11-01T00:00:00"/>
    <m/>
    <n v="1"/>
    <m/>
    <m/>
    <n v="1"/>
    <n v="107.67"/>
    <n v="107.67"/>
    <n v="0"/>
    <n v="21"/>
    <s v="During setup time"/>
    <s v="Due to Settup  "/>
    <s v="skill"/>
  </r>
  <r>
    <n v="362"/>
    <n v="61"/>
    <s v="LCS-07"/>
    <s v="LCS"/>
    <s v="Teeth Grinding"/>
    <n v="122"/>
    <x v="3"/>
    <s v="RE J1"/>
    <s v="shyam"/>
    <n v="33"/>
    <s v="Double finishing"/>
    <x v="22"/>
    <d v="2025-11-01T00:00:00"/>
    <m/>
    <n v="2"/>
    <m/>
    <m/>
    <n v="2"/>
    <n v="335.39977528089889"/>
    <n v="670.79955056179779"/>
    <n v="0"/>
    <n v="19"/>
    <s v="During Rework time"/>
    <s v="Due to operator"/>
    <s v="infrastructure "/>
  </r>
  <r>
    <n v="363"/>
    <n v="61"/>
    <s v="LCS-07"/>
    <s v="LCS"/>
    <s v="Teeth Grinding"/>
    <n v="122"/>
    <x v="3"/>
    <s v="RE J1"/>
    <s v="shyam"/>
    <n v="56"/>
    <s v="MOP u/s "/>
    <x v="22"/>
    <d v="2025-11-01T00:00:00"/>
    <m/>
    <n v="6"/>
    <m/>
    <m/>
    <n v="6"/>
    <n v="335.39977528089889"/>
    <n v="2012.3986516853934"/>
    <n v="3234"/>
    <n v="19"/>
    <s v="During Rework time"/>
    <s v="Due to operator"/>
    <s v="infrastructure "/>
  </r>
  <r>
    <n v="364"/>
    <n v="61"/>
    <s v="LCS-07"/>
    <s v="LCS"/>
    <s v="Teeth Grinding"/>
    <n v="185"/>
    <x v="7"/>
    <s v="RE Bush"/>
    <s v="shyam"/>
    <n v="14"/>
    <s v="Bush damage"/>
    <x v="22"/>
    <d v="2025-11-01T00:00:00"/>
    <m/>
    <n v="9"/>
    <m/>
    <m/>
    <n v="9"/>
    <n v="25.53"/>
    <n v="229.77"/>
    <n v="0"/>
    <n v="6"/>
    <s v="bush will not use again"/>
    <s v="Prod Declared"/>
    <s v="Process Issue"/>
  </r>
  <r>
    <n v="365"/>
    <n v="75"/>
    <s v="277-04"/>
    <s v="Bestak"/>
    <s v="Grinding"/>
    <n v="72"/>
    <x v="9"/>
    <s v="RE P1"/>
    <s v="sangeeta"/>
    <n v="66"/>
    <s v="OD Under Size"/>
    <x v="23"/>
    <d v="2025-11-01T00:00:00"/>
    <n v="2"/>
    <m/>
    <m/>
    <m/>
    <n v="2"/>
    <n v="357.61"/>
    <n v="715.22"/>
    <n v="3242"/>
    <n v="28"/>
    <s v="Kept inside on m/c"/>
    <s v="Due to operator"/>
    <s v="infrastructure "/>
  </r>
  <r>
    <n v="366"/>
    <n v="78"/>
    <s v="277-07"/>
    <s v="Bestak"/>
    <s v="Grinding"/>
    <n v="72"/>
    <x v="9"/>
    <s v="RE P1"/>
    <s v="pintu"/>
    <n v="66"/>
    <s v="OD Under Size"/>
    <x v="23"/>
    <d v="2025-11-01T00:00:00"/>
    <n v="2"/>
    <m/>
    <m/>
    <m/>
    <n v="2"/>
    <n v="357.61"/>
    <n v="715.22"/>
    <n v="3242"/>
    <n v="28"/>
    <s v="Kept inside on m/c"/>
    <s v="Due to operator"/>
    <s v="infrastructure "/>
  </r>
  <r>
    <n v="367"/>
    <n v="74"/>
    <s v="277-03"/>
    <s v="Bestak"/>
    <s v="Grinding"/>
    <n v="72"/>
    <x v="9"/>
    <s v="RE P1"/>
    <s v="pintu"/>
    <n v="66"/>
    <s v="OD Under Size"/>
    <x v="23"/>
    <d v="2025-11-01T00:00:00"/>
    <n v="1"/>
    <m/>
    <m/>
    <m/>
    <n v="1"/>
    <n v="357.61"/>
    <n v="357.61"/>
    <n v="3242"/>
    <n v="28"/>
    <s v="Kept inside on m/c"/>
    <s v="Due to operator"/>
    <s v="infrastructure "/>
  </r>
  <r>
    <n v="368"/>
    <n v="87"/>
    <s v="293-04"/>
    <s v="Bestak"/>
    <s v="Grinding"/>
    <n v="52"/>
    <x v="0"/>
    <s v="RE P1"/>
    <s v="balram"/>
    <n v="80"/>
    <s v="Rust "/>
    <x v="23"/>
    <d v="2025-11-01T00:00:00"/>
    <n v="1"/>
    <m/>
    <m/>
    <m/>
    <n v="1"/>
    <n v="400"/>
    <n v="400"/>
    <n v="0"/>
    <n v="28"/>
    <s v="Kept inside on m/c"/>
    <s v="Due to operator"/>
    <s v="infrastructure "/>
  </r>
  <r>
    <n v="369"/>
    <n v="62"/>
    <s v="FQC"/>
    <s v="FQC"/>
    <s v="fqc"/>
    <n v="52"/>
    <x v="0"/>
    <s v="RE P1"/>
    <s v="rocky"/>
    <n v="66"/>
    <s v="OD Under Size"/>
    <x v="23"/>
    <d v="2025-11-01T00:00:00"/>
    <n v="1"/>
    <m/>
    <m/>
    <m/>
    <n v="1"/>
    <n v="400"/>
    <n v="400"/>
    <n v="3242"/>
    <n v="24"/>
    <s v="FQC return"/>
    <s v="Due to operator"/>
    <s v="infrastructure "/>
  </r>
  <r>
    <n v="370"/>
    <n v="27"/>
    <s v="ACE-07"/>
    <s v="Micromatic"/>
    <s v="Turning"/>
    <n v="154"/>
    <x v="1"/>
    <s v="RE J1"/>
    <s v="balashankar"/>
    <n v="5"/>
    <s v="Bore Over size"/>
    <x v="23"/>
    <d v="2025-11-01T00:00:00"/>
    <n v="8"/>
    <m/>
    <m/>
    <m/>
    <n v="8"/>
    <n v="82.64"/>
    <n v="661.12"/>
    <n v="3243"/>
    <n v="20"/>
    <s v="During segrigetion "/>
    <s v="During segrigetion "/>
    <s v="Attitude"/>
  </r>
  <r>
    <n v="371"/>
    <n v="26"/>
    <s v="ACE-06"/>
    <s v="Micromatic"/>
    <s v="Turning"/>
    <n v="154"/>
    <x v="1"/>
    <s v="RE J1"/>
    <s v="balashankar"/>
    <n v="93"/>
    <s v="Thickness Under size"/>
    <x v="23"/>
    <d v="2025-11-01T00:00:00"/>
    <n v="8"/>
    <m/>
    <m/>
    <m/>
    <n v="8"/>
    <n v="82.64"/>
    <n v="661.12"/>
    <n v="3258"/>
    <n v="20"/>
    <s v="During segrigetion "/>
    <s v="During segrigetion "/>
    <s v="Attitude"/>
  </r>
  <r>
    <n v="372"/>
    <n v="61"/>
    <s v="LCS-07"/>
    <s v="LCS"/>
    <s v="Teeth Grinding"/>
    <n v="122"/>
    <x v="3"/>
    <s v="RE J1"/>
    <s v="mukesh"/>
    <n v="56"/>
    <s v="MOP u/s "/>
    <x v="23"/>
    <d v="2025-11-01T00:00:00"/>
    <n v="11"/>
    <m/>
    <m/>
    <m/>
    <n v="11"/>
    <n v="335.39977528089889"/>
    <n v="3689.3975280898876"/>
    <n v="3234"/>
    <n v="19"/>
    <s v="During Rework time"/>
    <s v="Due to operator"/>
    <s v="infrastructure "/>
  </r>
  <r>
    <n v="373"/>
    <n v="61"/>
    <s v="LCS-07"/>
    <s v="LCS"/>
    <s v="Teeth Grinding"/>
    <n v="122"/>
    <x v="3"/>
    <s v="RE J1"/>
    <s v="mukesh"/>
    <n v="33"/>
    <s v="Double finishing"/>
    <x v="23"/>
    <d v="2025-11-01T00:00:00"/>
    <n v="10"/>
    <m/>
    <m/>
    <m/>
    <n v="10"/>
    <n v="335.39977528089889"/>
    <n v="3353.9977528089889"/>
    <n v="0"/>
    <n v="19"/>
    <s v="During Rework time"/>
    <s v="Due to operator"/>
    <s v="infrastructure "/>
  </r>
  <r>
    <n v="374"/>
    <n v="61"/>
    <s v="LCS-07"/>
    <s v="LCS"/>
    <s v="Teeth Grinding"/>
    <n v="185"/>
    <x v="7"/>
    <s v="RE Bush"/>
    <s v="mukesh"/>
    <n v="14"/>
    <s v="Bush damage"/>
    <x v="23"/>
    <d v="2025-11-01T00:00:00"/>
    <n v="21"/>
    <m/>
    <m/>
    <m/>
    <n v="21"/>
    <n v="25.53"/>
    <n v="536.13"/>
    <n v="0"/>
    <n v="6"/>
    <s v="bush will not use again"/>
    <s v="Prod Declared"/>
    <s v="Process Issue"/>
  </r>
  <r>
    <n v="375"/>
    <n v="58"/>
    <s v="LCS-04"/>
    <s v="LCS"/>
    <s v="Teeth Grinding"/>
    <n v="102"/>
    <x v="8"/>
    <s v="RE J1"/>
    <s v="adnan"/>
    <n v="13"/>
    <s v="Burn"/>
    <x v="23"/>
    <d v="2025-11-01T00:00:00"/>
    <n v="1"/>
    <m/>
    <m/>
    <m/>
    <n v="1"/>
    <n v="93"/>
    <n v="93"/>
    <n v="0"/>
    <n v="21"/>
    <s v="During setup time"/>
    <s v="Due to Settup  "/>
    <s v="skill"/>
  </r>
  <r>
    <n v="376"/>
    <n v="60"/>
    <s v="LCS-06"/>
    <s v="LCS"/>
    <s v="Teeth Grinding"/>
    <n v="154"/>
    <x v="1"/>
    <s v="RE J1"/>
    <s v="pooja"/>
    <n v="13"/>
    <s v="Burn"/>
    <x v="23"/>
    <d v="2025-11-01T00:00:00"/>
    <n v="1"/>
    <m/>
    <m/>
    <m/>
    <n v="1"/>
    <n v="82.64"/>
    <n v="82.64"/>
    <n v="0"/>
    <n v="21"/>
    <s v="During setup time"/>
    <s v="Due to Settup  "/>
    <s v="skill"/>
  </r>
  <r>
    <n v="377"/>
    <n v="59"/>
    <s v="LCS-05"/>
    <s v="LCS"/>
    <s v="Teeth Grinding"/>
    <n v="78"/>
    <x v="10"/>
    <s v="RE P1"/>
    <s v="gopal"/>
    <n v="56"/>
    <s v="MOP u/s "/>
    <x v="23"/>
    <d v="2025-11-01T00:00:00"/>
    <m/>
    <n v="1"/>
    <m/>
    <m/>
    <n v="1"/>
    <n v="468.06"/>
    <n v="468.06"/>
    <n v="3234"/>
    <n v="21"/>
    <s v="During setup time"/>
    <s v="Due to Settup  "/>
    <s v="skill"/>
  </r>
  <r>
    <n v="378"/>
    <n v="59"/>
    <s v="LCS-05"/>
    <s v="LCS"/>
    <s v="Teeth Grinding"/>
    <n v="78"/>
    <x v="10"/>
    <s v="RE P1"/>
    <s v="gopal"/>
    <n v="13"/>
    <s v="Burn"/>
    <x v="23"/>
    <d v="2025-11-01T00:00:00"/>
    <m/>
    <n v="1"/>
    <m/>
    <m/>
    <n v="1"/>
    <n v="468.06"/>
    <n v="468.06"/>
    <n v="0"/>
    <n v="5"/>
    <s v="Burn test"/>
    <s v="Line audit"/>
    <s v="Process Issue"/>
  </r>
  <r>
    <n v="379"/>
    <n v="56"/>
    <s v="298-02"/>
    <s v="Gear Grinding"/>
    <s v="Teeth Grinding"/>
    <n v="155"/>
    <x v="2"/>
    <s v="RE J1"/>
    <m/>
    <n v="56"/>
    <s v="MOP u/s "/>
    <x v="23"/>
    <d v="2025-11-01T00:00:00"/>
    <m/>
    <m/>
    <n v="20"/>
    <m/>
    <n v="20"/>
    <n v="107.67"/>
    <n v="2153.4"/>
    <n v="3234"/>
    <n v="20"/>
    <s v="During segrigetion "/>
    <s v="During segrigetion "/>
    <s v="Attitude"/>
  </r>
  <r>
    <n v="380"/>
    <n v="75"/>
    <s v="277-04"/>
    <s v="Bestak"/>
    <s v="Grinding"/>
    <n v="72"/>
    <x v="9"/>
    <s v="RE P1"/>
    <m/>
    <n v="66"/>
    <s v="OD Under Size"/>
    <x v="23"/>
    <d v="2025-11-01T00:00:00"/>
    <m/>
    <m/>
    <n v="5"/>
    <m/>
    <n v="5"/>
    <n v="357.61"/>
    <n v="1788.0500000000002"/>
    <n v="3242"/>
    <n v="36"/>
    <s v="Marpose disturb"/>
    <s v="Due to machine "/>
    <s v="process"/>
  </r>
  <r>
    <n v="381"/>
    <n v="75"/>
    <s v="277-04"/>
    <s v="Bestak"/>
    <s v="Grinding"/>
    <n v="72"/>
    <x v="9"/>
    <s v="RE P1"/>
    <s v="pintu"/>
    <n v="66"/>
    <s v="OD Under Size"/>
    <x v="24"/>
    <d v="2025-11-01T00:00:00"/>
    <n v="1"/>
    <m/>
    <m/>
    <m/>
    <n v="1"/>
    <n v="357.61"/>
    <n v="357.61"/>
    <n v="3242"/>
    <n v="28"/>
    <s v="Kept inside on m/c"/>
    <s v="Due to operator"/>
    <s v="infrastructure "/>
  </r>
  <r>
    <n v="382"/>
    <n v="78"/>
    <s v="277-07"/>
    <s v="Bestak"/>
    <s v="Grinding"/>
    <n v="72"/>
    <x v="9"/>
    <s v="RE P1"/>
    <s v="pintu"/>
    <m/>
    <s v="OD desh mark "/>
    <x v="24"/>
    <d v="2025-11-01T00:00:00"/>
    <n v="1"/>
    <m/>
    <m/>
    <m/>
    <n v="1"/>
    <n v="357.61"/>
    <n v="357.61"/>
    <n v="0"/>
    <n v="28"/>
    <s v="Kept inside on m/c"/>
    <s v="Due to operator"/>
    <s v="infrastructure "/>
  </r>
  <r>
    <n v="383"/>
    <n v="75"/>
    <s v="277-04"/>
    <s v="Bestak"/>
    <s v="Grinding"/>
    <n v="72"/>
    <x v="9"/>
    <s v="RE P1"/>
    <s v="chetan"/>
    <n v="66"/>
    <s v="OD Under Size"/>
    <x v="24"/>
    <d v="2025-11-01T00:00:00"/>
    <n v="1"/>
    <m/>
    <m/>
    <m/>
    <n v="1"/>
    <n v="357.61"/>
    <n v="357.61"/>
    <n v="3242"/>
    <n v="19"/>
    <s v="During Rework time"/>
    <s v="Due to operator"/>
    <s v="infrastructure "/>
  </r>
  <r>
    <n v="384"/>
    <n v="78"/>
    <s v="277-07"/>
    <s v="Bestak"/>
    <s v="Grinding"/>
    <n v="72"/>
    <x v="9"/>
    <s v="RE P1"/>
    <s v="pintu"/>
    <n v="66"/>
    <s v="OD Under Size"/>
    <x v="24"/>
    <d v="2025-11-01T00:00:00"/>
    <n v="1"/>
    <m/>
    <m/>
    <m/>
    <n v="1"/>
    <n v="357.61"/>
    <n v="357.61"/>
    <n v="3242"/>
    <n v="12"/>
    <s v="Double loading"/>
    <s v="Due to operator"/>
    <s v="infrastructure "/>
  </r>
  <r>
    <n v="385"/>
    <n v="27"/>
    <s v="ACE-07"/>
    <s v="Micromatic"/>
    <s v="Turning"/>
    <n v="154"/>
    <x v="1"/>
    <s v="RE J1"/>
    <s v="balashankar"/>
    <n v="5"/>
    <s v="Bore Over size"/>
    <x v="24"/>
    <d v="2025-11-01T00:00:00"/>
    <n v="61"/>
    <m/>
    <m/>
    <m/>
    <n v="61"/>
    <n v="82.64"/>
    <n v="5041.04"/>
    <n v="3243"/>
    <n v="20"/>
    <s v="During segrigetion "/>
    <s v="During segrigetion "/>
    <s v="Attitude"/>
  </r>
  <r>
    <n v="386"/>
    <n v="59"/>
    <s v="LCS-05"/>
    <s v="LCS"/>
    <s v="Teeth Grinding"/>
    <n v="78"/>
    <x v="10"/>
    <s v="RE P1"/>
    <s v="mukesh"/>
    <n v="56"/>
    <s v="MOP u/s "/>
    <x v="24"/>
    <d v="2025-11-01T00:00:00"/>
    <n v="2"/>
    <m/>
    <m/>
    <m/>
    <n v="2"/>
    <n v="468.06"/>
    <n v="936.12"/>
    <n v="3234"/>
    <n v="45"/>
    <s v="Running m/c"/>
    <s v="Due to machine "/>
    <s v="process"/>
  </r>
  <r>
    <n v="387"/>
    <n v="61"/>
    <s v="LCS-07"/>
    <s v="LCS"/>
    <s v="Teeth Grinding"/>
    <n v="122"/>
    <x v="3"/>
    <s v="RE J1"/>
    <s v="mukesh"/>
    <n v="13"/>
    <s v="Burn"/>
    <x v="24"/>
    <d v="2025-11-01T00:00:00"/>
    <n v="1"/>
    <m/>
    <m/>
    <m/>
    <n v="1"/>
    <n v="335.39977528089889"/>
    <n v="335.39977528089889"/>
    <n v="0"/>
    <n v="5"/>
    <s v="Burn test"/>
    <s v="Line audit"/>
    <s v="Process Issue"/>
  </r>
  <r>
    <n v="388"/>
    <n v="56"/>
    <s v="298-02"/>
    <s v="Gear Grinding"/>
    <s v="Teeth Grinding"/>
    <n v="155"/>
    <x v="2"/>
    <s v="RE J1"/>
    <s v="ajay"/>
    <n v="13"/>
    <s v="Burn"/>
    <x v="24"/>
    <d v="2025-11-01T00:00:00"/>
    <n v="1"/>
    <m/>
    <m/>
    <m/>
    <n v="1"/>
    <n v="107.67"/>
    <n v="107.67"/>
    <n v="0"/>
    <n v="5"/>
    <s v="Burn test"/>
    <s v="Line audit"/>
    <s v="Process Issue"/>
  </r>
  <r>
    <n v="389"/>
    <n v="59"/>
    <s v="LCS-05"/>
    <s v="LCS"/>
    <s v="Teeth Grinding"/>
    <n v="78"/>
    <x v="10"/>
    <s v="RE P1"/>
    <s v="krishna"/>
    <n v="56"/>
    <s v="MOP u/s "/>
    <x v="24"/>
    <d v="2025-11-01T00:00:00"/>
    <m/>
    <n v="3"/>
    <m/>
    <m/>
    <n v="3"/>
    <n v="468.06"/>
    <n v="1404.18"/>
    <n v="3234"/>
    <n v="1"/>
    <s v="After dressing"/>
    <s v="Due to machine "/>
    <s v="process"/>
  </r>
  <r>
    <n v="390"/>
    <n v="58"/>
    <s v="LCS-04"/>
    <s v="LCS"/>
    <s v="Teeth Grinding"/>
    <n v="102"/>
    <x v="8"/>
    <s v="RE J1"/>
    <s v="rahul"/>
    <n v="56"/>
    <s v="MOP u/s "/>
    <x v="24"/>
    <d v="2025-11-01T00:00:00"/>
    <m/>
    <n v="1"/>
    <m/>
    <m/>
    <n v="1"/>
    <n v="93"/>
    <n v="93"/>
    <n v="3234"/>
    <n v="23"/>
    <s v="during wheel change"/>
    <s v="Line audit"/>
    <s v="Process Issue"/>
  </r>
  <r>
    <n v="391"/>
    <n v="58"/>
    <s v="LCS-04"/>
    <s v="LCS"/>
    <s v="Teeth Grinding"/>
    <n v="102"/>
    <x v="8"/>
    <s v="RE J1"/>
    <s v="rahul"/>
    <n v="13"/>
    <s v="Burn"/>
    <x v="24"/>
    <d v="2025-11-01T00:00:00"/>
    <m/>
    <n v="1"/>
    <m/>
    <m/>
    <n v="1"/>
    <n v="93"/>
    <n v="93"/>
    <n v="0"/>
    <n v="21"/>
    <s v="During setup time"/>
    <s v="Due to Settup  "/>
    <s v="skill"/>
  </r>
  <r>
    <n v="392"/>
    <n v="26"/>
    <s v="ACE-06"/>
    <s v="Micromatic"/>
    <s v="Turning"/>
    <n v="154"/>
    <x v="1"/>
    <s v="RE J1"/>
    <s v="ramswaroop"/>
    <n v="5"/>
    <s v="Bore Over size"/>
    <x v="24"/>
    <d v="2025-11-01T00:00:00"/>
    <m/>
    <m/>
    <n v="51"/>
    <m/>
    <n v="51"/>
    <n v="82.64"/>
    <n v="4214.6400000000003"/>
    <n v="3243"/>
    <n v="20"/>
    <s v="During segrigetion "/>
    <s v="During segrigetion "/>
    <s v="Attitude"/>
  </r>
  <r>
    <n v="393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394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395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396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397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398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399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0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1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2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3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4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5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6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7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8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09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0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1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2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3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4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5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6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7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8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19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0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1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2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3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4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5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6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7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8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29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0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1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2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3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4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5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6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7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8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39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40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41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  <r>
    <n v="442"/>
    <m/>
    <n v="0"/>
    <n v="0"/>
    <n v="0"/>
    <m/>
    <x v="12"/>
    <n v="0"/>
    <m/>
    <m/>
    <n v="0"/>
    <x v="25"/>
    <m/>
    <m/>
    <m/>
    <m/>
    <m/>
    <n v="0"/>
    <n v="0"/>
    <n v="0"/>
    <n v="0"/>
    <m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B18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axis="axisRow" showAll="0">
      <items count="14">
        <item x="12"/>
        <item x="4"/>
        <item x="0"/>
        <item x="11"/>
        <item x="10"/>
        <item x="8"/>
        <item x="3"/>
        <item x="5"/>
        <item x="1"/>
        <item x="2"/>
        <item x="7"/>
        <item x="6"/>
        <item x="9"/>
        <item t="default"/>
      </items>
    </pivotField>
    <pivotField showAll="0"/>
    <pivotField showAll="0"/>
    <pivotField showAll="0"/>
    <pivotField showAll="0"/>
    <pivotField axis="axisCol" showAll="0">
      <items count="35">
        <item m="1" x="26"/>
        <item m="1" x="30"/>
        <item m="1" x="27"/>
        <item m="1" x="31"/>
        <item m="1" x="28"/>
        <item m="1" x="32"/>
        <item m="1" x="29"/>
        <item m="1" x="33"/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1"/>
  </colFields>
  <colItems count="27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dataFields count="1">
    <dataField name="Sum of Total Rej. qty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4:Y555" totalsRowShown="0" headerRowDxfId="55" dataDxfId="54" tableBorderDxfId="53" headerRowCellStyle="Normal 2 2 2" dataCellStyle="Normal 2 2 2">
  <tableColumns count="25">
    <tableColumn id="1" name="Sr No." dataDxfId="52" dataCellStyle="Normal 2 2 2"/>
    <tableColumn id="2" name="Code" dataDxfId="51"/>
    <tableColumn id="3" name="M/c No" dataDxfId="50" dataCellStyle="Normal 2 2 2">
      <calculatedColumnFormula>IFERROR(VLOOKUP(Table2[[#This Row],[Code]],'[2]New Machine sheet'!$A$1:$D$101,2,0),0)</calculatedColumnFormula>
    </tableColumn>
    <tableColumn id="4" name="M/c Name" dataDxfId="49" dataCellStyle="Normal 2 2 2">
      <calculatedColumnFormula>IFERROR(VLOOKUP(Table2[[#This Row],[M/c No]],'[2]New Machine sheet'!$B$1:$D$101,2,0),0)</calculatedColumnFormula>
    </tableColumn>
    <tableColumn id="5" name="Oprn." dataDxfId="48" dataCellStyle="Normal 2 2 2">
      <calculatedColumnFormula>IFERROR(VLOOKUP(Table2[[#This Row],[M/c Name]],'[2]New Machine sheet'!$C$1:$D$101,2,0),0)</calculatedColumnFormula>
    </tableColumn>
    <tableColumn id="6" name="Code2" dataDxfId="47" dataCellStyle="Normal 2 2 2"/>
    <tableColumn id="7" name="Part No." dataDxfId="46" dataCellStyle="Normal 2 2 2">
      <calculatedColumnFormula>IFERROR(VLOOKUP(Table2[[#This Row],[Code2]],'[2]New Machine sheet'!$F$2:$I$64,2,),0)</calculatedColumnFormula>
    </tableColumn>
    <tableColumn id="8" name="Customer" dataDxfId="45" dataCellStyle="Normal 2 2 2">
      <calculatedColumnFormula>IFERROR(VLOOKUP(Table2[[#This Row],[Code2]],'[2]New Machine sheet'!$F$2:$I$64,3,0),0)</calculatedColumnFormula>
    </tableColumn>
    <tableColumn id="9" name="operator" dataDxfId="44" dataCellStyle="Normal 2 2 2"/>
    <tableColumn id="10" name="Code3" dataDxfId="43" dataCellStyle="Normal 2 2 2"/>
    <tableColumn id="11" name="Non Conformance" dataDxfId="42" dataCellStyle="Normal 2 2 2">
      <calculatedColumnFormula>IFERROR(VLOOKUP(Table2[[#This Row],[Code3]],'[2]New defect code '!$A$2:$D$129,2,0),0)</calculatedColumnFormula>
    </tableColumn>
    <tableColumn id="12" name="Date" dataDxfId="41" dataCellStyle="Normal 2 2 2"/>
    <tableColumn id="13" name="Month" dataDxfId="40" dataCellStyle="Normal 2 2 2"/>
    <tableColumn id="14" name="1st" dataDxfId="39" dataCellStyle="Normal 2 2 2"/>
    <tableColumn id="15" name="2nd" dataDxfId="38" dataCellStyle="Normal 2 2 2"/>
    <tableColumn id="16" name="3rd" dataDxfId="37" dataCellStyle="Normal 2 2 2"/>
    <tableColumn id="17" name="FQC" dataDxfId="36" dataCellStyle="Normal 2 2 2"/>
    <tableColumn id="18" name="Total Rej. qty" dataDxfId="35" dataCellStyle="Normal 2 2 2">
      <calculatedColumnFormula>SUBTOTAL(9,Table2[[#This Row],[1st]:[FQC]])</calculatedColumnFormula>
    </tableColumn>
    <tableColumn id="19" name="cost per piece" dataDxfId="34" dataCellStyle="Normal 2 2 2">
      <calculatedColumnFormula>IFERROR(VLOOKUP(Table2[[#This Row],[Part No.]],'[2]New Machine sheet'!$G$2:$I$90,3,0),0)</calculatedColumnFormula>
    </tableColumn>
    <tableColumn id="20" name="Total cost " dataDxfId="33" dataCellStyle="Normal 2 2 2">
      <calculatedColumnFormula>Table2[[#This Row],[cost per piece]]*Table2[[#This Row],[Total Rej. qty]]</calculatedColumnFormula>
    </tableColumn>
    <tableColumn id="21" name="SAP CODE" dataDxfId="32" dataCellStyle="Normal 2 2 2">
      <calculatedColumnFormula>IFERROR(VLOOKUP(Table2[[#This Row],[Non Conformance]],'[2]New defect code '!$B$2:$C$129,2,0),0)</calculatedColumnFormula>
    </tableColumn>
    <tableColumn id="22" name="Code4" dataDxfId="31" dataCellStyle="Normal 2 2 2"/>
    <tableColumn id="23" name="Reason" dataDxfId="30" dataCellStyle="Normal 2 2 2">
      <calculatedColumnFormula>IFERROR(VLOOKUP(Table2[[#This Row],[Code4]],'[2]New Reason code'!$A$2:$D$77,2,0),0)</calculatedColumnFormula>
    </tableColumn>
    <tableColumn id="24" name="Rejection Identified at" dataDxfId="29" dataCellStyle="Normal 2 2 2">
      <calculatedColumnFormula>IFERROR(VLOOKUP(Table2[[#This Row],[Reason]],'[2]New Reason code'!$B$2:$D$77,2,0),0)</calculatedColumnFormula>
    </tableColumn>
    <tableColumn id="25" name="Rejection Reason" dataDxfId="28" dataCellStyle="Normal 2 2 2">
      <calculatedColumnFormula>IFERROR(VLOOKUP(Table2[[#This Row],[Rejection Identified at]],'[2]New Reason code'!$C$2:$D$77,2,0),0)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25" displayName="Table25" ref="A4:Y246" totalsRowShown="0" headerRowDxfId="27" dataDxfId="26" tableBorderDxfId="25" headerRowCellStyle="Normal 2 2 2" dataCellStyle="Normal 2 2 2">
  <sortState ref="A5:Y5">
    <sortCondition ref="X4:X5"/>
  </sortState>
  <tableColumns count="25">
    <tableColumn id="1" name="Sr No." dataDxfId="24" dataCellStyle="Normal 2 2 2"/>
    <tableColumn id="2" name="Code" dataDxfId="23"/>
    <tableColumn id="3" name="M/c No" dataDxfId="22" dataCellStyle="Normal 2 2 2">
      <calculatedColumnFormula>IFERROR(VLOOKUP(Table25[[#This Row],[Code]],'[2]New Machine sheet'!$A$1:$D$101,2,0),0)</calculatedColumnFormula>
    </tableColumn>
    <tableColumn id="4" name="M/c Name" dataDxfId="21" dataCellStyle="Normal 2 2 2">
      <calculatedColumnFormula>IFERROR(VLOOKUP(Table25[[#This Row],[M/c No]],'[2]New Machine sheet'!$B$1:$D$101,2,0),0)</calculatedColumnFormula>
    </tableColumn>
    <tableColumn id="5" name="Oprn." dataDxfId="20" dataCellStyle="Normal 2 2 2">
      <calculatedColumnFormula>IFERROR(VLOOKUP(Table25[[#This Row],[M/c Name]],'[2]New Machine sheet'!$C$1:$D$101,2,0),0)</calculatedColumnFormula>
    </tableColumn>
    <tableColumn id="6" name="Code2" dataDxfId="19" dataCellStyle="Normal 2 2 2"/>
    <tableColumn id="7" name="Part No." dataDxfId="18" dataCellStyle="Normal 2 2 2">
      <calculatedColumnFormula>IFERROR(VLOOKUP(Table25[[#This Row],[Code2]],'[2]New Machine sheet'!$F$2:$I$64,2,),0)</calculatedColumnFormula>
    </tableColumn>
    <tableColumn id="8" name="Customer" dataDxfId="17" dataCellStyle="Normal 2 2 2">
      <calculatedColumnFormula>IFERROR(VLOOKUP(Table25[[#This Row],[Code2]],'[2]New Machine sheet'!$F$2:$I$64,3,0),0)</calculatedColumnFormula>
    </tableColumn>
    <tableColumn id="9" name="operator" dataDxfId="16" dataCellStyle="Normal 2 2 2"/>
    <tableColumn id="10" name="Code3" dataDxfId="15" dataCellStyle="Normal 2 2 2"/>
    <tableColumn id="11" name="Non Conformance" dataDxfId="14" dataCellStyle="Normal 2 2 2">
      <calculatedColumnFormula>IFERROR(VLOOKUP(Table25[[#This Row],[Code3]],'[2]New defect code '!$A$2:$D$129,2,0),0)</calculatedColumnFormula>
    </tableColumn>
    <tableColumn id="12" name="Date" dataDxfId="13" dataCellStyle="Normal 2 2 2"/>
    <tableColumn id="13" name="Month" dataDxfId="12" dataCellStyle="Normal 2 2 2"/>
    <tableColumn id="14" name="1st" dataDxfId="11" dataCellStyle="Normal 2 2 2"/>
    <tableColumn id="15" name="2nd" dataDxfId="10" dataCellStyle="Normal 2 2 2"/>
    <tableColumn id="16" name="3rd" dataDxfId="9" dataCellStyle="Normal 2 2 2"/>
    <tableColumn id="17" name="FQC" dataDxfId="8" dataCellStyle="Normal 2 2 2"/>
    <tableColumn id="18" name="Total Rej. qty" dataDxfId="7" dataCellStyle="Normal 2 2 2">
      <calculatedColumnFormula>SUBTOTAL(9,Table25[[#This Row],[1st]:[FQC]])</calculatedColumnFormula>
    </tableColumn>
    <tableColumn id="19" name="cost per piece" dataDxfId="6" dataCellStyle="Normal 2 2 2">
      <calculatedColumnFormula>IFERROR(VLOOKUP(Table25[[#This Row],[Part No.]],'[2]New Machine sheet'!$G$2:$I$90,3,0),0)</calculatedColumnFormula>
    </tableColumn>
    <tableColumn id="20" name="Total cost " dataDxfId="5" dataCellStyle="Normal 2 2 2">
      <calculatedColumnFormula>Table25[[#This Row],[cost per piece]]*Table25[[#This Row],[Total Rej. qty]]</calculatedColumnFormula>
    </tableColumn>
    <tableColumn id="21" name="SAP CODE" dataDxfId="4" dataCellStyle="Normal 2 2 2">
      <calculatedColumnFormula>IFERROR(VLOOKUP(Table25[[#This Row],[Non Conformance]],'[2]New defect code '!$B$2:$C$129,2,0),0)</calculatedColumnFormula>
    </tableColumn>
    <tableColumn id="22" name="Code4" dataDxfId="3" dataCellStyle="Normal 2 2 2"/>
    <tableColumn id="23" name="Reason" dataDxfId="2" dataCellStyle="Normal 2 2 2">
      <calculatedColumnFormula>IFERROR(VLOOKUP(Table25[[#This Row],[Code4]],'[2]New Reason code'!$A$2:$D$77,2,0),0)</calculatedColumnFormula>
    </tableColumn>
    <tableColumn id="24" name="Rejection Identified at" dataDxfId="1" dataCellStyle="Normal 2 2 2">
      <calculatedColumnFormula>#REF!+Table25[[#This Row],[Rejection Identified at]]</calculatedColumnFormula>
    </tableColumn>
    <tableColumn id="25" name="Rejection Reason" dataDxfId="0" dataCellStyle="Normal 2 2 2">
      <calculatedColumnFormula>IFERROR(VLOOKUP(Table25[[#This Row],[Reason]],Coding!A2:C59,3,0),0)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X26"/>
  <sheetViews>
    <sheetView zoomScale="48" zoomScaleNormal="48" workbookViewId="0">
      <selection activeCell="I33" sqref="I33"/>
    </sheetView>
  </sheetViews>
  <sheetFormatPr defaultColWidth="11.625" defaultRowHeight="31.5" customHeight="1"/>
  <cols>
    <col min="1" max="1" width="8.75" style="8" customWidth="1"/>
    <col min="2" max="2" width="10.375" style="34" bestFit="1" customWidth="1"/>
    <col min="3" max="3" width="14.25" style="8" bestFit="1" customWidth="1"/>
    <col min="4" max="4" width="18.125" style="8" customWidth="1"/>
    <col min="5" max="5" width="12.625" style="8" customWidth="1"/>
    <col min="6" max="6" width="7.375" style="34" customWidth="1"/>
    <col min="7" max="7" width="15.75" style="8" bestFit="1" customWidth="1"/>
    <col min="8" max="8" width="20.75" style="8" customWidth="1"/>
    <col min="9" max="9" width="36.375" style="8" customWidth="1"/>
    <col min="10" max="10" width="10.375" style="34" customWidth="1"/>
    <col min="11" max="11" width="29" style="8" customWidth="1"/>
    <col min="12" max="12" width="11.625" style="8" customWidth="1"/>
    <col min="13" max="13" width="12.5" style="8" customWidth="1"/>
    <col min="14" max="14" width="13.875" style="8" customWidth="1"/>
    <col min="15" max="15" width="13.75" style="8" customWidth="1"/>
    <col min="16" max="16" width="14" style="8" customWidth="1"/>
    <col min="17" max="17" width="20.125" style="8" customWidth="1"/>
    <col min="18" max="18" width="24.25" style="8" customWidth="1"/>
    <col min="19" max="19" width="35.375" style="8" customWidth="1"/>
    <col min="20" max="20" width="19.25" style="8" customWidth="1"/>
    <col min="21" max="21" width="17.625" style="8" bestFit="1" customWidth="1"/>
    <col min="22" max="22" width="35" style="7" customWidth="1"/>
    <col min="23" max="23" width="36.125" style="8" customWidth="1"/>
    <col min="24" max="24" width="28.25" style="8" customWidth="1"/>
    <col min="25" max="16384" width="11.625" style="8"/>
  </cols>
  <sheetData>
    <row r="1" spans="1:24" ht="63" customHeight="1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3">
        <v>44256</v>
      </c>
      <c r="L1" s="4"/>
      <c r="M1" s="4" t="s">
        <v>1</v>
      </c>
      <c r="N1" s="4" t="s">
        <v>2</v>
      </c>
      <c r="O1" s="4" t="s">
        <v>3</v>
      </c>
      <c r="P1" s="4" t="s">
        <v>4</v>
      </c>
      <c r="Q1" s="4"/>
      <c r="R1" s="2"/>
      <c r="S1" s="5" t="s">
        <v>5</v>
      </c>
      <c r="T1" s="6"/>
      <c r="U1" s="6"/>
    </row>
    <row r="2" spans="1:24" ht="31.5" customHeight="1">
      <c r="A2" s="9"/>
      <c r="B2" s="9"/>
      <c r="C2" s="9"/>
      <c r="D2" s="9"/>
      <c r="E2" s="9"/>
      <c r="F2" s="9"/>
      <c r="G2" s="9"/>
      <c r="H2" s="9"/>
      <c r="I2" s="10"/>
      <c r="J2" s="9"/>
      <c r="K2" s="11" t="s">
        <v>6</v>
      </c>
      <c r="L2" s="12"/>
      <c r="M2" s="11">
        <f>SUBTOTAL(9,M5:M7)</f>
        <v>0</v>
      </c>
      <c r="N2" s="11" t="e">
        <f>SUBTOTAL(9,#REF!)</f>
        <v>#REF!</v>
      </c>
      <c r="O2" s="11">
        <f>SUBTOTAL(9,O5:O18)</f>
        <v>0</v>
      </c>
      <c r="P2" s="11" t="e">
        <f>SUBTOTAL(9,#REF!)</f>
        <v>#REF!</v>
      </c>
      <c r="Q2" s="11" t="e">
        <f>SUBTOTAL(9,#REF!)</f>
        <v>#REF!</v>
      </c>
      <c r="R2" s="13"/>
      <c r="S2" s="14" t="e">
        <f>SUBTOTAL(9,S5:S33)</f>
        <v>#N/A</v>
      </c>
      <c r="T2" s="15"/>
      <c r="U2" s="15"/>
    </row>
    <row r="3" spans="1:24" ht="31.5" customHeight="1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  <c r="L3" s="19"/>
      <c r="M3" s="65" t="s">
        <v>7</v>
      </c>
      <c r="N3" s="66"/>
      <c r="O3" s="66"/>
      <c r="P3" s="66"/>
      <c r="Q3" s="67"/>
      <c r="R3" s="20"/>
      <c r="S3" s="2"/>
      <c r="T3" s="2"/>
      <c r="U3" s="2"/>
    </row>
    <row r="4" spans="1:24" ht="57.75" customHeight="1">
      <c r="A4" s="21" t="s">
        <v>8</v>
      </c>
      <c r="B4" s="22" t="s">
        <v>9</v>
      </c>
      <c r="C4" s="21" t="s">
        <v>10</v>
      </c>
      <c r="D4" s="21" t="s">
        <v>11</v>
      </c>
      <c r="E4" s="21" t="s">
        <v>12</v>
      </c>
      <c r="F4" s="22" t="s">
        <v>13</v>
      </c>
      <c r="G4" s="21" t="s">
        <v>14</v>
      </c>
      <c r="H4" s="21" t="s">
        <v>15</v>
      </c>
      <c r="I4" s="23" t="s">
        <v>16</v>
      </c>
      <c r="J4" s="24" t="s">
        <v>9</v>
      </c>
      <c r="K4" s="21" t="s">
        <v>17</v>
      </c>
      <c r="L4" s="21" t="s">
        <v>18</v>
      </c>
      <c r="M4" s="25" t="s">
        <v>19</v>
      </c>
      <c r="N4" s="25" t="s">
        <v>20</v>
      </c>
      <c r="O4" s="25" t="s">
        <v>21</v>
      </c>
      <c r="P4" s="25" t="s">
        <v>4</v>
      </c>
      <c r="Q4" s="25" t="s">
        <v>22</v>
      </c>
      <c r="R4" s="21" t="s">
        <v>23</v>
      </c>
      <c r="S4" s="21" t="s">
        <v>24</v>
      </c>
      <c r="T4" s="21" t="s">
        <v>25</v>
      </c>
      <c r="U4" s="21" t="s">
        <v>26</v>
      </c>
      <c r="V4" s="21" t="s">
        <v>27</v>
      </c>
      <c r="W4" s="26" t="s">
        <v>28</v>
      </c>
      <c r="X4" s="27" t="s">
        <v>29</v>
      </c>
    </row>
    <row r="5" spans="1:24" ht="31.5" customHeight="1">
      <c r="A5" s="28">
        <v>1</v>
      </c>
      <c r="B5" s="29"/>
      <c r="C5" s="30" t="e">
        <f>VLOOKUP(B5,'[1]RE Defect Sheet'!$E$2:$H$38,2,0)</f>
        <v>#N/A</v>
      </c>
      <c r="D5" s="30" t="e">
        <f>VLOOKUP(B5,'[1]RE Defect Sheet'!$E$2:$H$38,3,0)</f>
        <v>#N/A</v>
      </c>
      <c r="E5" s="30" t="e">
        <f>VLOOKUP(B5,'[1]RE Defect Sheet'!$E$2:$H$38,4,0)</f>
        <v>#N/A</v>
      </c>
      <c r="F5" s="29"/>
      <c r="G5" s="31" t="e">
        <f>VLOOKUP(F5,'[1]RE Defect Sheet'!$K$3:$N$176,2,0)</f>
        <v>#N/A</v>
      </c>
      <c r="H5" s="31" t="e">
        <f>VLOOKUP(F5,'[1]RE Defect Sheet'!$K$3:$N$176,3,0)</f>
        <v>#N/A</v>
      </c>
      <c r="I5" s="28"/>
      <c r="J5" s="29"/>
      <c r="K5" s="32" t="e">
        <f>VLOOKUP(J5,'[1]RE Defect Sheet'!$A$2:$C$58,2,0)</f>
        <v>#N/A</v>
      </c>
      <c r="L5" s="28"/>
      <c r="M5" s="28"/>
      <c r="N5" s="28"/>
      <c r="O5" s="28"/>
      <c r="P5" s="28"/>
      <c r="Q5" s="28">
        <f t="shared" ref="Q5:Q26" si="0">M5+N5+O5+P5</f>
        <v>0</v>
      </c>
      <c r="R5" s="28" t="e">
        <f>VLOOKUP(F5,'[1]RE Defect Sheet'!$K$3:$N$176,4,0)</f>
        <v>#N/A</v>
      </c>
      <c r="S5" s="28" t="e">
        <f t="shared" ref="S5:S26" si="1">(Q5*R5)</f>
        <v>#N/A</v>
      </c>
      <c r="T5" s="28" t="e">
        <f>VLOOKUP(J5,'[1]RE Defect Sheet'!$A$2:$C$49,3,0)</f>
        <v>#N/A</v>
      </c>
      <c r="U5" s="28"/>
      <c r="V5" s="33" t="e">
        <f>VLOOKUP(U5,'[1]RE Defect Sheet'!$P$3:$S$67,2,0)</f>
        <v>#N/A</v>
      </c>
      <c r="W5" s="28" t="e">
        <f>VLOOKUP(U5,'[1]RE Defect Sheet'!$P$3:$S$67,3,0)</f>
        <v>#N/A</v>
      </c>
      <c r="X5" s="28" t="e">
        <f>VLOOKUP(U5,'[1]RE Defect Sheet'!$P$3:$S$67,4,0)</f>
        <v>#N/A</v>
      </c>
    </row>
    <row r="6" spans="1:24" ht="31.5" customHeight="1">
      <c r="A6" s="28">
        <v>2</v>
      </c>
      <c r="B6" s="29"/>
      <c r="C6" s="30" t="e">
        <f>VLOOKUP(B6,'[1]RE Defect Sheet'!$E$2:$H$38,2,0)</f>
        <v>#N/A</v>
      </c>
      <c r="D6" s="30" t="e">
        <f>VLOOKUP(B6,'[1]RE Defect Sheet'!$E$2:$H$38,3,0)</f>
        <v>#N/A</v>
      </c>
      <c r="E6" s="30" t="e">
        <f>VLOOKUP(B6,'[1]RE Defect Sheet'!$E$2:$H$38,4,0)</f>
        <v>#N/A</v>
      </c>
      <c r="F6" s="29"/>
      <c r="G6" s="31" t="e">
        <f>VLOOKUP(F6,'[1]RE Defect Sheet'!$K$3:$N$176,2,0)</f>
        <v>#N/A</v>
      </c>
      <c r="H6" s="31" t="e">
        <f>VLOOKUP(F6,'[1]RE Defect Sheet'!$K$3:$N$176,3,0)</f>
        <v>#N/A</v>
      </c>
      <c r="I6" s="28"/>
      <c r="J6" s="29"/>
      <c r="K6" s="32" t="e">
        <f>VLOOKUP(J6,'[1]RE Defect Sheet'!$A$2:$C$58,2,0)</f>
        <v>#N/A</v>
      </c>
      <c r="L6" s="28"/>
      <c r="M6" s="28"/>
      <c r="N6" s="28"/>
      <c r="O6" s="28"/>
      <c r="P6" s="28"/>
      <c r="Q6" s="28">
        <f t="shared" si="0"/>
        <v>0</v>
      </c>
      <c r="R6" s="28" t="e">
        <f>VLOOKUP(F6,'[1]RE Defect Sheet'!$K$3:$N$176,4,0)</f>
        <v>#N/A</v>
      </c>
      <c r="S6" s="28" t="e">
        <f t="shared" si="1"/>
        <v>#N/A</v>
      </c>
      <c r="T6" s="28" t="e">
        <f>VLOOKUP(J6,'[1]RE Defect Sheet'!$A$2:$C$49,3,0)</f>
        <v>#N/A</v>
      </c>
      <c r="U6" s="28"/>
      <c r="V6" s="33" t="e">
        <f>VLOOKUP(U6,'[1]RE Defect Sheet'!$P$3:$S$67,2,0)</f>
        <v>#N/A</v>
      </c>
      <c r="W6" s="28" t="e">
        <f>VLOOKUP(U6,'[1]RE Defect Sheet'!$P$3:$S$67,3,0)</f>
        <v>#N/A</v>
      </c>
      <c r="X6" s="28" t="e">
        <f>VLOOKUP(U6,'[1]RE Defect Sheet'!$P$3:$S$67,4,0)</f>
        <v>#N/A</v>
      </c>
    </row>
    <row r="7" spans="1:24" ht="31.5" customHeight="1">
      <c r="A7" s="28">
        <v>3</v>
      </c>
      <c r="B7" s="29"/>
      <c r="C7" s="30" t="e">
        <f>VLOOKUP(B7,'[1]RE Defect Sheet'!$E$2:$H$38,2,0)</f>
        <v>#N/A</v>
      </c>
      <c r="D7" s="30" t="e">
        <f>VLOOKUP(B7,'[1]RE Defect Sheet'!$E$2:$H$38,3,0)</f>
        <v>#N/A</v>
      </c>
      <c r="E7" s="30" t="e">
        <f>VLOOKUP(B7,'[1]RE Defect Sheet'!$E$2:$H$38,4,0)</f>
        <v>#N/A</v>
      </c>
      <c r="F7" s="29"/>
      <c r="G7" s="31" t="e">
        <f>VLOOKUP(F7,'[1]RE Defect Sheet'!$K$3:$N$176,2,0)</f>
        <v>#N/A</v>
      </c>
      <c r="H7" s="31" t="e">
        <f>VLOOKUP(F7,'[1]RE Defect Sheet'!$K$3:$N$176,3,0)</f>
        <v>#N/A</v>
      </c>
      <c r="I7" s="28"/>
      <c r="J7" s="29"/>
      <c r="K7" s="32" t="e">
        <f>VLOOKUP(J7,'[1]RE Defect Sheet'!$A$2:$C$58,2,0)</f>
        <v>#N/A</v>
      </c>
      <c r="L7" s="28"/>
      <c r="M7" s="28"/>
      <c r="N7" s="28"/>
      <c r="O7" s="28"/>
      <c r="P7" s="28"/>
      <c r="Q7" s="28">
        <f t="shared" si="0"/>
        <v>0</v>
      </c>
      <c r="R7" s="28" t="e">
        <f>VLOOKUP(F7,'[1]RE Defect Sheet'!$K$3:$N$176,4,0)</f>
        <v>#N/A</v>
      </c>
      <c r="S7" s="28" t="e">
        <f t="shared" si="1"/>
        <v>#N/A</v>
      </c>
      <c r="T7" s="28" t="e">
        <f>VLOOKUP(J7,'[1]RE Defect Sheet'!$A$2:$C$49,3,0)</f>
        <v>#N/A</v>
      </c>
      <c r="U7" s="28"/>
      <c r="V7" s="33" t="e">
        <f>VLOOKUP(U7,'[1]RE Defect Sheet'!$P$3:$S$67,2,0)</f>
        <v>#N/A</v>
      </c>
      <c r="W7" s="28" t="e">
        <f>VLOOKUP(U7,'[1]RE Defect Sheet'!$P$3:$S$67,3,0)</f>
        <v>#N/A</v>
      </c>
      <c r="X7" s="28" t="e">
        <f>VLOOKUP(U7,'[1]RE Defect Sheet'!$P$3:$S$67,4,0)</f>
        <v>#N/A</v>
      </c>
    </row>
    <row r="8" spans="1:24" ht="31.5" customHeight="1">
      <c r="A8" s="28">
        <v>4</v>
      </c>
      <c r="B8" s="29"/>
      <c r="C8" s="30" t="e">
        <f>VLOOKUP(B8,'[1]RE Defect Sheet'!$E$2:$H$38,2,0)</f>
        <v>#N/A</v>
      </c>
      <c r="D8" s="30" t="e">
        <f>VLOOKUP(B8,'[1]RE Defect Sheet'!$E$2:$H$38,3,0)</f>
        <v>#N/A</v>
      </c>
      <c r="E8" s="30" t="e">
        <f>VLOOKUP(B8,'[1]RE Defect Sheet'!$E$2:$H$38,4,0)</f>
        <v>#N/A</v>
      </c>
      <c r="F8" s="29"/>
      <c r="G8" s="31" t="e">
        <f>VLOOKUP(F8,'[1]RE Defect Sheet'!$K$3:$N$176,2,0)</f>
        <v>#N/A</v>
      </c>
      <c r="H8" s="31" t="e">
        <f>VLOOKUP(F8,'[1]RE Defect Sheet'!$K$3:$N$176,3,0)</f>
        <v>#N/A</v>
      </c>
      <c r="I8" s="28"/>
      <c r="J8" s="29"/>
      <c r="K8" s="32" t="e">
        <f>VLOOKUP(J8,'[1]RE Defect Sheet'!$A$2:$C$58,2,0)</f>
        <v>#N/A</v>
      </c>
      <c r="L8" s="28"/>
      <c r="M8" s="28"/>
      <c r="N8" s="28"/>
      <c r="O8" s="28"/>
      <c r="P8" s="28"/>
      <c r="Q8" s="28">
        <f t="shared" si="0"/>
        <v>0</v>
      </c>
      <c r="R8" s="28" t="e">
        <f>VLOOKUP(F8,'[1]RE Defect Sheet'!$K$3:$N$176,4,0)</f>
        <v>#N/A</v>
      </c>
      <c r="S8" s="28" t="e">
        <f t="shared" si="1"/>
        <v>#N/A</v>
      </c>
      <c r="T8" s="28" t="e">
        <f>VLOOKUP(J8,'[1]RE Defect Sheet'!$A$2:$C$49,3,0)</f>
        <v>#N/A</v>
      </c>
      <c r="U8" s="28"/>
      <c r="V8" s="33" t="e">
        <f>VLOOKUP(U8,'[1]RE Defect Sheet'!$P$3:$S$67,2,0)</f>
        <v>#N/A</v>
      </c>
      <c r="W8" s="28" t="e">
        <f>VLOOKUP(U8,'[1]RE Defect Sheet'!$P$3:$S$67,3,0)</f>
        <v>#N/A</v>
      </c>
      <c r="X8" s="28" t="e">
        <f>VLOOKUP(U8,'[1]RE Defect Sheet'!$P$3:$S$67,4,0)</f>
        <v>#N/A</v>
      </c>
    </row>
    <row r="9" spans="1:24" ht="31.5" customHeight="1">
      <c r="A9" s="28">
        <v>5</v>
      </c>
      <c r="B9" s="29"/>
      <c r="C9" s="30" t="e">
        <f>VLOOKUP(B9,'[1]RE Defect Sheet'!$E$2:$H$38,2,0)</f>
        <v>#N/A</v>
      </c>
      <c r="D9" s="30" t="e">
        <f>VLOOKUP(B9,'[1]RE Defect Sheet'!$E$2:$H$38,3,0)</f>
        <v>#N/A</v>
      </c>
      <c r="E9" s="30" t="e">
        <f>VLOOKUP(B9,'[1]RE Defect Sheet'!$E$2:$H$38,4,0)</f>
        <v>#N/A</v>
      </c>
      <c r="F9" s="29"/>
      <c r="G9" s="31" t="e">
        <f>VLOOKUP(F9,'[1]RE Defect Sheet'!$K$3:$N$176,2,0)</f>
        <v>#N/A</v>
      </c>
      <c r="H9" s="31" t="e">
        <f>VLOOKUP(F9,'[1]RE Defect Sheet'!$K$3:$N$176,3,0)</f>
        <v>#N/A</v>
      </c>
      <c r="I9" s="28"/>
      <c r="J9" s="29"/>
      <c r="K9" s="32" t="e">
        <f>VLOOKUP(J9,'[1]RE Defect Sheet'!$A$2:$C$58,2,0)</f>
        <v>#N/A</v>
      </c>
      <c r="L9" s="28"/>
      <c r="M9" s="28"/>
      <c r="N9" s="28"/>
      <c r="O9" s="28"/>
      <c r="P9" s="28"/>
      <c r="Q9" s="28">
        <f t="shared" si="0"/>
        <v>0</v>
      </c>
      <c r="R9" s="28" t="e">
        <f>VLOOKUP(F9,'[1]RE Defect Sheet'!$K$3:$N$176,4,0)</f>
        <v>#N/A</v>
      </c>
      <c r="S9" s="28" t="e">
        <f t="shared" si="1"/>
        <v>#N/A</v>
      </c>
      <c r="T9" s="28" t="e">
        <f>VLOOKUP(J9,'[1]RE Defect Sheet'!$A$2:$C$49,3,0)</f>
        <v>#N/A</v>
      </c>
      <c r="U9" s="28"/>
      <c r="V9" s="33" t="e">
        <f>VLOOKUP(U9,'[1]RE Defect Sheet'!$P$3:$S$67,2,0)</f>
        <v>#N/A</v>
      </c>
      <c r="W9" s="28" t="e">
        <f>VLOOKUP(U9,'[1]RE Defect Sheet'!$P$3:$S$67,3,0)</f>
        <v>#N/A</v>
      </c>
      <c r="X9" s="28" t="e">
        <f>VLOOKUP(U9,'[1]RE Defect Sheet'!$P$3:$S$67,4,0)</f>
        <v>#N/A</v>
      </c>
    </row>
    <row r="10" spans="1:24" ht="31.5" customHeight="1">
      <c r="A10" s="28">
        <v>6</v>
      </c>
      <c r="B10" s="29"/>
      <c r="C10" s="30" t="e">
        <f>VLOOKUP(B10,'[1]RE Defect Sheet'!$E$2:$H$38,2,0)</f>
        <v>#N/A</v>
      </c>
      <c r="D10" s="30" t="e">
        <f>VLOOKUP(B10,'[1]RE Defect Sheet'!$E$2:$H$38,3,0)</f>
        <v>#N/A</v>
      </c>
      <c r="E10" s="30" t="e">
        <f>VLOOKUP(B10,'[1]RE Defect Sheet'!$E$2:$H$38,4,0)</f>
        <v>#N/A</v>
      </c>
      <c r="F10" s="29"/>
      <c r="G10" s="31" t="e">
        <f>VLOOKUP(F10,'[1]RE Defect Sheet'!$K$3:$N$176,2,0)</f>
        <v>#N/A</v>
      </c>
      <c r="H10" s="31" t="e">
        <f>VLOOKUP(F10,'[1]RE Defect Sheet'!$K$3:$N$176,3,0)</f>
        <v>#N/A</v>
      </c>
      <c r="I10" s="28"/>
      <c r="J10" s="29"/>
      <c r="K10" s="32" t="e">
        <f>VLOOKUP(J10,'[1]RE Defect Sheet'!$A$2:$C$58,2,0)</f>
        <v>#N/A</v>
      </c>
      <c r="L10" s="28"/>
      <c r="M10" s="28"/>
      <c r="N10" s="28"/>
      <c r="O10" s="28"/>
      <c r="P10" s="28"/>
      <c r="Q10" s="28">
        <f t="shared" si="0"/>
        <v>0</v>
      </c>
      <c r="R10" s="28" t="e">
        <f>VLOOKUP(F10,'[1]RE Defect Sheet'!$K$3:$N$176,4,0)</f>
        <v>#N/A</v>
      </c>
      <c r="S10" s="28" t="e">
        <f t="shared" si="1"/>
        <v>#N/A</v>
      </c>
      <c r="T10" s="28" t="e">
        <f>VLOOKUP(J10,'[1]RE Defect Sheet'!$A$2:$C$49,3,0)</f>
        <v>#N/A</v>
      </c>
      <c r="U10" s="28"/>
      <c r="V10" s="33" t="e">
        <f>VLOOKUP(U10,'[1]RE Defect Sheet'!$P$3:$S$67,2,0)</f>
        <v>#N/A</v>
      </c>
      <c r="W10" s="28" t="e">
        <f>VLOOKUP(U10,'[1]RE Defect Sheet'!$P$3:$S$67,3,0)</f>
        <v>#N/A</v>
      </c>
      <c r="X10" s="28" t="e">
        <f>VLOOKUP(U10,'[1]RE Defect Sheet'!$P$3:$S$67,4,0)</f>
        <v>#N/A</v>
      </c>
    </row>
    <row r="11" spans="1:24" ht="31.5" customHeight="1">
      <c r="A11" s="28">
        <v>7</v>
      </c>
      <c r="B11" s="29"/>
      <c r="C11" s="30" t="e">
        <f>VLOOKUP(B11,'[1]RE Defect Sheet'!$E$2:$H$38,2,0)</f>
        <v>#N/A</v>
      </c>
      <c r="D11" s="30" t="e">
        <f>VLOOKUP(B11,'[1]RE Defect Sheet'!$E$2:$H$38,3,0)</f>
        <v>#N/A</v>
      </c>
      <c r="E11" s="30" t="e">
        <f>VLOOKUP(B11,'[1]RE Defect Sheet'!$E$2:$H$38,4,0)</f>
        <v>#N/A</v>
      </c>
      <c r="F11" s="29"/>
      <c r="G11" s="31" t="e">
        <f>VLOOKUP(F11,'[1]RE Defect Sheet'!$K$3:$N$176,2,0)</f>
        <v>#N/A</v>
      </c>
      <c r="H11" s="31" t="e">
        <f>VLOOKUP(F11,'[1]RE Defect Sheet'!$K$3:$N$176,3,0)</f>
        <v>#N/A</v>
      </c>
      <c r="I11" s="28"/>
      <c r="J11" s="29"/>
      <c r="K11" s="32" t="e">
        <f>VLOOKUP(J11,'[1]RE Defect Sheet'!$A$2:$C$58,2,0)</f>
        <v>#N/A</v>
      </c>
      <c r="L11" s="28"/>
      <c r="M11" s="28"/>
      <c r="N11" s="28"/>
      <c r="O11" s="28"/>
      <c r="P11" s="28"/>
      <c r="Q11" s="28">
        <f t="shared" si="0"/>
        <v>0</v>
      </c>
      <c r="R11" s="28" t="e">
        <f>VLOOKUP(F11,'[1]RE Defect Sheet'!$K$3:$N$176,4,0)</f>
        <v>#N/A</v>
      </c>
      <c r="S11" s="28" t="e">
        <f t="shared" si="1"/>
        <v>#N/A</v>
      </c>
      <c r="T11" s="28" t="e">
        <f>VLOOKUP(J11,'[1]RE Defect Sheet'!$A$2:$C$49,3,0)</f>
        <v>#N/A</v>
      </c>
      <c r="U11" s="28"/>
      <c r="V11" s="33" t="e">
        <f>VLOOKUP(U11,'[1]RE Defect Sheet'!$P$3:$S$67,2,0)</f>
        <v>#N/A</v>
      </c>
      <c r="W11" s="28" t="e">
        <f>VLOOKUP(U11,'[1]RE Defect Sheet'!$P$3:$S$67,3,0)</f>
        <v>#N/A</v>
      </c>
      <c r="X11" s="28" t="e">
        <f>VLOOKUP(U11,'[1]RE Defect Sheet'!$P$3:$S$67,4,0)</f>
        <v>#N/A</v>
      </c>
    </row>
    <row r="12" spans="1:24" ht="31.5" customHeight="1">
      <c r="A12" s="28">
        <v>8</v>
      </c>
      <c r="B12" s="29"/>
      <c r="C12" s="30" t="e">
        <f>VLOOKUP(B12,'[1]RE Defect Sheet'!$E$2:$H$38,2,0)</f>
        <v>#N/A</v>
      </c>
      <c r="D12" s="30" t="e">
        <f>VLOOKUP(B12,'[1]RE Defect Sheet'!$E$2:$H$38,3,0)</f>
        <v>#N/A</v>
      </c>
      <c r="E12" s="30" t="e">
        <f>VLOOKUP(B12,'[1]RE Defect Sheet'!$E$2:$H$38,4,0)</f>
        <v>#N/A</v>
      </c>
      <c r="F12" s="29"/>
      <c r="G12" s="31" t="e">
        <f>VLOOKUP(F12,'[1]RE Defect Sheet'!$K$3:$N$176,2,0)</f>
        <v>#N/A</v>
      </c>
      <c r="H12" s="31" t="e">
        <f>VLOOKUP(F12,'[1]RE Defect Sheet'!$K$3:$N$176,3,0)</f>
        <v>#N/A</v>
      </c>
      <c r="I12" s="28"/>
      <c r="J12" s="29"/>
      <c r="K12" s="32" t="e">
        <f>VLOOKUP(J12,'[1]RE Defect Sheet'!$A$2:$C$58,2,0)</f>
        <v>#N/A</v>
      </c>
      <c r="L12" s="28"/>
      <c r="M12" s="28"/>
      <c r="N12" s="28"/>
      <c r="O12" s="28"/>
      <c r="P12" s="28"/>
      <c r="Q12" s="28">
        <f t="shared" si="0"/>
        <v>0</v>
      </c>
      <c r="R12" s="28" t="e">
        <f>VLOOKUP(F12,'[1]RE Defect Sheet'!$K$3:$N$176,4,0)</f>
        <v>#N/A</v>
      </c>
      <c r="S12" s="28" t="e">
        <f t="shared" si="1"/>
        <v>#N/A</v>
      </c>
      <c r="T12" s="28" t="e">
        <f>VLOOKUP(J12,'[1]RE Defect Sheet'!$A$2:$C$49,3,0)</f>
        <v>#N/A</v>
      </c>
      <c r="U12" s="28"/>
      <c r="V12" s="33" t="e">
        <f>VLOOKUP(U12,'[1]RE Defect Sheet'!$P$3:$S$67,2,0)</f>
        <v>#N/A</v>
      </c>
      <c r="W12" s="28" t="e">
        <f>VLOOKUP(U12,'[1]RE Defect Sheet'!$P$3:$S$67,3,0)</f>
        <v>#N/A</v>
      </c>
      <c r="X12" s="28" t="e">
        <f>VLOOKUP(U12,'[1]RE Defect Sheet'!$P$3:$S$67,4,0)</f>
        <v>#N/A</v>
      </c>
    </row>
    <row r="13" spans="1:24" ht="31.5" customHeight="1">
      <c r="A13" s="28">
        <v>9</v>
      </c>
      <c r="B13" s="29"/>
      <c r="C13" s="30" t="e">
        <f>VLOOKUP(B13,'[1]RE Defect Sheet'!$E$2:$H$38,2,0)</f>
        <v>#N/A</v>
      </c>
      <c r="D13" s="30" t="e">
        <f>VLOOKUP(B13,'[1]RE Defect Sheet'!$E$2:$H$38,3,0)</f>
        <v>#N/A</v>
      </c>
      <c r="E13" s="30" t="e">
        <f>VLOOKUP(B13,'[1]RE Defect Sheet'!$E$2:$H$38,4,0)</f>
        <v>#N/A</v>
      </c>
      <c r="F13" s="29"/>
      <c r="G13" s="31" t="e">
        <f>VLOOKUP(F13,'[1]RE Defect Sheet'!$K$3:$N$176,2,0)</f>
        <v>#N/A</v>
      </c>
      <c r="H13" s="31" t="e">
        <f>VLOOKUP(F13,'[1]RE Defect Sheet'!$K$3:$N$176,3,0)</f>
        <v>#N/A</v>
      </c>
      <c r="I13" s="28"/>
      <c r="J13" s="29"/>
      <c r="K13" s="32" t="e">
        <f>VLOOKUP(J13,'[1]RE Defect Sheet'!$A$2:$C$58,2,0)</f>
        <v>#N/A</v>
      </c>
      <c r="L13" s="28"/>
      <c r="M13" s="28"/>
      <c r="N13" s="28"/>
      <c r="O13" s="28"/>
      <c r="P13" s="28"/>
      <c r="Q13" s="28">
        <f t="shared" si="0"/>
        <v>0</v>
      </c>
      <c r="R13" s="28" t="e">
        <f>VLOOKUP(F13,'[1]RE Defect Sheet'!$K$3:$N$176,4,0)</f>
        <v>#N/A</v>
      </c>
      <c r="S13" s="28" t="e">
        <f t="shared" si="1"/>
        <v>#N/A</v>
      </c>
      <c r="T13" s="28" t="e">
        <f>VLOOKUP(J13,'[1]RE Defect Sheet'!$A$2:$C$49,3,0)</f>
        <v>#N/A</v>
      </c>
      <c r="U13" s="28"/>
      <c r="V13" s="33" t="e">
        <f>VLOOKUP(U13,'[1]RE Defect Sheet'!$P$3:$S$67,2,0)</f>
        <v>#N/A</v>
      </c>
      <c r="W13" s="28" t="e">
        <f>VLOOKUP(U13,'[1]RE Defect Sheet'!$P$3:$S$67,3,0)</f>
        <v>#N/A</v>
      </c>
      <c r="X13" s="28" t="e">
        <f>VLOOKUP(U13,'[1]RE Defect Sheet'!$P$3:$S$67,4,0)</f>
        <v>#N/A</v>
      </c>
    </row>
    <row r="14" spans="1:24" ht="31.5" customHeight="1">
      <c r="A14" s="28">
        <v>10</v>
      </c>
      <c r="B14" s="29"/>
      <c r="C14" s="30" t="e">
        <f>VLOOKUP(B14,'[1]RE Defect Sheet'!$E$2:$H$38,2,0)</f>
        <v>#N/A</v>
      </c>
      <c r="D14" s="30" t="e">
        <f>VLOOKUP(B14,'[1]RE Defect Sheet'!$E$2:$H$38,3,0)</f>
        <v>#N/A</v>
      </c>
      <c r="E14" s="30" t="e">
        <f>VLOOKUP(B14,'[1]RE Defect Sheet'!$E$2:$H$38,4,0)</f>
        <v>#N/A</v>
      </c>
      <c r="F14" s="29"/>
      <c r="G14" s="31" t="e">
        <f>VLOOKUP(F14,'[1]RE Defect Sheet'!$K$3:$N$176,2,0)</f>
        <v>#N/A</v>
      </c>
      <c r="H14" s="31" t="e">
        <f>VLOOKUP(F14,'[1]RE Defect Sheet'!$K$3:$N$176,3,0)</f>
        <v>#N/A</v>
      </c>
      <c r="I14" s="28"/>
      <c r="J14" s="29"/>
      <c r="K14" s="32" t="e">
        <f>VLOOKUP(J14,'[1]RE Defect Sheet'!$A$2:$C$58,2,0)</f>
        <v>#N/A</v>
      </c>
      <c r="L14" s="28"/>
      <c r="M14" s="28"/>
      <c r="N14" s="28"/>
      <c r="O14" s="28"/>
      <c r="P14" s="28"/>
      <c r="Q14" s="28">
        <f t="shared" si="0"/>
        <v>0</v>
      </c>
      <c r="R14" s="28" t="e">
        <f>VLOOKUP(F14,'[1]RE Defect Sheet'!$K$3:$N$176,4,0)</f>
        <v>#N/A</v>
      </c>
      <c r="S14" s="28" t="e">
        <f t="shared" si="1"/>
        <v>#N/A</v>
      </c>
      <c r="T14" s="28" t="e">
        <f>VLOOKUP(J14,'[1]RE Defect Sheet'!$A$2:$C$49,3,0)</f>
        <v>#N/A</v>
      </c>
      <c r="U14" s="28"/>
      <c r="V14" s="33" t="e">
        <f>VLOOKUP(U14,'[1]RE Defect Sheet'!$P$3:$S$67,2,0)</f>
        <v>#N/A</v>
      </c>
      <c r="W14" s="28" t="e">
        <f>VLOOKUP(U14,'[1]RE Defect Sheet'!$P$3:$S$67,3,0)</f>
        <v>#N/A</v>
      </c>
      <c r="X14" s="28" t="e">
        <f>VLOOKUP(U14,'[1]RE Defect Sheet'!$P$3:$S$67,4,0)</f>
        <v>#N/A</v>
      </c>
    </row>
    <row r="15" spans="1:24" ht="31.5" customHeight="1">
      <c r="A15" s="28">
        <v>11</v>
      </c>
      <c r="B15" s="29"/>
      <c r="C15" s="30" t="e">
        <f>VLOOKUP(B15,'[1]RE Defect Sheet'!$E$2:$H$38,2,0)</f>
        <v>#N/A</v>
      </c>
      <c r="D15" s="30" t="e">
        <f>VLOOKUP(B15,'[1]RE Defect Sheet'!$E$2:$H$38,3,0)</f>
        <v>#N/A</v>
      </c>
      <c r="E15" s="30" t="e">
        <f>VLOOKUP(B15,'[1]RE Defect Sheet'!$E$2:$H$38,4,0)</f>
        <v>#N/A</v>
      </c>
      <c r="F15" s="29"/>
      <c r="G15" s="31" t="e">
        <f>VLOOKUP(F15,'[1]RE Defect Sheet'!$K$3:$N$176,2,0)</f>
        <v>#N/A</v>
      </c>
      <c r="H15" s="31" t="e">
        <f>VLOOKUP(F15,'[1]RE Defect Sheet'!$K$3:$N$176,3,0)</f>
        <v>#N/A</v>
      </c>
      <c r="I15" s="28"/>
      <c r="J15" s="29"/>
      <c r="K15" s="32" t="e">
        <f>VLOOKUP(J15,'[1]RE Defect Sheet'!$A$2:$C$58,2,0)</f>
        <v>#N/A</v>
      </c>
      <c r="L15" s="28"/>
      <c r="M15" s="28"/>
      <c r="N15" s="28"/>
      <c r="O15" s="28"/>
      <c r="P15" s="28"/>
      <c r="Q15" s="28">
        <f t="shared" si="0"/>
        <v>0</v>
      </c>
      <c r="R15" s="28" t="e">
        <f>VLOOKUP(F15,'[1]RE Defect Sheet'!$K$3:$N$176,4,0)</f>
        <v>#N/A</v>
      </c>
      <c r="S15" s="28" t="e">
        <f t="shared" si="1"/>
        <v>#N/A</v>
      </c>
      <c r="T15" s="28" t="e">
        <f>VLOOKUP(J15,'[1]RE Defect Sheet'!$A$2:$C$49,3,0)</f>
        <v>#N/A</v>
      </c>
      <c r="U15" s="28"/>
      <c r="V15" s="33" t="e">
        <f>VLOOKUP(U15,'[1]RE Defect Sheet'!$P$3:$S$67,2,0)</f>
        <v>#N/A</v>
      </c>
      <c r="W15" s="28" t="e">
        <f>VLOOKUP(U15,'[1]RE Defect Sheet'!$P$3:$S$67,3,0)</f>
        <v>#N/A</v>
      </c>
      <c r="X15" s="28" t="e">
        <f>VLOOKUP(U15,'[1]RE Defect Sheet'!$P$3:$S$67,4,0)</f>
        <v>#N/A</v>
      </c>
    </row>
    <row r="16" spans="1:24" ht="31.5" customHeight="1">
      <c r="A16" s="28">
        <v>12</v>
      </c>
      <c r="B16" s="29"/>
      <c r="C16" s="30" t="e">
        <f>VLOOKUP(B16,'[1]RE Defect Sheet'!$E$2:$H$38,2,0)</f>
        <v>#N/A</v>
      </c>
      <c r="D16" s="30" t="e">
        <f>VLOOKUP(B16,'[1]RE Defect Sheet'!$E$2:$H$38,3,0)</f>
        <v>#N/A</v>
      </c>
      <c r="E16" s="30" t="e">
        <f>VLOOKUP(B16,'[1]RE Defect Sheet'!$E$2:$H$38,4,0)</f>
        <v>#N/A</v>
      </c>
      <c r="F16" s="29"/>
      <c r="G16" s="31" t="e">
        <f>VLOOKUP(F16,'[1]RE Defect Sheet'!$K$3:$N$176,2,0)</f>
        <v>#N/A</v>
      </c>
      <c r="H16" s="31" t="e">
        <f>VLOOKUP(F16,'[1]RE Defect Sheet'!$K$3:$N$176,3,0)</f>
        <v>#N/A</v>
      </c>
      <c r="I16" s="28"/>
      <c r="J16" s="29"/>
      <c r="K16" s="32" t="e">
        <f>VLOOKUP(J16,'[1]RE Defect Sheet'!$A$2:$C$58,2,0)</f>
        <v>#N/A</v>
      </c>
      <c r="L16" s="28"/>
      <c r="M16" s="28"/>
      <c r="N16" s="28"/>
      <c r="O16" s="28"/>
      <c r="P16" s="28"/>
      <c r="Q16" s="28">
        <f t="shared" si="0"/>
        <v>0</v>
      </c>
      <c r="R16" s="28" t="e">
        <f>VLOOKUP(F16,'[1]RE Defect Sheet'!$K$3:$N$176,4,0)</f>
        <v>#N/A</v>
      </c>
      <c r="S16" s="28" t="e">
        <f t="shared" si="1"/>
        <v>#N/A</v>
      </c>
      <c r="T16" s="28" t="e">
        <f>VLOOKUP(J16,'[1]RE Defect Sheet'!$A$2:$C$49,3,0)</f>
        <v>#N/A</v>
      </c>
      <c r="U16" s="28"/>
      <c r="V16" s="33" t="e">
        <f>VLOOKUP(U16,'[1]RE Defect Sheet'!$P$3:$S$67,2,0)</f>
        <v>#N/A</v>
      </c>
      <c r="W16" s="28" t="e">
        <f>VLOOKUP(U16,'[1]RE Defect Sheet'!$P$3:$S$67,3,0)</f>
        <v>#N/A</v>
      </c>
      <c r="X16" s="28" t="e">
        <f>VLOOKUP(U16,'[1]RE Defect Sheet'!$P$3:$S$67,4,0)</f>
        <v>#N/A</v>
      </c>
    </row>
    <row r="17" spans="1:24" ht="31.5" customHeight="1">
      <c r="A17" s="28">
        <v>13</v>
      </c>
      <c r="B17" s="29"/>
      <c r="C17" s="30" t="e">
        <f>VLOOKUP(B17,'[1]RE Defect Sheet'!$E$2:$H$38,2,0)</f>
        <v>#N/A</v>
      </c>
      <c r="D17" s="30" t="e">
        <f>VLOOKUP(B17,'[1]RE Defect Sheet'!$E$2:$H$38,3,0)</f>
        <v>#N/A</v>
      </c>
      <c r="E17" s="30" t="e">
        <f>VLOOKUP(B17,'[1]RE Defect Sheet'!$E$2:$H$38,4,0)</f>
        <v>#N/A</v>
      </c>
      <c r="F17" s="29"/>
      <c r="G17" s="31" t="e">
        <f>VLOOKUP(F17,'[1]RE Defect Sheet'!$K$3:$N$176,2,0)</f>
        <v>#N/A</v>
      </c>
      <c r="H17" s="31" t="e">
        <f>VLOOKUP(F17,'[1]RE Defect Sheet'!$K$3:$N$176,3,0)</f>
        <v>#N/A</v>
      </c>
      <c r="I17" s="28"/>
      <c r="J17" s="29"/>
      <c r="K17" s="32" t="e">
        <f>VLOOKUP(J17,'[1]RE Defect Sheet'!$A$2:$C$58,2,0)</f>
        <v>#N/A</v>
      </c>
      <c r="L17" s="28"/>
      <c r="M17" s="28"/>
      <c r="N17" s="28"/>
      <c r="O17" s="28"/>
      <c r="P17" s="28"/>
      <c r="Q17" s="28">
        <f t="shared" si="0"/>
        <v>0</v>
      </c>
      <c r="R17" s="28" t="e">
        <f>VLOOKUP(F17,'[1]RE Defect Sheet'!$K$3:$N$176,4,0)</f>
        <v>#N/A</v>
      </c>
      <c r="S17" s="28" t="e">
        <f t="shared" si="1"/>
        <v>#N/A</v>
      </c>
      <c r="T17" s="28" t="e">
        <f>VLOOKUP(J17,'[1]RE Defect Sheet'!$A$2:$C$49,3,0)</f>
        <v>#N/A</v>
      </c>
      <c r="U17" s="28"/>
      <c r="V17" s="33" t="e">
        <f>VLOOKUP(U17,'[1]RE Defect Sheet'!$P$3:$S$67,2,0)</f>
        <v>#N/A</v>
      </c>
      <c r="W17" s="28" t="e">
        <f>VLOOKUP(U17,'[1]RE Defect Sheet'!$P$3:$S$67,3,0)</f>
        <v>#N/A</v>
      </c>
      <c r="X17" s="28" t="e">
        <f>VLOOKUP(U17,'[1]RE Defect Sheet'!$P$3:$S$67,4,0)</f>
        <v>#N/A</v>
      </c>
    </row>
    <row r="18" spans="1:24" ht="31.5" customHeight="1">
      <c r="A18" s="28">
        <v>14</v>
      </c>
      <c r="B18" s="29"/>
      <c r="C18" s="30" t="e">
        <f>VLOOKUP(B18,'[1]RE Defect Sheet'!$E$2:$H$38,2,0)</f>
        <v>#N/A</v>
      </c>
      <c r="D18" s="30" t="e">
        <f>VLOOKUP(B18,'[1]RE Defect Sheet'!$E$2:$H$38,3,0)</f>
        <v>#N/A</v>
      </c>
      <c r="E18" s="30" t="e">
        <f>VLOOKUP(B18,'[1]RE Defect Sheet'!$E$2:$H$38,4,0)</f>
        <v>#N/A</v>
      </c>
      <c r="F18" s="29"/>
      <c r="G18" s="31" t="e">
        <f>VLOOKUP(F18,'[1]RE Defect Sheet'!$K$3:$N$176,2,0)</f>
        <v>#N/A</v>
      </c>
      <c r="H18" s="31" t="e">
        <f>VLOOKUP(F18,'[1]RE Defect Sheet'!$K$3:$N$176,3,0)</f>
        <v>#N/A</v>
      </c>
      <c r="I18" s="28"/>
      <c r="J18" s="29"/>
      <c r="K18" s="32" t="e">
        <f>VLOOKUP(J18,'[1]RE Defect Sheet'!$A$2:$C$58,2,0)</f>
        <v>#N/A</v>
      </c>
      <c r="L18" s="28"/>
      <c r="M18" s="28"/>
      <c r="N18" s="28"/>
      <c r="O18" s="28"/>
      <c r="P18" s="28"/>
      <c r="Q18" s="28">
        <f t="shared" si="0"/>
        <v>0</v>
      </c>
      <c r="R18" s="28" t="e">
        <f>VLOOKUP(F18,'[1]RE Defect Sheet'!$K$3:$N$176,4,0)</f>
        <v>#N/A</v>
      </c>
      <c r="S18" s="28" t="e">
        <f t="shared" si="1"/>
        <v>#N/A</v>
      </c>
      <c r="T18" s="28" t="e">
        <f>VLOOKUP(J18,'[1]RE Defect Sheet'!$A$2:$C$49,3,0)</f>
        <v>#N/A</v>
      </c>
      <c r="U18" s="28"/>
      <c r="V18" s="33" t="e">
        <f>VLOOKUP(U18,'[1]RE Defect Sheet'!$P$3:$S$67,2,0)</f>
        <v>#N/A</v>
      </c>
      <c r="W18" s="28" t="e">
        <f>VLOOKUP(U18,'[1]RE Defect Sheet'!$P$3:$S$67,3,0)</f>
        <v>#N/A</v>
      </c>
      <c r="X18" s="28" t="e">
        <f>VLOOKUP(U18,'[1]RE Defect Sheet'!$P$3:$S$67,4,0)</f>
        <v>#N/A</v>
      </c>
    </row>
    <row r="19" spans="1:24" ht="31.5" hidden="1" customHeight="1">
      <c r="A19" s="28">
        <v>15</v>
      </c>
      <c r="B19" s="29"/>
      <c r="C19" s="30" t="e">
        <f>VLOOKUP(B19,'[1]RE Defect Sheet'!$E$2:$H$38,2,0)</f>
        <v>#N/A</v>
      </c>
      <c r="D19" s="30" t="e">
        <f>VLOOKUP(B19,'[1]RE Defect Sheet'!$E$2:$H$38,3,0)</f>
        <v>#N/A</v>
      </c>
      <c r="E19" s="30" t="e">
        <f>VLOOKUP(B19,'[1]RE Defect Sheet'!$E$2:$H$38,4,0)</f>
        <v>#N/A</v>
      </c>
      <c r="F19" s="29"/>
      <c r="G19" s="31" t="e">
        <f>VLOOKUP(F19,'[1]RE Defect Sheet'!$K$3:$N$176,2,0)</f>
        <v>#N/A</v>
      </c>
      <c r="H19" s="31" t="e">
        <f>VLOOKUP(F19,'[1]RE Defect Sheet'!$K$3:$N$176,3,0)</f>
        <v>#N/A</v>
      </c>
      <c r="I19" s="28"/>
      <c r="J19" s="29"/>
      <c r="K19" s="32" t="e">
        <f>VLOOKUP(J19,'[1]RE Defect Sheet'!$A$2:$C$58,2,0)</f>
        <v>#N/A</v>
      </c>
      <c r="L19" s="28"/>
      <c r="M19" s="28"/>
      <c r="N19" s="28"/>
      <c r="O19" s="28"/>
      <c r="P19" s="28"/>
      <c r="Q19" s="28">
        <f t="shared" si="0"/>
        <v>0</v>
      </c>
      <c r="R19" s="28" t="e">
        <f>VLOOKUP(F19,'[1]RE Defect Sheet'!$K$3:$N$176,4,0)</f>
        <v>#N/A</v>
      </c>
      <c r="S19" s="28" t="e">
        <f t="shared" si="1"/>
        <v>#N/A</v>
      </c>
      <c r="T19" s="28" t="e">
        <f>VLOOKUP(J19,'[1]RE Defect Sheet'!$A$2:$C$49,3,0)</f>
        <v>#N/A</v>
      </c>
      <c r="U19" s="28"/>
      <c r="V19" s="33" t="e">
        <f>VLOOKUP(U19,'[1]RE Defect Sheet'!$P$3:$S$67,2,0)</f>
        <v>#N/A</v>
      </c>
      <c r="W19" s="28" t="e">
        <f>VLOOKUP(U19,'[1]RE Defect Sheet'!$P$3:$S$67,3,0)</f>
        <v>#N/A</v>
      </c>
      <c r="X19" s="28" t="e">
        <f>VLOOKUP(U19,'[1]RE Defect Sheet'!$P$3:$S$67,4,0)</f>
        <v>#N/A</v>
      </c>
    </row>
    <row r="20" spans="1:24" ht="31.5" hidden="1" customHeight="1">
      <c r="A20" s="28">
        <v>16</v>
      </c>
      <c r="B20" s="29"/>
      <c r="C20" s="30" t="e">
        <f>VLOOKUP(B20,'[1]RE Defect Sheet'!$E$2:$H$38,2,0)</f>
        <v>#N/A</v>
      </c>
      <c r="D20" s="30" t="e">
        <f>VLOOKUP(B20,'[1]RE Defect Sheet'!$E$2:$H$38,3,0)</f>
        <v>#N/A</v>
      </c>
      <c r="E20" s="30" t="e">
        <f>VLOOKUP(B20,'[1]RE Defect Sheet'!$E$2:$H$38,4,0)</f>
        <v>#N/A</v>
      </c>
      <c r="F20" s="29"/>
      <c r="G20" s="31" t="e">
        <f>VLOOKUP(F20,'[1]RE Defect Sheet'!$K$3:$N$176,2,0)</f>
        <v>#N/A</v>
      </c>
      <c r="H20" s="31" t="e">
        <f>VLOOKUP(F20,'[1]RE Defect Sheet'!$K$3:$N$176,3,0)</f>
        <v>#N/A</v>
      </c>
      <c r="I20" s="28"/>
      <c r="J20" s="29"/>
      <c r="K20" s="32" t="e">
        <f>VLOOKUP(J20,'[1]RE Defect Sheet'!$A$2:$C$58,2,0)</f>
        <v>#N/A</v>
      </c>
      <c r="L20" s="28"/>
      <c r="M20" s="28"/>
      <c r="N20" s="28"/>
      <c r="O20" s="28"/>
      <c r="P20" s="28"/>
      <c r="Q20" s="28">
        <f t="shared" si="0"/>
        <v>0</v>
      </c>
      <c r="R20" s="28" t="e">
        <f>VLOOKUP(F20,'[1]RE Defect Sheet'!$K$3:$N$176,4,0)</f>
        <v>#N/A</v>
      </c>
      <c r="S20" s="28" t="e">
        <f t="shared" si="1"/>
        <v>#N/A</v>
      </c>
      <c r="T20" s="28" t="e">
        <f>VLOOKUP(J20,'[1]RE Defect Sheet'!$A$2:$C$49,3,0)</f>
        <v>#N/A</v>
      </c>
      <c r="U20" s="28"/>
      <c r="V20" s="33" t="e">
        <f>VLOOKUP(U20,'[1]RE Defect Sheet'!$P$3:$S$67,2,0)</f>
        <v>#N/A</v>
      </c>
      <c r="W20" s="28" t="e">
        <f>VLOOKUP(U20,'[1]RE Defect Sheet'!$P$3:$S$67,3,0)</f>
        <v>#N/A</v>
      </c>
      <c r="X20" s="28" t="e">
        <f>VLOOKUP(U20,'[1]RE Defect Sheet'!$P$3:$S$67,4,0)</f>
        <v>#N/A</v>
      </c>
    </row>
    <row r="21" spans="1:24" ht="31.5" hidden="1" customHeight="1">
      <c r="A21" s="28">
        <v>17</v>
      </c>
      <c r="B21" s="29"/>
      <c r="C21" s="30" t="e">
        <f>VLOOKUP(B21,'[1]RE Defect Sheet'!$E$2:$H$38,2,0)</f>
        <v>#N/A</v>
      </c>
      <c r="D21" s="30" t="e">
        <f>VLOOKUP(B21,'[1]RE Defect Sheet'!$E$2:$H$38,3,0)</f>
        <v>#N/A</v>
      </c>
      <c r="E21" s="30" t="e">
        <f>VLOOKUP(B21,'[1]RE Defect Sheet'!$E$2:$H$38,4,0)</f>
        <v>#N/A</v>
      </c>
      <c r="F21" s="29"/>
      <c r="G21" s="31" t="e">
        <f>VLOOKUP(F21,'[1]RE Defect Sheet'!$K$3:$N$176,2,0)</f>
        <v>#N/A</v>
      </c>
      <c r="H21" s="31" t="e">
        <f>VLOOKUP(F21,'[1]RE Defect Sheet'!$K$3:$N$176,3,0)</f>
        <v>#N/A</v>
      </c>
      <c r="I21" s="28"/>
      <c r="J21" s="29"/>
      <c r="K21" s="32" t="e">
        <f>VLOOKUP(J21,'[1]RE Defect Sheet'!$A$2:$C$58,2,0)</f>
        <v>#N/A</v>
      </c>
      <c r="L21" s="28"/>
      <c r="M21" s="28"/>
      <c r="N21" s="28"/>
      <c r="O21" s="28"/>
      <c r="P21" s="28"/>
      <c r="Q21" s="28">
        <f t="shared" si="0"/>
        <v>0</v>
      </c>
      <c r="R21" s="28" t="e">
        <f>VLOOKUP(F21,'[1]RE Defect Sheet'!$K$3:$N$176,4,0)</f>
        <v>#N/A</v>
      </c>
      <c r="S21" s="28" t="e">
        <f t="shared" si="1"/>
        <v>#N/A</v>
      </c>
      <c r="T21" s="28" t="e">
        <f>VLOOKUP(J21,'[1]RE Defect Sheet'!$A$2:$C$49,3,0)</f>
        <v>#N/A</v>
      </c>
      <c r="U21" s="28"/>
      <c r="V21" s="33" t="e">
        <f>VLOOKUP(U21,'[1]RE Defect Sheet'!$P$3:$S$67,2,0)</f>
        <v>#N/A</v>
      </c>
      <c r="W21" s="28" t="e">
        <f>VLOOKUP(U21,'[1]RE Defect Sheet'!$P$3:$S$67,3,0)</f>
        <v>#N/A</v>
      </c>
      <c r="X21" s="28" t="e">
        <f>VLOOKUP(U21,'[1]RE Defect Sheet'!$P$3:$S$67,4,0)</f>
        <v>#N/A</v>
      </c>
    </row>
    <row r="22" spans="1:24" ht="31.5" hidden="1" customHeight="1">
      <c r="A22" s="28">
        <v>18</v>
      </c>
      <c r="B22" s="29"/>
      <c r="C22" s="30" t="e">
        <f>VLOOKUP(B22,'[1]RE Defect Sheet'!$E$2:$H$38,2,0)</f>
        <v>#N/A</v>
      </c>
      <c r="D22" s="30" t="e">
        <f>VLOOKUP(B22,'[1]RE Defect Sheet'!$E$2:$H$38,3,0)</f>
        <v>#N/A</v>
      </c>
      <c r="E22" s="30" t="e">
        <f>VLOOKUP(B22,'[1]RE Defect Sheet'!$E$2:$H$38,4,0)</f>
        <v>#N/A</v>
      </c>
      <c r="F22" s="29"/>
      <c r="G22" s="31" t="e">
        <f>VLOOKUP(F22,'[1]RE Defect Sheet'!$K$3:$N$176,2,0)</f>
        <v>#N/A</v>
      </c>
      <c r="H22" s="31" t="e">
        <f>VLOOKUP(F22,'[1]RE Defect Sheet'!$K$3:$N$176,3,0)</f>
        <v>#N/A</v>
      </c>
      <c r="I22" s="28"/>
      <c r="J22" s="29"/>
      <c r="K22" s="32" t="e">
        <f>VLOOKUP(J22,'[1]RE Defect Sheet'!$A$2:$C$58,2,0)</f>
        <v>#N/A</v>
      </c>
      <c r="L22" s="28"/>
      <c r="M22" s="28"/>
      <c r="N22" s="28"/>
      <c r="O22" s="28"/>
      <c r="P22" s="28"/>
      <c r="Q22" s="28">
        <f t="shared" si="0"/>
        <v>0</v>
      </c>
      <c r="R22" s="28" t="e">
        <f>VLOOKUP(F22,'[1]RE Defect Sheet'!$K$3:$N$176,4,0)</f>
        <v>#N/A</v>
      </c>
      <c r="S22" s="28" t="e">
        <f t="shared" si="1"/>
        <v>#N/A</v>
      </c>
      <c r="T22" s="28" t="e">
        <f>VLOOKUP(J22,'[1]RE Defect Sheet'!$A$2:$C$49,3,0)</f>
        <v>#N/A</v>
      </c>
      <c r="U22" s="28"/>
      <c r="V22" s="33" t="e">
        <f>VLOOKUP(U22,'[1]RE Defect Sheet'!$P$3:$S$67,2,0)</f>
        <v>#N/A</v>
      </c>
      <c r="W22" s="28" t="e">
        <f>VLOOKUP(U22,'[1]RE Defect Sheet'!$P$3:$S$67,3,0)</f>
        <v>#N/A</v>
      </c>
      <c r="X22" s="28" t="e">
        <f>VLOOKUP(U22,'[1]RE Defect Sheet'!$P$3:$S$67,4,0)</f>
        <v>#N/A</v>
      </c>
    </row>
    <row r="23" spans="1:24" ht="31.5" hidden="1" customHeight="1">
      <c r="A23" s="28">
        <v>19</v>
      </c>
      <c r="B23" s="29"/>
      <c r="C23" s="30" t="e">
        <f>VLOOKUP(B23,'[1]RE Defect Sheet'!$E$2:$H$38,2,0)</f>
        <v>#N/A</v>
      </c>
      <c r="D23" s="30" t="e">
        <f>VLOOKUP(B23,'[1]RE Defect Sheet'!$E$2:$H$38,3,0)</f>
        <v>#N/A</v>
      </c>
      <c r="E23" s="30" t="e">
        <f>VLOOKUP(B23,'[1]RE Defect Sheet'!$E$2:$H$38,4,0)</f>
        <v>#N/A</v>
      </c>
      <c r="F23" s="29"/>
      <c r="G23" s="31" t="e">
        <f>VLOOKUP(F23,'[1]RE Defect Sheet'!$K$3:$N$176,2,0)</f>
        <v>#N/A</v>
      </c>
      <c r="H23" s="31" t="e">
        <f>VLOOKUP(F23,'[1]RE Defect Sheet'!$K$3:$N$176,3,0)</f>
        <v>#N/A</v>
      </c>
      <c r="I23" s="28"/>
      <c r="J23" s="29"/>
      <c r="K23" s="32" t="e">
        <f>VLOOKUP(J23,'[1]RE Defect Sheet'!$A$2:$C$58,2,0)</f>
        <v>#N/A</v>
      </c>
      <c r="L23" s="28"/>
      <c r="M23" s="28"/>
      <c r="N23" s="28"/>
      <c r="O23" s="28"/>
      <c r="P23" s="28"/>
      <c r="Q23" s="28">
        <f t="shared" si="0"/>
        <v>0</v>
      </c>
      <c r="R23" s="28" t="e">
        <f>VLOOKUP(F23,'[1]RE Defect Sheet'!$K$3:$N$176,4,0)</f>
        <v>#N/A</v>
      </c>
      <c r="S23" s="28" t="e">
        <f t="shared" si="1"/>
        <v>#N/A</v>
      </c>
      <c r="T23" s="28" t="e">
        <f>VLOOKUP(J23,'[1]RE Defect Sheet'!$A$2:$C$49,3,0)</f>
        <v>#N/A</v>
      </c>
      <c r="U23" s="28"/>
      <c r="V23" s="33" t="e">
        <f>VLOOKUP(U23,'[1]RE Defect Sheet'!$P$3:$S$67,2,0)</f>
        <v>#N/A</v>
      </c>
      <c r="W23" s="28" t="e">
        <f>VLOOKUP(U23,'[1]RE Defect Sheet'!$P$3:$S$67,3,0)</f>
        <v>#N/A</v>
      </c>
      <c r="X23" s="28" t="e">
        <f>VLOOKUP(U23,'[1]RE Defect Sheet'!$P$3:$S$67,4,0)</f>
        <v>#N/A</v>
      </c>
    </row>
    <row r="24" spans="1:24" ht="31.5" hidden="1" customHeight="1">
      <c r="A24" s="28">
        <v>20</v>
      </c>
      <c r="B24" s="29"/>
      <c r="C24" s="30" t="e">
        <f>VLOOKUP(B24,'[1]RE Defect Sheet'!$E$2:$H$38,2,0)</f>
        <v>#N/A</v>
      </c>
      <c r="D24" s="30" t="e">
        <f>VLOOKUP(B24,'[1]RE Defect Sheet'!$E$2:$H$38,3,0)</f>
        <v>#N/A</v>
      </c>
      <c r="E24" s="30" t="e">
        <f>VLOOKUP(B24,'[1]RE Defect Sheet'!$E$2:$H$38,4,0)</f>
        <v>#N/A</v>
      </c>
      <c r="F24" s="29"/>
      <c r="G24" s="31" t="e">
        <f>VLOOKUP(F24,'[1]RE Defect Sheet'!$K$3:$N$176,2,0)</f>
        <v>#N/A</v>
      </c>
      <c r="H24" s="31" t="e">
        <f>VLOOKUP(F24,'[1]RE Defect Sheet'!$K$3:$N$176,3,0)</f>
        <v>#N/A</v>
      </c>
      <c r="I24" s="28"/>
      <c r="J24" s="29"/>
      <c r="K24" s="32" t="e">
        <f>VLOOKUP(J24,'[1]RE Defect Sheet'!$A$2:$C$58,2,0)</f>
        <v>#N/A</v>
      </c>
      <c r="L24" s="28"/>
      <c r="M24" s="28"/>
      <c r="N24" s="28"/>
      <c r="O24" s="28"/>
      <c r="P24" s="28"/>
      <c r="Q24" s="28">
        <f t="shared" si="0"/>
        <v>0</v>
      </c>
      <c r="R24" s="28" t="e">
        <f>VLOOKUP(F24,'[1]RE Defect Sheet'!$K$3:$N$176,4,0)</f>
        <v>#N/A</v>
      </c>
      <c r="S24" s="28" t="e">
        <f t="shared" si="1"/>
        <v>#N/A</v>
      </c>
      <c r="T24" s="28" t="e">
        <f>VLOOKUP(J24,'[1]RE Defect Sheet'!$A$2:$C$49,3,0)</f>
        <v>#N/A</v>
      </c>
      <c r="U24" s="28"/>
      <c r="V24" s="33" t="e">
        <f>VLOOKUP(U24,'[1]RE Defect Sheet'!$P$3:$S$67,2,0)</f>
        <v>#N/A</v>
      </c>
      <c r="W24" s="28" t="e">
        <f>VLOOKUP(U24,'[1]RE Defect Sheet'!$P$3:$S$67,3,0)</f>
        <v>#N/A</v>
      </c>
      <c r="X24" s="28" t="e">
        <f>VLOOKUP(U24,'[1]RE Defect Sheet'!$P$3:$S$67,4,0)</f>
        <v>#N/A</v>
      </c>
    </row>
    <row r="25" spans="1:24" ht="31.5" hidden="1" customHeight="1">
      <c r="A25" s="28">
        <v>21</v>
      </c>
      <c r="B25" s="29"/>
      <c r="C25" s="30" t="e">
        <f>VLOOKUP(B25,'[1]RE Defect Sheet'!$E$2:$H$38,2,0)</f>
        <v>#N/A</v>
      </c>
      <c r="D25" s="30" t="e">
        <f>VLOOKUP(B25,'[1]RE Defect Sheet'!$E$2:$H$38,3,0)</f>
        <v>#N/A</v>
      </c>
      <c r="E25" s="30" t="e">
        <f>VLOOKUP(B25,'[1]RE Defect Sheet'!$E$2:$H$38,4,0)</f>
        <v>#N/A</v>
      </c>
      <c r="F25" s="29"/>
      <c r="G25" s="31" t="e">
        <f>VLOOKUP(F25,'[1]RE Defect Sheet'!$K$3:$N$176,2,0)</f>
        <v>#N/A</v>
      </c>
      <c r="H25" s="31" t="e">
        <f>VLOOKUP(F25,'[1]RE Defect Sheet'!$K$3:$N$176,3,0)</f>
        <v>#N/A</v>
      </c>
      <c r="I25" s="28"/>
      <c r="J25" s="29"/>
      <c r="K25" s="32" t="e">
        <f>VLOOKUP(J25,'[1]RE Defect Sheet'!$A$2:$C$58,2,0)</f>
        <v>#N/A</v>
      </c>
      <c r="L25" s="28"/>
      <c r="M25" s="28"/>
      <c r="N25" s="28"/>
      <c r="O25" s="28"/>
      <c r="P25" s="28"/>
      <c r="Q25" s="28">
        <f t="shared" si="0"/>
        <v>0</v>
      </c>
      <c r="R25" s="28" t="e">
        <f>VLOOKUP(F25,'[1]RE Defect Sheet'!$K$3:$N$176,4,0)</f>
        <v>#N/A</v>
      </c>
      <c r="S25" s="28" t="e">
        <f t="shared" si="1"/>
        <v>#N/A</v>
      </c>
      <c r="T25" s="28" t="e">
        <f>VLOOKUP(J25,'[1]RE Defect Sheet'!$A$2:$C$49,3,0)</f>
        <v>#N/A</v>
      </c>
      <c r="U25" s="28"/>
      <c r="V25" s="33" t="e">
        <f>VLOOKUP(U25,'[1]RE Defect Sheet'!$P$3:$S$67,2,0)</f>
        <v>#N/A</v>
      </c>
      <c r="W25" s="28" t="e">
        <f>VLOOKUP(U25,'[1]RE Defect Sheet'!$P$3:$S$67,3,0)</f>
        <v>#N/A</v>
      </c>
      <c r="X25" s="28" t="e">
        <f>VLOOKUP(U25,'[1]RE Defect Sheet'!$P$3:$S$67,4,0)</f>
        <v>#N/A</v>
      </c>
    </row>
    <row r="26" spans="1:24" ht="31.5" hidden="1" customHeight="1">
      <c r="A26" s="28">
        <v>22</v>
      </c>
      <c r="B26" s="29"/>
      <c r="C26" s="30" t="e">
        <f>VLOOKUP(B26,'[1]RE Defect Sheet'!$E$2:$H$38,2,0)</f>
        <v>#N/A</v>
      </c>
      <c r="D26" s="30" t="e">
        <f>VLOOKUP(B26,'[1]RE Defect Sheet'!$E$2:$H$38,3,0)</f>
        <v>#N/A</v>
      </c>
      <c r="E26" s="30" t="e">
        <f>VLOOKUP(B26,'[1]RE Defect Sheet'!$E$2:$H$38,4,0)</f>
        <v>#N/A</v>
      </c>
      <c r="F26" s="29"/>
      <c r="G26" s="31" t="e">
        <f>VLOOKUP(F26,'[1]RE Defect Sheet'!$K$3:$N$176,2,0)</f>
        <v>#N/A</v>
      </c>
      <c r="H26" s="31" t="e">
        <f>VLOOKUP(F26,'[1]RE Defect Sheet'!$K$3:$N$176,3,0)</f>
        <v>#N/A</v>
      </c>
      <c r="I26" s="28"/>
      <c r="J26" s="29"/>
      <c r="K26" s="32" t="e">
        <f>VLOOKUP(J26,'[1]RE Defect Sheet'!$A$2:$C$58,2,0)</f>
        <v>#N/A</v>
      </c>
      <c r="L26" s="28"/>
      <c r="M26" s="28"/>
      <c r="N26" s="28"/>
      <c r="O26" s="28"/>
      <c r="P26" s="28"/>
      <c r="Q26" s="28">
        <f t="shared" si="0"/>
        <v>0</v>
      </c>
      <c r="R26" s="28" t="e">
        <f>VLOOKUP(F26,'[1]RE Defect Sheet'!$K$3:$N$176,4,0)</f>
        <v>#N/A</v>
      </c>
      <c r="S26" s="28" t="e">
        <f t="shared" si="1"/>
        <v>#N/A</v>
      </c>
      <c r="T26" s="28" t="e">
        <f>VLOOKUP(J26,'[1]RE Defect Sheet'!$A$2:$C$49,3,0)</f>
        <v>#N/A</v>
      </c>
      <c r="U26" s="28"/>
      <c r="V26" s="33" t="e">
        <f>VLOOKUP(U26,'[1]RE Defect Sheet'!$P$3:$S$67,2,0)</f>
        <v>#N/A</v>
      </c>
      <c r="W26" s="28" t="e">
        <f>VLOOKUP(U26,'[1]RE Defect Sheet'!$P$3:$S$67,3,0)</f>
        <v>#N/A</v>
      </c>
      <c r="X26" s="28" t="e">
        <f>VLOOKUP(U26,'[1]RE Defect Sheet'!$P$3:$S$67,4,0)</f>
        <v>#N/A</v>
      </c>
    </row>
  </sheetData>
  <autoFilter ref="A4:X4">
    <sortState ref="A5:X244">
      <sortCondition ref="L4:L244"/>
    </sortState>
  </autoFilter>
  <dataConsolidate/>
  <mergeCells count="1">
    <mergeCell ref="M3:Q3"/>
  </mergeCells>
  <pageMargins left="0.70866141732283472" right="0.70866141732283472" top="0.74803149606299213" bottom="0.74803149606299213" header="0.31496062992125984" footer="0.31496062992125984"/>
  <pageSetup scale="2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X5"/>
  <sheetViews>
    <sheetView zoomScale="48" zoomScaleNormal="48" workbookViewId="0">
      <selection activeCell="K1" sqref="K1"/>
    </sheetView>
  </sheetViews>
  <sheetFormatPr defaultColWidth="11.625" defaultRowHeight="31.5" customHeight="1"/>
  <cols>
    <col min="1" max="1" width="8.75" style="8" customWidth="1"/>
    <col min="2" max="2" width="10.375" style="34" bestFit="1" customWidth="1"/>
    <col min="3" max="3" width="14.25" style="8" bestFit="1" customWidth="1"/>
    <col min="4" max="4" width="18.125" style="8" customWidth="1"/>
    <col min="5" max="5" width="12.625" style="8" customWidth="1"/>
    <col min="6" max="6" width="7.375" style="34" customWidth="1"/>
    <col min="7" max="7" width="15.75" style="8" bestFit="1" customWidth="1"/>
    <col min="8" max="8" width="20.75" style="8" customWidth="1"/>
    <col min="9" max="9" width="36.375" style="8" customWidth="1"/>
    <col min="10" max="10" width="10.375" style="34" customWidth="1"/>
    <col min="11" max="11" width="29" style="8" customWidth="1"/>
    <col min="12" max="12" width="11.625" style="8" customWidth="1"/>
    <col min="13" max="13" width="12.5" style="8" customWidth="1"/>
    <col min="14" max="14" width="13.875" style="8" customWidth="1"/>
    <col min="15" max="15" width="13.75" style="8" customWidth="1"/>
    <col min="16" max="16" width="14" style="8" customWidth="1"/>
    <col min="17" max="17" width="20.125" style="8" customWidth="1"/>
    <col min="18" max="18" width="24.25" style="8" customWidth="1"/>
    <col min="19" max="19" width="35.375" style="8" customWidth="1"/>
    <col min="20" max="20" width="19.25" style="8" customWidth="1"/>
    <col min="21" max="21" width="17.625" style="8" bestFit="1" customWidth="1"/>
    <col min="22" max="22" width="35" style="7" customWidth="1"/>
    <col min="23" max="23" width="36.125" style="8" customWidth="1"/>
    <col min="24" max="24" width="28.25" style="8" customWidth="1"/>
    <col min="25" max="16384" width="11.625" style="8"/>
  </cols>
  <sheetData>
    <row r="1" spans="1:24" ht="63" customHeight="1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3">
        <v>44256</v>
      </c>
      <c r="L1" s="4"/>
      <c r="M1" s="4" t="s">
        <v>1</v>
      </c>
      <c r="N1" s="4" t="s">
        <v>2</v>
      </c>
      <c r="O1" s="4" t="s">
        <v>3</v>
      </c>
      <c r="P1" s="4" t="s">
        <v>4</v>
      </c>
      <c r="Q1" s="4"/>
      <c r="R1" s="2"/>
      <c r="S1" s="5" t="s">
        <v>5</v>
      </c>
      <c r="T1" s="6"/>
      <c r="U1" s="6"/>
    </row>
    <row r="2" spans="1:24" ht="31.5" customHeight="1">
      <c r="A2" s="9"/>
      <c r="B2" s="9"/>
      <c r="C2" s="9"/>
      <c r="D2" s="9"/>
      <c r="E2" s="9"/>
      <c r="F2" s="9"/>
      <c r="G2" s="9"/>
      <c r="H2" s="9"/>
      <c r="I2" s="10"/>
      <c r="J2" s="9"/>
      <c r="K2" s="11" t="s">
        <v>6</v>
      </c>
      <c r="L2" s="12"/>
      <c r="M2" s="11">
        <f>SUBTOTAL(9,M5:M5)</f>
        <v>0</v>
      </c>
      <c r="N2" s="11" t="e">
        <f>SUBTOTAL(9,#REF!)</f>
        <v>#REF!</v>
      </c>
      <c r="O2" s="11">
        <f>SUBTOTAL(9,O5:O5)</f>
        <v>0</v>
      </c>
      <c r="P2" s="11" t="e">
        <f>SUBTOTAL(9,#REF!)</f>
        <v>#REF!</v>
      </c>
      <c r="Q2" s="11" t="e">
        <f>SUBTOTAL(9,#REF!)</f>
        <v>#REF!</v>
      </c>
      <c r="R2" s="13"/>
      <c r="S2" s="14" t="e">
        <f>SUBTOTAL(9,S5:S9)</f>
        <v>#N/A</v>
      </c>
      <c r="T2" s="15"/>
      <c r="U2" s="15"/>
    </row>
    <row r="3" spans="1:24" ht="31.5" customHeight="1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  <c r="L3" s="19"/>
      <c r="M3" s="65" t="s">
        <v>7</v>
      </c>
      <c r="N3" s="66"/>
      <c r="O3" s="66"/>
      <c r="P3" s="66"/>
      <c r="Q3" s="67"/>
      <c r="R3" s="20"/>
      <c r="S3" s="2"/>
      <c r="T3" s="2"/>
      <c r="U3" s="2"/>
    </row>
    <row r="4" spans="1:24" ht="57.75" customHeight="1">
      <c r="A4" s="21" t="s">
        <v>8</v>
      </c>
      <c r="B4" s="22" t="s">
        <v>9</v>
      </c>
      <c r="C4" s="21" t="s">
        <v>10</v>
      </c>
      <c r="D4" s="21" t="s">
        <v>11</v>
      </c>
      <c r="E4" s="21" t="s">
        <v>12</v>
      </c>
      <c r="F4" s="22" t="s">
        <v>13</v>
      </c>
      <c r="G4" s="21" t="s">
        <v>14</v>
      </c>
      <c r="H4" s="21" t="s">
        <v>15</v>
      </c>
      <c r="I4" s="23" t="s">
        <v>16</v>
      </c>
      <c r="J4" s="24" t="s">
        <v>9</v>
      </c>
      <c r="K4" s="21" t="s">
        <v>17</v>
      </c>
      <c r="L4" s="21" t="s">
        <v>18</v>
      </c>
      <c r="M4" s="25" t="s">
        <v>19</v>
      </c>
      <c r="N4" s="25" t="s">
        <v>20</v>
      </c>
      <c r="O4" s="25" t="s">
        <v>21</v>
      </c>
      <c r="P4" s="25" t="s">
        <v>4</v>
      </c>
      <c r="Q4" s="25" t="s">
        <v>22</v>
      </c>
      <c r="R4" s="21" t="s">
        <v>23</v>
      </c>
      <c r="S4" s="21" t="s">
        <v>24</v>
      </c>
      <c r="T4" s="21" t="s">
        <v>25</v>
      </c>
      <c r="U4" s="21" t="s">
        <v>26</v>
      </c>
      <c r="V4" s="21" t="s">
        <v>27</v>
      </c>
      <c r="W4" s="26" t="s">
        <v>28</v>
      </c>
      <c r="X4" s="27" t="s">
        <v>29</v>
      </c>
    </row>
    <row r="5" spans="1:24" ht="31.5" customHeight="1">
      <c r="A5" s="28">
        <v>1</v>
      </c>
      <c r="B5" s="29"/>
      <c r="C5" s="30" t="e">
        <f>VLOOKUP(B5,'[1]RE Defect Sheet'!$E$2:$H$38,2,0)</f>
        <v>#N/A</v>
      </c>
      <c r="D5" s="30" t="e">
        <f>VLOOKUP(B5,'[1]RE Defect Sheet'!$E$2:$H$38,3,0)</f>
        <v>#N/A</v>
      </c>
      <c r="E5" s="30" t="e">
        <f>VLOOKUP(B5,'[1]RE Defect Sheet'!$E$2:$H$38,4,0)</f>
        <v>#N/A</v>
      </c>
      <c r="F5" s="29"/>
      <c r="G5" s="31" t="e">
        <f>VLOOKUP(F5,'[1]RE Defect Sheet'!$K$3:$N$176,2,0)</f>
        <v>#N/A</v>
      </c>
      <c r="H5" s="31" t="e">
        <f>VLOOKUP(F5,'[1]RE Defect Sheet'!$K$3:$N$176,3,0)</f>
        <v>#N/A</v>
      </c>
      <c r="I5" s="28"/>
      <c r="J5" s="29"/>
      <c r="K5" s="32" t="e">
        <f>VLOOKUP(J5,'[1]RE Defect Sheet'!$A$2:$C$58,2,0)</f>
        <v>#N/A</v>
      </c>
      <c r="L5" s="28"/>
      <c r="M5" s="28"/>
      <c r="N5" s="28"/>
      <c r="O5" s="28"/>
      <c r="P5" s="28"/>
      <c r="Q5" s="28">
        <f>M5+N5+O5+P5</f>
        <v>0</v>
      </c>
      <c r="R5" s="28" t="e">
        <f>VLOOKUP(F5,'[1]RE Defect Sheet'!$K$3:$N$176,4,0)</f>
        <v>#N/A</v>
      </c>
      <c r="S5" s="28" t="e">
        <f>(Q5*R5)</f>
        <v>#N/A</v>
      </c>
      <c r="T5" s="28" t="e">
        <f>VLOOKUP(J5,'[1]RE Defect Sheet'!$A$2:$C$49,3,0)</f>
        <v>#N/A</v>
      </c>
      <c r="U5" s="28"/>
      <c r="V5" s="33" t="e">
        <f>VLOOKUP(U5,'[1]RE Defect Sheet'!$P$3:$S$67,2,0)</f>
        <v>#N/A</v>
      </c>
      <c r="W5" s="28" t="e">
        <f>VLOOKUP(U5,'[1]RE Defect Sheet'!$P$3:$S$67,3,0)</f>
        <v>#N/A</v>
      </c>
      <c r="X5" s="28" t="e">
        <f>VLOOKUP(U5,'[1]RE Defect Sheet'!$P$3:$S$67,4,0)</f>
        <v>#N/A</v>
      </c>
    </row>
  </sheetData>
  <autoFilter ref="A4:X4">
    <sortState ref="A5:X244">
      <sortCondition ref="L4:L244"/>
    </sortState>
  </autoFilter>
  <dataConsolidate/>
  <mergeCells count="1">
    <mergeCell ref="M3:Q3"/>
  </mergeCells>
  <pageMargins left="0.70866141732283472" right="0.70866141732283472" top="0.74803149606299213" bottom="0.74803149606299213" header="0.31496062992125984" footer="0.31496062992125984"/>
  <pageSetup scale="2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Y555"/>
  <sheetViews>
    <sheetView workbookViewId="0">
      <pane ySplit="4" topLeftCell="A470" activePane="bottomLeft" state="frozen"/>
      <selection activeCell="K14" sqref="K14"/>
      <selection pane="bottomLeft" activeCell="D4" sqref="D4"/>
    </sheetView>
  </sheetViews>
  <sheetFormatPr defaultColWidth="11.625" defaultRowHeight="20.25" customHeight="1"/>
  <cols>
    <col min="1" max="1" width="9.625" style="42" customWidth="1"/>
    <col min="2" max="2" width="9.25" style="42" customWidth="1"/>
    <col min="3" max="3" width="10.875" style="42" bestFit="1" customWidth="1"/>
    <col min="4" max="4" width="12.875" style="42" customWidth="1"/>
    <col min="5" max="5" width="10.5" style="42" bestFit="1" customWidth="1"/>
    <col min="6" max="6" width="9.25" style="42" customWidth="1"/>
    <col min="7" max="7" width="11.125" style="42" bestFit="1" customWidth="1"/>
    <col min="8" max="8" width="12.375" style="42" customWidth="1"/>
    <col min="9" max="9" width="11.75" style="42" customWidth="1"/>
    <col min="10" max="10" width="9.75" style="42" customWidth="1"/>
    <col min="11" max="11" width="22.375" style="42" bestFit="1" customWidth="1"/>
    <col min="12" max="12" width="11.5" style="42" bestFit="1" customWidth="1"/>
    <col min="13" max="13" width="11.5" style="42" customWidth="1"/>
    <col min="14" max="17" width="9.75" style="42" customWidth="1"/>
    <col min="18" max="18" width="14.5" style="42" bestFit="1" customWidth="1"/>
    <col min="19" max="19" width="15.25" style="42" customWidth="1"/>
    <col min="20" max="20" width="17.5" style="42" customWidth="1"/>
    <col min="21" max="21" width="12.375" style="42" customWidth="1"/>
    <col min="22" max="22" width="9.75" style="42" customWidth="1"/>
    <col min="23" max="23" width="16.75" style="41" customWidth="1"/>
    <col min="24" max="24" width="21.25" style="42" bestFit="1" customWidth="1"/>
    <col min="25" max="25" width="17.75" style="42" bestFit="1" customWidth="1"/>
    <col min="26" max="26" width="11.625" style="42"/>
    <col min="27" max="27" width="15.25" style="42" bestFit="1" customWidth="1"/>
    <col min="28" max="16384" width="11.625" style="42"/>
  </cols>
  <sheetData>
    <row r="1" spans="1:25" ht="18.75" customHeight="1">
      <c r="A1" s="37" t="s">
        <v>0</v>
      </c>
      <c r="B1" s="37" t="s">
        <v>0</v>
      </c>
      <c r="C1" s="37" t="s">
        <v>0</v>
      </c>
      <c r="D1" s="37" t="s">
        <v>0</v>
      </c>
      <c r="E1" s="37" t="s">
        <v>0</v>
      </c>
      <c r="F1" s="37" t="s">
        <v>0</v>
      </c>
      <c r="G1" s="37" t="s">
        <v>0</v>
      </c>
      <c r="H1" s="37" t="s">
        <v>0</v>
      </c>
      <c r="I1" s="37" t="s">
        <v>0</v>
      </c>
      <c r="J1" s="37" t="s">
        <v>0</v>
      </c>
      <c r="L1" s="39"/>
      <c r="M1" s="46">
        <v>46266</v>
      </c>
      <c r="N1" s="47" t="s">
        <v>1</v>
      </c>
      <c r="O1" s="47" t="s">
        <v>2</v>
      </c>
      <c r="P1" s="47" t="s">
        <v>3</v>
      </c>
      <c r="Q1" s="47" t="s">
        <v>4</v>
      </c>
      <c r="R1" s="47" t="s">
        <v>22</v>
      </c>
      <c r="S1" s="39"/>
      <c r="T1" s="48" t="s">
        <v>5</v>
      </c>
      <c r="U1" s="40"/>
      <c r="V1" s="40"/>
    </row>
    <row r="2" spans="1:25" ht="18.75" customHeight="1">
      <c r="G2" s="57"/>
      <c r="L2" s="39"/>
      <c r="M2" s="47" t="s">
        <v>6</v>
      </c>
      <c r="N2" s="49">
        <f>SUBTOTAL(9,Table2[1st])</f>
        <v>1512</v>
      </c>
      <c r="O2" s="49">
        <f>SUBTOTAL(9,Table2[2nd])</f>
        <v>1025</v>
      </c>
      <c r="P2" s="49">
        <f>SUBTOTAL(9,Table2[3rd])</f>
        <v>644</v>
      </c>
      <c r="Q2" s="49">
        <f>SUBTOTAL(9,Table2[FQC])</f>
        <v>64</v>
      </c>
      <c r="R2" s="49">
        <f>N2+O2+P2+Q2</f>
        <v>3245</v>
      </c>
      <c r="S2" s="38"/>
      <c r="T2" s="49">
        <f>SUBTOTAL(9,Table2[[Total cost ]])</f>
        <v>316861.73323660187</v>
      </c>
      <c r="U2" s="43"/>
      <c r="V2" s="43"/>
    </row>
    <row r="3" spans="1:25" ht="18.75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4"/>
      <c r="N3" s="68" t="s">
        <v>7</v>
      </c>
      <c r="O3" s="69"/>
      <c r="P3" s="69"/>
      <c r="Q3" s="69"/>
      <c r="R3" s="70"/>
      <c r="S3" s="40"/>
      <c r="T3" s="39"/>
      <c r="U3" s="39"/>
      <c r="V3" s="39"/>
    </row>
    <row r="4" spans="1:25" ht="20.25" customHeight="1">
      <c r="A4" s="51" t="s">
        <v>31</v>
      </c>
      <c r="B4" s="52" t="s">
        <v>13</v>
      </c>
      <c r="C4" s="52" t="s">
        <v>10</v>
      </c>
      <c r="D4" s="52" t="s">
        <v>11</v>
      </c>
      <c r="E4" s="52" t="s">
        <v>12</v>
      </c>
      <c r="F4" s="52" t="s">
        <v>79</v>
      </c>
      <c r="G4" s="52" t="s">
        <v>14</v>
      </c>
      <c r="H4" s="52" t="s">
        <v>15</v>
      </c>
      <c r="I4" s="52" t="s">
        <v>30</v>
      </c>
      <c r="J4" s="52" t="s">
        <v>80</v>
      </c>
      <c r="K4" s="53" t="s">
        <v>17</v>
      </c>
      <c r="L4" s="53" t="s">
        <v>18</v>
      </c>
      <c r="M4" s="54" t="s">
        <v>78</v>
      </c>
      <c r="N4" s="54" t="s">
        <v>19</v>
      </c>
      <c r="O4" s="54" t="s">
        <v>20</v>
      </c>
      <c r="P4" s="54" t="s">
        <v>21</v>
      </c>
      <c r="Q4" s="54" t="s">
        <v>4</v>
      </c>
      <c r="R4" s="54" t="s">
        <v>22</v>
      </c>
      <c r="S4" s="54" t="s">
        <v>23</v>
      </c>
      <c r="T4" s="54" t="s">
        <v>24</v>
      </c>
      <c r="U4" s="54" t="s">
        <v>25</v>
      </c>
      <c r="V4" s="54" t="s">
        <v>81</v>
      </c>
      <c r="W4" s="54" t="s">
        <v>27</v>
      </c>
      <c r="X4" s="54" t="s">
        <v>32</v>
      </c>
      <c r="Y4" s="55" t="s">
        <v>33</v>
      </c>
    </row>
    <row r="5" spans="1:25" ht="20.25" customHeight="1">
      <c r="A5" s="50">
        <v>1</v>
      </c>
      <c r="B5" s="36">
        <v>2</v>
      </c>
      <c r="C5" s="45" t="str">
        <f>IFERROR(VLOOKUP(Table2[[#This Row],[Code]],'[2]New Machine sheet'!$A$1:$D$101,2,0),0)</f>
        <v>282-02</v>
      </c>
      <c r="D5" s="45" t="str">
        <f>IFERROR(VLOOKUP(Table2[[#This Row],[M/c No]],'[2]New Machine sheet'!$B$1:$D$101,2,0),0)</f>
        <v>Mazak</v>
      </c>
      <c r="E5" s="45" t="str">
        <f>IFERROR(VLOOKUP(Table2[[#This Row],[M/c Name]],'[2]New Machine sheet'!$C$1:$D$101,2,0),0)</f>
        <v>Turning</v>
      </c>
      <c r="F5" s="45">
        <v>75</v>
      </c>
      <c r="G5" s="45">
        <f>IFERROR(VLOOKUP(Table2[[#This Row],[Code2]],'[2]New Machine sheet'!$F$2:$I$64,2,),0)</f>
        <v>2475</v>
      </c>
      <c r="H5" s="45" t="str">
        <f>IFERROR(VLOOKUP(Table2[[#This Row],[Code2]],'[2]New Machine sheet'!$F$2:$I$64,3,0),0)</f>
        <v>RE P1</v>
      </c>
      <c r="I5" s="45" t="s">
        <v>119</v>
      </c>
      <c r="J5" s="45">
        <v>5</v>
      </c>
      <c r="K5" s="45" t="str">
        <f>IFERROR(VLOOKUP(Table2[[#This Row],[Code3]],'[2]New defect code '!$A$2:$D$129,2,0),0)</f>
        <v>Bore Over size</v>
      </c>
      <c r="L5" s="45" t="s">
        <v>114</v>
      </c>
      <c r="M5" s="56">
        <v>46266</v>
      </c>
      <c r="N5" s="45">
        <v>1</v>
      </c>
      <c r="O5" s="45"/>
      <c r="P5" s="45"/>
      <c r="Q5" s="45"/>
      <c r="R5" s="45">
        <f>SUBTOTAL(9,Table2[[#This Row],[1st]:[FQC]])</f>
        <v>1</v>
      </c>
      <c r="S5" s="45">
        <f>IFERROR(VLOOKUP(Table2[[#This Row],[Part No.]],'[2]New Machine sheet'!$G$2:$I$90,3,0),0)</f>
        <v>138.77000000000001</v>
      </c>
      <c r="T5" s="45">
        <f>Table2[[#This Row],[cost per piece]]*Table2[[#This Row],[Total Rej. qty]]</f>
        <v>138.77000000000001</v>
      </c>
      <c r="U5" s="45">
        <f>IFERROR(VLOOKUP(Table2[[#This Row],[Non Conformance]],'[2]New defect code '!$B$2:$C$129,2,0),0)</f>
        <v>3243</v>
      </c>
      <c r="V5" s="45">
        <v>18</v>
      </c>
      <c r="W5" s="45" t="str">
        <f>IFERROR(VLOOKUP(Table2[[#This Row],[Code4]],'[2]New Reason code'!$A$2:$D$77,2,0),0)</f>
        <v>During insert change</v>
      </c>
      <c r="X5" s="45" t="str">
        <f>IFERROR(VLOOKUP(Table2[[#This Row],[Reason]],'[2]New Reason code'!$B$2:$D$77,2,0),0)</f>
        <v xml:space="preserve">Due to Settup  </v>
      </c>
      <c r="Y5" s="45" t="str">
        <f>IFERROR(VLOOKUP(Table2[[#This Row],[Rejection Identified at]],'[2]New Reason code'!$C$2:$D$77,2,0),0)</f>
        <v>skill</v>
      </c>
    </row>
    <row r="6" spans="1:25" ht="20.25" customHeight="1">
      <c r="A6" s="60">
        <v>2</v>
      </c>
      <c r="B6" s="61">
        <v>41</v>
      </c>
      <c r="C6" s="61" t="str">
        <f>IFERROR(VLOOKUP(Table2[[#This Row],[Code]],'[2]New Machine sheet'!$A$1:$D$101,2,0),0)</f>
        <v>252-03</v>
      </c>
      <c r="D6" s="61" t="str">
        <f>IFERROR(VLOOKUP(Table2[[#This Row],[M/c No]],'[2]New Machine sheet'!$B$1:$D$101,2,0),0)</f>
        <v>VMC</v>
      </c>
      <c r="E6" s="61" t="str">
        <f>IFERROR(VLOOKUP(Table2[[#This Row],[M/c Name]],'[2]New Machine sheet'!$C$1:$D$101,2,0),0)</f>
        <v>VMC</v>
      </c>
      <c r="F6" s="61">
        <v>77</v>
      </c>
      <c r="G6" s="61">
        <f>IFERROR(VLOOKUP(Table2[[#This Row],[Code2]],'[2]New Machine sheet'!$F$2:$I$64,2,),0)</f>
        <v>2477</v>
      </c>
      <c r="H6" s="61" t="str">
        <f>IFERROR(VLOOKUP(Table2[[#This Row],[Code2]],'[2]New Machine sheet'!$F$2:$I$64,3,0),0)</f>
        <v>RE P1</v>
      </c>
      <c r="I6" s="61" t="s">
        <v>119</v>
      </c>
      <c r="J6" s="61">
        <v>72</v>
      </c>
      <c r="K6" s="61" t="str">
        <f>IFERROR(VLOOKUP(Table2[[#This Row],[Code3]],'[2]New defect code '!$A$2:$D$129,2,0),0)</f>
        <v xml:space="preserve">PG No Go pass </v>
      </c>
      <c r="L6" s="45" t="s">
        <v>114</v>
      </c>
      <c r="M6" s="56">
        <v>46266</v>
      </c>
      <c r="N6" s="61">
        <v>1</v>
      </c>
      <c r="O6" s="61"/>
      <c r="P6" s="61"/>
      <c r="Q6" s="61"/>
      <c r="R6" s="61">
        <f>SUBTOTAL(9,Table2[[#This Row],[1st]:[FQC]])</f>
        <v>1</v>
      </c>
      <c r="S6" s="61">
        <f>IFERROR(VLOOKUP(Table2[[#This Row],[Part No.]],'[2]New Machine sheet'!$G$2:$I$90,3,0),0)</f>
        <v>79.064999999999998</v>
      </c>
      <c r="T6" s="61">
        <f>Table2[[#This Row],[cost per piece]]*Table2[[#This Row],[Total Rej. qty]]</f>
        <v>79.064999999999998</v>
      </c>
      <c r="U6" s="61">
        <f>IFERROR(VLOOKUP(Table2[[#This Row],[Non Conformance]],'[2]New defect code '!$B$2:$C$129,2,0),0)</f>
        <v>0</v>
      </c>
      <c r="V6" s="61">
        <v>21</v>
      </c>
      <c r="W6" s="61" t="str">
        <f>IFERROR(VLOOKUP(Table2[[#This Row],[Code4]],'[2]New Reason code'!$A$2:$D$77,2,0),0)</f>
        <v>During setup time</v>
      </c>
      <c r="X6" s="61" t="str">
        <f>IFERROR(VLOOKUP(Table2[[#This Row],[Reason]],'[2]New Reason code'!$B$2:$D$77,2,0),0)</f>
        <v xml:space="preserve">Due to Settup  </v>
      </c>
      <c r="Y6" s="61" t="str">
        <f>IFERROR(VLOOKUP(Table2[[#This Row],[Rejection Identified at]],'[2]New Reason code'!$C$2:$D$77,2,0),0)</f>
        <v>skill</v>
      </c>
    </row>
    <row r="7" spans="1:25" ht="20.25" customHeight="1">
      <c r="A7" s="60">
        <v>3</v>
      </c>
      <c r="B7" s="61"/>
      <c r="C7" s="61" t="s">
        <v>116</v>
      </c>
      <c r="D7" s="61" t="s">
        <v>117</v>
      </c>
      <c r="E7" s="61" t="str">
        <f>IFERROR(VLOOKUP(Table2[[#This Row],[M/c Name]],'[2]New Machine sheet'!$C$1:$D$101,2,0),0)</f>
        <v>Turning</v>
      </c>
      <c r="F7" s="61">
        <v>127</v>
      </c>
      <c r="G7" s="61">
        <f>IFERROR(VLOOKUP(Table2[[#This Row],[Code2]],'[2]New Machine sheet'!$F$2:$I$64,2,),0)</f>
        <v>24127</v>
      </c>
      <c r="H7" s="61" t="str">
        <f>IFERROR(VLOOKUP(Table2[[#This Row],[Code2]],'[2]New Machine sheet'!$F$2:$I$64,3,0),0)</f>
        <v>RE J1</v>
      </c>
      <c r="I7" s="61" t="s">
        <v>120</v>
      </c>
      <c r="J7" s="61">
        <v>40</v>
      </c>
      <c r="K7" s="61" t="str">
        <f>IFERROR(VLOOKUP(Table2[[#This Row],[Code3]],'[2]New defect code '!$A$2:$D$129,2,0),0)</f>
        <v>FACE Damage</v>
      </c>
      <c r="L7" s="45" t="s">
        <v>114</v>
      </c>
      <c r="M7" s="56">
        <v>46266</v>
      </c>
      <c r="N7" s="61">
        <v>1</v>
      </c>
      <c r="O7" s="61"/>
      <c r="P7" s="61"/>
      <c r="Q7" s="61"/>
      <c r="R7" s="61">
        <f>SUBTOTAL(9,Table2[[#This Row],[1st]:[FQC]])</f>
        <v>1</v>
      </c>
      <c r="S7" s="61">
        <f>IFERROR(VLOOKUP(Table2[[#This Row],[Part No.]],'[2]New Machine sheet'!$G$2:$I$90,3,0),0)</f>
        <v>262.81200000000001</v>
      </c>
      <c r="T7" s="61">
        <f>Table2[[#This Row],[cost per piece]]*Table2[[#This Row],[Total Rej. qty]]</f>
        <v>262.81200000000001</v>
      </c>
      <c r="U7" s="61">
        <f>IFERROR(VLOOKUP(Table2[[#This Row],[Non Conformance]],'[2]New defect code '!$B$2:$C$129,2,0),0)</f>
        <v>3229</v>
      </c>
      <c r="V7" s="61">
        <v>30</v>
      </c>
      <c r="W7" s="61" t="str">
        <f>IFERROR(VLOOKUP(Table2[[#This Row],[Code4]],'[2]New Reason code'!$A$2:$D$77,2,0),0)</f>
        <v>M/C Accident</v>
      </c>
      <c r="X7" s="61" t="str">
        <f>IFERROR(VLOOKUP(Table2[[#This Row],[Reason]],'[2]New Reason code'!$B$2:$D$77,2,0),0)</f>
        <v xml:space="preserve">Due to machine </v>
      </c>
      <c r="Y7" s="61" t="str">
        <f>IFERROR(VLOOKUP(Table2[[#This Row],[Rejection Identified at]],'[2]New Reason code'!$C$2:$D$77,2,0),0)</f>
        <v>process</v>
      </c>
    </row>
    <row r="8" spans="1:25" ht="20.25" customHeight="1">
      <c r="A8" s="50">
        <v>4</v>
      </c>
      <c r="B8" s="61">
        <v>15</v>
      </c>
      <c r="C8" s="61" t="str">
        <f>IFERROR(VLOOKUP(Table2[[#This Row],[Code]],'[2]New Machine sheet'!$A$1:$D$101,2,0),0)</f>
        <v>282-15</v>
      </c>
      <c r="D8" s="61" t="str">
        <f>IFERROR(VLOOKUP(Table2[[#This Row],[M/c No]],'[2]New Machine sheet'!$B$1:$D$101,2,0),0)</f>
        <v>Mazak</v>
      </c>
      <c r="E8" s="61" t="str">
        <f>IFERROR(VLOOKUP(Table2[[#This Row],[M/c Name]],'[2]New Machine sheet'!$C$1:$D$101,2,0),0)</f>
        <v>Turning</v>
      </c>
      <c r="F8" s="61">
        <v>127</v>
      </c>
      <c r="G8" s="61">
        <f>IFERROR(VLOOKUP(Table2[[#This Row],[Code2]],'[2]New Machine sheet'!$F$2:$I$64,2,),0)</f>
        <v>24127</v>
      </c>
      <c r="H8" s="61" t="str">
        <f>IFERROR(VLOOKUP(Table2[[#This Row],[Code2]],'[2]New Machine sheet'!$F$2:$I$64,3,0),0)</f>
        <v>RE J1</v>
      </c>
      <c r="I8" s="61" t="s">
        <v>121</v>
      </c>
      <c r="J8" s="61">
        <v>93</v>
      </c>
      <c r="K8" s="61" t="str">
        <f>IFERROR(VLOOKUP(Table2[[#This Row],[Code3]],'[2]New defect code '!$A$2:$D$129,2,0),0)</f>
        <v>Thickness Under size</v>
      </c>
      <c r="L8" s="45" t="s">
        <v>114</v>
      </c>
      <c r="M8" s="56">
        <v>46266</v>
      </c>
      <c r="N8" s="61">
        <v>2</v>
      </c>
      <c r="O8" s="61"/>
      <c r="P8" s="61"/>
      <c r="Q8" s="61"/>
      <c r="R8" s="61">
        <f>SUBTOTAL(9,Table2[[#This Row],[1st]:[FQC]])</f>
        <v>2</v>
      </c>
      <c r="S8" s="61">
        <f>IFERROR(VLOOKUP(Table2[[#This Row],[Part No.]],'[2]New Machine sheet'!$G$2:$I$90,3,0),0)</f>
        <v>262.81200000000001</v>
      </c>
      <c r="T8" s="61">
        <f>Table2[[#This Row],[cost per piece]]*Table2[[#This Row],[Total Rej. qty]]</f>
        <v>525.62400000000002</v>
      </c>
      <c r="U8" s="61">
        <f>IFERROR(VLOOKUP(Table2[[#This Row],[Non Conformance]],'[2]New defect code '!$B$2:$C$129,2,0),0)</f>
        <v>3258</v>
      </c>
      <c r="V8" s="61">
        <v>18</v>
      </c>
      <c r="W8" s="61" t="str">
        <f>IFERROR(VLOOKUP(Table2[[#This Row],[Code4]],'[2]New Reason code'!$A$2:$D$77,2,0),0)</f>
        <v>During insert change</v>
      </c>
      <c r="X8" s="61" t="str">
        <f>IFERROR(VLOOKUP(Table2[[#This Row],[Reason]],'[2]New Reason code'!$B$2:$D$77,2,0),0)</f>
        <v xml:space="preserve">Due to Settup  </v>
      </c>
      <c r="Y8" s="61" t="str">
        <f>IFERROR(VLOOKUP(Table2[[#This Row],[Rejection Identified at]],'[2]New Reason code'!$C$2:$D$77,2,0),0)</f>
        <v>skill</v>
      </c>
    </row>
    <row r="9" spans="1:25" ht="20.25" customHeight="1">
      <c r="A9" s="60">
        <v>5</v>
      </c>
      <c r="B9" s="61">
        <v>15</v>
      </c>
      <c r="C9" s="61" t="str">
        <f>IFERROR(VLOOKUP(Table2[[#This Row],[Code]],'[2]New Machine sheet'!$A$1:$D$101,2,0),0)</f>
        <v>282-15</v>
      </c>
      <c r="D9" s="61" t="str">
        <f>IFERROR(VLOOKUP(Table2[[#This Row],[M/c No]],'[2]New Machine sheet'!$B$1:$D$101,2,0),0)</f>
        <v>Mazak</v>
      </c>
      <c r="E9" s="61" t="str">
        <f>IFERROR(VLOOKUP(Table2[[#This Row],[M/c Name]],'[2]New Machine sheet'!$C$1:$D$101,2,0),0)</f>
        <v>Turning</v>
      </c>
      <c r="F9" s="61">
        <v>187</v>
      </c>
      <c r="G9" s="61">
        <f>IFERROR(VLOOKUP(Table2[[#This Row],[Code2]],'[2]New Machine sheet'!$F$2:$I$64,2,),0)</f>
        <v>24187</v>
      </c>
      <c r="H9" s="61" t="str">
        <f>IFERROR(VLOOKUP(Table2[[#This Row],[Code2]],'[2]New Machine sheet'!$F$2:$I$64,3,0),0)</f>
        <v>RE Bush</v>
      </c>
      <c r="I9" s="61" t="s">
        <v>121</v>
      </c>
      <c r="J9" s="61">
        <v>21</v>
      </c>
      <c r="K9" s="61" t="str">
        <f>IFERROR(VLOOKUP(Table2[[#This Row],[Code3]],'[2]New defect code '!$A$2:$D$129,2,0),0)</f>
        <v>Bush Reject of defective part</v>
      </c>
      <c r="L9" s="45" t="s">
        <v>114</v>
      </c>
      <c r="M9" s="56">
        <v>46266</v>
      </c>
      <c r="N9" s="61">
        <v>2</v>
      </c>
      <c r="O9" s="61"/>
      <c r="P9" s="61"/>
      <c r="Q9" s="61"/>
      <c r="R9" s="61">
        <f>SUBTOTAL(9,Table2[[#This Row],[1st]:[FQC]])</f>
        <v>2</v>
      </c>
      <c r="S9" s="61">
        <f>IFERROR(VLOOKUP(Table2[[#This Row],[Part No.]],'[2]New Machine sheet'!$G$2:$I$90,3,0),0)</f>
        <v>21.77</v>
      </c>
      <c r="T9" s="61">
        <f>Table2[[#This Row],[cost per piece]]*Table2[[#This Row],[Total Rej. qty]]</f>
        <v>43.54</v>
      </c>
      <c r="U9" s="61">
        <f>IFERROR(VLOOKUP(Table2[[#This Row],[Non Conformance]],'[2]New defect code '!$B$2:$C$129,2,0),0)</f>
        <v>0</v>
      </c>
      <c r="V9" s="61">
        <v>6</v>
      </c>
      <c r="W9" s="61" t="str">
        <f>IFERROR(VLOOKUP(Table2[[#This Row],[Code4]],'[2]New Reason code'!$A$2:$D$77,2,0),0)</f>
        <v>bush will not use again</v>
      </c>
      <c r="X9" s="61" t="str">
        <f>IFERROR(VLOOKUP(Table2[[#This Row],[Reason]],'[2]New Reason code'!$B$2:$D$77,2,0),0)</f>
        <v>Prod Declared</v>
      </c>
      <c r="Y9" s="61" t="str">
        <f>IFERROR(VLOOKUP(Table2[[#This Row],[Rejection Identified at]],'[2]New Reason code'!$C$2:$D$77,2,0),0)</f>
        <v>Process Issue</v>
      </c>
    </row>
    <row r="10" spans="1:25" ht="20.25" customHeight="1">
      <c r="A10" s="60">
        <v>6</v>
      </c>
      <c r="B10" s="61">
        <v>40</v>
      </c>
      <c r="C10" s="61" t="str">
        <f>IFERROR(VLOOKUP(Table2[[#This Row],[Code]],'[2]New Machine sheet'!$A$1:$D$101,2,0),0)</f>
        <v>ACE-20</v>
      </c>
      <c r="D10" s="61" t="str">
        <f>IFERROR(VLOOKUP(Table2[[#This Row],[M/c No]],'[2]New Machine sheet'!$B$1:$D$101,2,0),0)</f>
        <v>Micromatic</v>
      </c>
      <c r="E10" s="61" t="str">
        <f>IFERROR(VLOOKUP(Table2[[#This Row],[M/c Name]],'[2]New Machine sheet'!$C$1:$D$101,2,0),0)</f>
        <v>Turning</v>
      </c>
      <c r="F10" s="61">
        <v>122</v>
      </c>
      <c r="G10" s="61">
        <f>IFERROR(VLOOKUP(Table2[[#This Row],[Code2]],'[2]New Machine sheet'!$F$2:$I$64,2,),0)</f>
        <v>24122</v>
      </c>
      <c r="H10" s="61" t="str">
        <f>IFERROR(VLOOKUP(Table2[[#This Row],[Code2]],'[2]New Machine sheet'!$F$2:$I$64,3,0),0)</f>
        <v>RE J1</v>
      </c>
      <c r="I10" s="61" t="s">
        <v>121</v>
      </c>
      <c r="J10" s="61">
        <v>93</v>
      </c>
      <c r="K10" s="61" t="str">
        <f>IFERROR(VLOOKUP(Table2[[#This Row],[Code3]],'[2]New defect code '!$A$2:$D$129,2,0),0)</f>
        <v>Thickness Under size</v>
      </c>
      <c r="L10" s="45" t="s">
        <v>114</v>
      </c>
      <c r="M10" s="56">
        <v>46266</v>
      </c>
      <c r="N10" s="61">
        <v>1</v>
      </c>
      <c r="O10" s="61"/>
      <c r="P10" s="61"/>
      <c r="Q10" s="61"/>
      <c r="R10" s="61">
        <f>SUBTOTAL(9,Table2[[#This Row],[1st]:[FQC]])</f>
        <v>1</v>
      </c>
      <c r="S10" s="61">
        <f>IFERROR(VLOOKUP(Table2[[#This Row],[Part No.]],'[2]New Machine sheet'!$G$2:$I$90,3,0),0)</f>
        <v>335.39977528089889</v>
      </c>
      <c r="T10" s="61">
        <f>Table2[[#This Row],[cost per piece]]*Table2[[#This Row],[Total Rej. qty]]</f>
        <v>335.39977528089889</v>
      </c>
      <c r="U10" s="61">
        <f>IFERROR(VLOOKUP(Table2[[#This Row],[Non Conformance]],'[2]New defect code '!$B$2:$C$129,2,0),0)</f>
        <v>3258</v>
      </c>
      <c r="V10" s="61">
        <v>18</v>
      </c>
      <c r="W10" s="61" t="str">
        <f>IFERROR(VLOOKUP(Table2[[#This Row],[Code4]],'[2]New Reason code'!$A$2:$D$77,2,0),0)</f>
        <v>During insert change</v>
      </c>
      <c r="X10" s="61" t="str">
        <f>IFERROR(VLOOKUP(Table2[[#This Row],[Reason]],'[2]New Reason code'!$B$2:$D$77,2,0),0)</f>
        <v xml:space="preserve">Due to Settup  </v>
      </c>
      <c r="Y10" s="61" t="str">
        <f>IFERROR(VLOOKUP(Table2[[#This Row],[Rejection Identified at]],'[2]New Reason code'!$C$2:$D$77,2,0),0)</f>
        <v>skill</v>
      </c>
    </row>
    <row r="11" spans="1:25" ht="20.25" customHeight="1">
      <c r="A11" s="50">
        <v>7</v>
      </c>
      <c r="B11" s="61">
        <v>43</v>
      </c>
      <c r="C11" s="61" t="str">
        <f>IFERROR(VLOOKUP(Table2[[#This Row],[Code]],'[2]New Machine sheet'!$A$1:$D$101,2,0),0)</f>
        <v>252-05</v>
      </c>
      <c r="D11" s="61" t="str">
        <f>IFERROR(VLOOKUP(Table2[[#This Row],[M/c No]],'[2]New Machine sheet'!$B$1:$D$101,2,0),0)</f>
        <v>VMC</v>
      </c>
      <c r="E11" s="61" t="str">
        <f>IFERROR(VLOOKUP(Table2[[#This Row],[M/c Name]],'[2]New Machine sheet'!$C$1:$D$101,2,0),0)</f>
        <v>VMC</v>
      </c>
      <c r="F11" s="61">
        <v>155</v>
      </c>
      <c r="G11" s="61">
        <f>IFERROR(VLOOKUP(Table2[[#This Row],[Code2]],'[2]New Machine sheet'!$F$2:$I$64,2,),0)</f>
        <v>24155</v>
      </c>
      <c r="H11" s="61" t="str">
        <f>IFERROR(VLOOKUP(Table2[[#This Row],[Code2]],'[2]New Machine sheet'!$F$2:$I$64,3,0),0)</f>
        <v>RE J1</v>
      </c>
      <c r="I11" s="61" t="s">
        <v>122</v>
      </c>
      <c r="J11" s="61">
        <v>34</v>
      </c>
      <c r="K11" s="61" t="str">
        <f>IFERROR(VLOOKUP(Table2[[#This Row],[Code3]],'[2]New defect code '!$A$2:$D$129,2,0),0)</f>
        <v>Dowel hole not ok</v>
      </c>
      <c r="L11" s="45" t="s">
        <v>114</v>
      </c>
      <c r="M11" s="56">
        <v>46266</v>
      </c>
      <c r="N11" s="61">
        <v>2</v>
      </c>
      <c r="O11" s="61"/>
      <c r="P11" s="61"/>
      <c r="Q11" s="61"/>
      <c r="R11" s="61">
        <f>SUBTOTAL(9,Table2[[#This Row],[1st]:[FQC]])</f>
        <v>2</v>
      </c>
      <c r="S11" s="61">
        <f>IFERROR(VLOOKUP(Table2[[#This Row],[Part No.]],'[2]New Machine sheet'!$G$2:$I$90,3,0),0)</f>
        <v>107.67</v>
      </c>
      <c r="T11" s="61">
        <f>Table2[[#This Row],[cost per piece]]*Table2[[#This Row],[Total Rej. qty]]</f>
        <v>215.34</v>
      </c>
      <c r="U11" s="61">
        <f>IFERROR(VLOOKUP(Table2[[#This Row],[Non Conformance]],'[2]New defect code '!$B$2:$C$129,2,0),0)</f>
        <v>3221</v>
      </c>
      <c r="V11" s="61">
        <v>66</v>
      </c>
      <c r="W11" s="61" t="str">
        <f>IFERROR(VLOOKUP(Table2[[#This Row],[Code4]],'[2]New Reason code'!$A$2:$D$77,2,0),0)</f>
        <v>Wrong Loading</v>
      </c>
      <c r="X11" s="61" t="str">
        <f>IFERROR(VLOOKUP(Table2[[#This Row],[Reason]],'[2]New Reason code'!$B$2:$D$77,2,0),0)</f>
        <v>Due to operator</v>
      </c>
      <c r="Y11" s="61" t="str">
        <f>IFERROR(VLOOKUP(Table2[[#This Row],[Rejection Identified at]],'[2]New Reason code'!$C$2:$D$77,2,0),0)</f>
        <v xml:space="preserve">infrastructure </v>
      </c>
    </row>
    <row r="12" spans="1:25" ht="20.25" customHeight="1">
      <c r="A12" s="60">
        <v>8</v>
      </c>
      <c r="B12" s="61">
        <v>4</v>
      </c>
      <c r="C12" s="61" t="str">
        <f>IFERROR(VLOOKUP(Table2[[#This Row],[Code]],'[2]New Machine sheet'!$A$1:$D$101,2,0),0)</f>
        <v>282-04</v>
      </c>
      <c r="D12" s="61" t="str">
        <f>IFERROR(VLOOKUP(Table2[[#This Row],[M/c No]],'[2]New Machine sheet'!$B$1:$D$101,2,0),0)</f>
        <v>Mazak</v>
      </c>
      <c r="E12" s="61" t="str">
        <f>IFERROR(VLOOKUP(Table2[[#This Row],[M/c Name]],'[2]New Machine sheet'!$C$1:$D$101,2,0),0)</f>
        <v>Turning</v>
      </c>
      <c r="F12" s="61">
        <v>155</v>
      </c>
      <c r="G12" s="61">
        <f>IFERROR(VLOOKUP(Table2[[#This Row],[Code2]],'[2]New Machine sheet'!$F$2:$I$64,2,),0)</f>
        <v>24155</v>
      </c>
      <c r="H12" s="61" t="str">
        <f>IFERROR(VLOOKUP(Table2[[#This Row],[Code2]],'[2]New Machine sheet'!$F$2:$I$64,3,0),0)</f>
        <v>RE J1</v>
      </c>
      <c r="I12" s="61" t="s">
        <v>123</v>
      </c>
      <c r="J12" s="61">
        <v>5</v>
      </c>
      <c r="K12" s="61" t="str">
        <f>IFERROR(VLOOKUP(Table2[[#This Row],[Code3]],'[2]New defect code '!$A$2:$D$129,2,0),0)</f>
        <v>Bore Over size</v>
      </c>
      <c r="L12" s="45" t="s">
        <v>114</v>
      </c>
      <c r="M12" s="56">
        <v>46266</v>
      </c>
      <c r="N12" s="61">
        <v>1</v>
      </c>
      <c r="O12" s="61"/>
      <c r="P12" s="61"/>
      <c r="Q12" s="61"/>
      <c r="R12" s="61">
        <f>SUBTOTAL(9,Table2[[#This Row],[1st]:[FQC]])</f>
        <v>1</v>
      </c>
      <c r="S12" s="61">
        <f>IFERROR(VLOOKUP(Table2[[#This Row],[Part No.]],'[2]New Machine sheet'!$G$2:$I$90,3,0),0)</f>
        <v>107.67</v>
      </c>
      <c r="T12" s="61">
        <f>Table2[[#This Row],[cost per piece]]*Table2[[#This Row],[Total Rej. qty]]</f>
        <v>107.67</v>
      </c>
      <c r="U12" s="61">
        <f>IFERROR(VLOOKUP(Table2[[#This Row],[Non Conformance]],'[2]New defect code '!$B$2:$C$129,2,0),0)</f>
        <v>3243</v>
      </c>
      <c r="V12" s="61">
        <v>12</v>
      </c>
      <c r="W12" s="61" t="str">
        <f>IFERROR(VLOOKUP(Table2[[#This Row],[Code4]],'[2]New Reason code'!$A$2:$D$77,2,0),0)</f>
        <v>Double loading</v>
      </c>
      <c r="X12" s="61" t="str">
        <f>IFERROR(VLOOKUP(Table2[[#This Row],[Reason]],'[2]New Reason code'!$B$2:$D$77,2,0),0)</f>
        <v>Due to operator</v>
      </c>
      <c r="Y12" s="61" t="str">
        <f>IFERROR(VLOOKUP(Table2[[#This Row],[Rejection Identified at]],'[2]New Reason code'!$C$2:$D$77,2,0),0)</f>
        <v xml:space="preserve">infrastructure </v>
      </c>
    </row>
    <row r="13" spans="1:25" ht="20.25" customHeight="1">
      <c r="A13" s="60">
        <v>9</v>
      </c>
      <c r="B13" s="61">
        <v>20</v>
      </c>
      <c r="C13" s="61" t="str">
        <f>IFERROR(VLOOKUP(Table2[[#This Row],[Code]],'[2]New Machine sheet'!$A$1:$D$101,2,0),0)</f>
        <v>282-20</v>
      </c>
      <c r="D13" s="61" t="str">
        <f>IFERROR(VLOOKUP(Table2[[#This Row],[M/c No]],'[2]New Machine sheet'!$B$1:$D$101,2,0),0)</f>
        <v>Mazak</v>
      </c>
      <c r="E13" s="61" t="str">
        <f>IFERROR(VLOOKUP(Table2[[#This Row],[M/c Name]],'[2]New Machine sheet'!$C$1:$D$101,2,0),0)</f>
        <v>Turning</v>
      </c>
      <c r="F13" s="61">
        <v>115</v>
      </c>
      <c r="G13" s="61">
        <f>IFERROR(VLOOKUP(Table2[[#This Row],[Code2]],'[2]New Machine sheet'!$F$2:$I$64,2,),0)</f>
        <v>24115</v>
      </c>
      <c r="H13" s="61" t="str">
        <f>IFERROR(VLOOKUP(Table2[[#This Row],[Code2]],'[2]New Machine sheet'!$F$2:$I$64,3,0),0)</f>
        <v>RE J1</v>
      </c>
      <c r="I13" s="61" t="s">
        <v>124</v>
      </c>
      <c r="J13" s="61">
        <v>5</v>
      </c>
      <c r="K13" s="61" t="str">
        <f>IFERROR(VLOOKUP(Table2[[#This Row],[Code3]],'[2]New defect code '!$A$2:$D$129,2,0),0)</f>
        <v>Bore Over size</v>
      </c>
      <c r="L13" s="45" t="s">
        <v>114</v>
      </c>
      <c r="M13" s="56">
        <v>46266</v>
      </c>
      <c r="N13" s="61">
        <v>7</v>
      </c>
      <c r="O13" s="61"/>
      <c r="P13" s="61"/>
      <c r="Q13" s="61"/>
      <c r="R13" s="61">
        <f>SUBTOTAL(9,Table2[[#This Row],[1st]:[FQC]])</f>
        <v>7</v>
      </c>
      <c r="S13" s="61">
        <f>IFERROR(VLOOKUP(Table2[[#This Row],[Part No.]],'[2]New Machine sheet'!$G$2:$I$90,3,0),0)</f>
        <v>66.900000000000006</v>
      </c>
      <c r="T13" s="61">
        <f>Table2[[#This Row],[cost per piece]]*Table2[[#This Row],[Total Rej. qty]]</f>
        <v>468.30000000000007</v>
      </c>
      <c r="U13" s="61">
        <f>IFERROR(VLOOKUP(Table2[[#This Row],[Non Conformance]],'[2]New defect code '!$B$2:$C$129,2,0),0)</f>
        <v>3243</v>
      </c>
      <c r="V13" s="61">
        <v>70</v>
      </c>
      <c r="W13" s="61" t="str">
        <f>IFERROR(VLOOKUP(Table2[[#This Row],[Code4]],'[2]New Reason code'!$A$2:$D$77,2,0),0)</f>
        <v>Insert Wear Out</v>
      </c>
      <c r="X13" s="61" t="str">
        <f>IFERROR(VLOOKUP(Table2[[#This Row],[Reason]],'[2]New Reason code'!$B$2:$D$77,2,0),0)</f>
        <v>Line audit</v>
      </c>
      <c r="Y13" s="61" t="str">
        <f>IFERROR(VLOOKUP(Table2[[#This Row],[Rejection Identified at]],'[2]New Reason code'!$C$2:$D$77,2,0),0)</f>
        <v>Process Issue</v>
      </c>
    </row>
    <row r="14" spans="1:25" ht="20.25" customHeight="1">
      <c r="A14" s="50">
        <v>10</v>
      </c>
      <c r="B14" s="61">
        <v>5</v>
      </c>
      <c r="C14" s="61" t="str">
        <f>IFERROR(VLOOKUP(Table2[[#This Row],[Code]],'[2]New Machine sheet'!$A$1:$D$101,2,0),0)</f>
        <v>282-05</v>
      </c>
      <c r="D14" s="61" t="str">
        <f>IFERROR(VLOOKUP(Table2[[#This Row],[M/c No]],'[2]New Machine sheet'!$B$1:$D$101,2,0),0)</f>
        <v>Mazak</v>
      </c>
      <c r="E14" s="61" t="str">
        <f>IFERROR(VLOOKUP(Table2[[#This Row],[M/c Name]],'[2]New Machine sheet'!$C$1:$D$101,2,0),0)</f>
        <v>Turning</v>
      </c>
      <c r="F14" s="61">
        <v>119</v>
      </c>
      <c r="G14" s="61">
        <f>IFERROR(VLOOKUP(Table2[[#This Row],[Code2]],'[2]New Machine sheet'!$F$2:$I$64,2,),0)</f>
        <v>24119</v>
      </c>
      <c r="H14" s="61" t="str">
        <f>IFERROR(VLOOKUP(Table2[[#This Row],[Code2]],'[2]New Machine sheet'!$F$2:$I$64,3,0),0)</f>
        <v>RE J1</v>
      </c>
      <c r="I14" s="61" t="s">
        <v>125</v>
      </c>
      <c r="J14" s="61">
        <v>5</v>
      </c>
      <c r="K14" s="61" t="str">
        <f>IFERROR(VLOOKUP(Table2[[#This Row],[Code3]],'[2]New defect code '!$A$2:$D$129,2,0),0)</f>
        <v>Bore Over size</v>
      </c>
      <c r="L14" s="45" t="s">
        <v>114</v>
      </c>
      <c r="M14" s="56">
        <v>46266</v>
      </c>
      <c r="N14" s="61">
        <v>2</v>
      </c>
      <c r="O14" s="61"/>
      <c r="P14" s="61"/>
      <c r="Q14" s="61"/>
      <c r="R14" s="61">
        <f>SUBTOTAL(9,Table2[[#This Row],[1st]:[FQC]])</f>
        <v>2</v>
      </c>
      <c r="S14" s="61">
        <f>IFERROR(VLOOKUP(Table2[[#This Row],[Part No.]],'[2]New Machine sheet'!$G$2:$I$90,3,0),0)</f>
        <v>103.2</v>
      </c>
      <c r="T14" s="61">
        <f>Table2[[#This Row],[cost per piece]]*Table2[[#This Row],[Total Rej. qty]]</f>
        <v>206.4</v>
      </c>
      <c r="U14" s="61">
        <f>IFERROR(VLOOKUP(Table2[[#This Row],[Non Conformance]],'[2]New defect code '!$B$2:$C$129,2,0),0)</f>
        <v>3243</v>
      </c>
      <c r="V14" s="61">
        <v>18</v>
      </c>
      <c r="W14" s="61" t="str">
        <f>IFERROR(VLOOKUP(Table2[[#This Row],[Code4]],'[2]New Reason code'!$A$2:$D$77,2,0),0)</f>
        <v>During insert change</v>
      </c>
      <c r="X14" s="61" t="str">
        <f>IFERROR(VLOOKUP(Table2[[#This Row],[Reason]],'[2]New Reason code'!$B$2:$D$77,2,0),0)</f>
        <v xml:space="preserve">Due to Settup  </v>
      </c>
      <c r="Y14" s="61" t="str">
        <f>IFERROR(VLOOKUP(Table2[[#This Row],[Rejection Identified at]],'[2]New Reason code'!$C$2:$D$77,2,0),0)</f>
        <v>skill</v>
      </c>
    </row>
    <row r="15" spans="1:25" ht="20.25" customHeight="1">
      <c r="A15" s="60">
        <v>11</v>
      </c>
      <c r="B15" s="61">
        <v>8</v>
      </c>
      <c r="C15" s="61" t="str">
        <f>IFERROR(VLOOKUP(Table2[[#This Row],[Code]],'[2]New Machine sheet'!$A$1:$D$101,2,0),0)</f>
        <v>282-08</v>
      </c>
      <c r="D15" s="61" t="str">
        <f>IFERROR(VLOOKUP(Table2[[#This Row],[M/c No]],'[2]New Machine sheet'!$B$1:$D$101,2,0),0)</f>
        <v>Mazak</v>
      </c>
      <c r="E15" s="61" t="str">
        <f>IFERROR(VLOOKUP(Table2[[#This Row],[M/c Name]],'[2]New Machine sheet'!$C$1:$D$101,2,0),0)</f>
        <v>Turning</v>
      </c>
      <c r="F15" s="61">
        <v>117</v>
      </c>
      <c r="G15" s="61">
        <f>IFERROR(VLOOKUP(Table2[[#This Row],[Code2]],'[2]New Machine sheet'!$F$2:$I$64,2,),0)</f>
        <v>24117</v>
      </c>
      <c r="H15" s="61" t="str">
        <f>IFERROR(VLOOKUP(Table2[[#This Row],[Code2]],'[2]New Machine sheet'!$F$2:$I$64,3,0),0)</f>
        <v>RE J1</v>
      </c>
      <c r="I15" s="61" t="s">
        <v>126</v>
      </c>
      <c r="J15" s="61">
        <v>5</v>
      </c>
      <c r="K15" s="61" t="str">
        <f>IFERROR(VLOOKUP(Table2[[#This Row],[Code3]],'[2]New defect code '!$A$2:$D$129,2,0),0)</f>
        <v>Bore Over size</v>
      </c>
      <c r="L15" s="45" t="s">
        <v>114</v>
      </c>
      <c r="M15" s="56">
        <v>46266</v>
      </c>
      <c r="N15" s="61">
        <v>1</v>
      </c>
      <c r="O15" s="61"/>
      <c r="P15" s="61"/>
      <c r="Q15" s="61"/>
      <c r="R15" s="61">
        <f>SUBTOTAL(9,Table2[[#This Row],[1st]:[FQC]])</f>
        <v>1</v>
      </c>
      <c r="S15" s="61">
        <f>IFERROR(VLOOKUP(Table2[[#This Row],[Part No.]],'[2]New Machine sheet'!$G$2:$I$90,3,0),0)</f>
        <v>111.97</v>
      </c>
      <c r="T15" s="61">
        <f>Table2[[#This Row],[cost per piece]]*Table2[[#This Row],[Total Rej. qty]]</f>
        <v>111.97</v>
      </c>
      <c r="U15" s="61">
        <f>IFERROR(VLOOKUP(Table2[[#This Row],[Non Conformance]],'[2]New defect code '!$B$2:$C$129,2,0),0)</f>
        <v>3243</v>
      </c>
      <c r="V15" s="61">
        <v>18</v>
      </c>
      <c r="W15" s="61" t="str">
        <f>IFERROR(VLOOKUP(Table2[[#This Row],[Code4]],'[2]New Reason code'!$A$2:$D$77,2,0),0)</f>
        <v>During insert change</v>
      </c>
      <c r="X15" s="61" t="str">
        <f>IFERROR(VLOOKUP(Table2[[#This Row],[Reason]],'[2]New Reason code'!$B$2:$D$77,2,0),0)</f>
        <v xml:space="preserve">Due to Settup  </v>
      </c>
      <c r="Y15" s="61" t="str">
        <f>IFERROR(VLOOKUP(Table2[[#This Row],[Rejection Identified at]],'[2]New Reason code'!$C$2:$D$77,2,0),0)</f>
        <v>skill</v>
      </c>
    </row>
    <row r="16" spans="1:25" ht="20.25" customHeight="1">
      <c r="A16" s="60">
        <v>12</v>
      </c>
      <c r="B16" s="61">
        <v>10</v>
      </c>
      <c r="C16" s="61" t="str">
        <f>IFERROR(VLOOKUP(Table2[[#This Row],[Code]],'[2]New Machine sheet'!$A$1:$D$101,2,0),0)</f>
        <v>282-10</v>
      </c>
      <c r="D16" s="61" t="str">
        <f>IFERROR(VLOOKUP(Table2[[#This Row],[M/c No]],'[2]New Machine sheet'!$B$1:$D$101,2,0),0)</f>
        <v>Mazak</v>
      </c>
      <c r="E16" s="61" t="str">
        <f>IFERROR(VLOOKUP(Table2[[#This Row],[M/c Name]],'[2]New Machine sheet'!$C$1:$D$101,2,0),0)</f>
        <v>Turning</v>
      </c>
      <c r="F16" s="61">
        <v>155</v>
      </c>
      <c r="G16" s="61">
        <f>IFERROR(VLOOKUP(Table2[[#This Row],[Code2]],'[2]New Machine sheet'!$F$2:$I$64,2,),0)</f>
        <v>24155</v>
      </c>
      <c r="H16" s="61" t="str">
        <f>IFERROR(VLOOKUP(Table2[[#This Row],[Code2]],'[2]New Machine sheet'!$F$2:$I$64,3,0),0)</f>
        <v>RE J1</v>
      </c>
      <c r="I16" s="61" t="s">
        <v>127</v>
      </c>
      <c r="J16" s="61">
        <v>5</v>
      </c>
      <c r="K16" s="61" t="str">
        <f>IFERROR(VLOOKUP(Table2[[#This Row],[Code3]],'[2]New defect code '!$A$2:$D$129,2,0),0)</f>
        <v>Bore Over size</v>
      </c>
      <c r="L16" s="45" t="s">
        <v>114</v>
      </c>
      <c r="M16" s="56">
        <v>46266</v>
      </c>
      <c r="N16" s="61">
        <v>1</v>
      </c>
      <c r="O16" s="61"/>
      <c r="P16" s="61"/>
      <c r="Q16" s="61"/>
      <c r="R16" s="61">
        <f>SUBTOTAL(9,Table2[[#This Row],[1st]:[FQC]])</f>
        <v>1</v>
      </c>
      <c r="S16" s="61">
        <f>IFERROR(VLOOKUP(Table2[[#This Row],[Part No.]],'[2]New Machine sheet'!$G$2:$I$90,3,0),0)</f>
        <v>107.67</v>
      </c>
      <c r="T16" s="61">
        <f>Table2[[#This Row],[cost per piece]]*Table2[[#This Row],[Total Rej. qty]]</f>
        <v>107.67</v>
      </c>
      <c r="U16" s="61">
        <f>IFERROR(VLOOKUP(Table2[[#This Row],[Non Conformance]],'[2]New defect code '!$B$2:$C$129,2,0),0)</f>
        <v>3243</v>
      </c>
      <c r="V16" s="61">
        <v>18</v>
      </c>
      <c r="W16" s="61" t="str">
        <f>IFERROR(VLOOKUP(Table2[[#This Row],[Code4]],'[2]New Reason code'!$A$2:$D$77,2,0),0)</f>
        <v>During insert change</v>
      </c>
      <c r="X16" s="61" t="str">
        <f>IFERROR(VLOOKUP(Table2[[#This Row],[Reason]],'[2]New Reason code'!$B$2:$D$77,2,0),0)</f>
        <v xml:space="preserve">Due to Settup  </v>
      </c>
      <c r="Y16" s="61" t="str">
        <f>IFERROR(VLOOKUP(Table2[[#This Row],[Rejection Identified at]],'[2]New Reason code'!$C$2:$D$77,2,0),0)</f>
        <v>skill</v>
      </c>
    </row>
    <row r="17" spans="1:25" ht="20.25" customHeight="1">
      <c r="A17" s="50">
        <v>13</v>
      </c>
      <c r="B17" s="61"/>
      <c r="C17" s="61" t="s">
        <v>118</v>
      </c>
      <c r="D17" s="61" t="s">
        <v>117</v>
      </c>
      <c r="E17" s="61" t="str">
        <f>IFERROR(VLOOKUP(Table2[[#This Row],[M/c Name]],'[2]New Machine sheet'!$C$1:$D$101,2,0),0)</f>
        <v>Turning</v>
      </c>
      <c r="F17" s="61">
        <v>119</v>
      </c>
      <c r="G17" s="61">
        <f>IFERROR(VLOOKUP(Table2[[#This Row],[Code2]],'[2]New Machine sheet'!$F$2:$I$64,2,),0)</f>
        <v>24119</v>
      </c>
      <c r="H17" s="61" t="str">
        <f>IFERROR(VLOOKUP(Table2[[#This Row],[Code2]],'[2]New Machine sheet'!$F$2:$I$64,3,0),0)</f>
        <v>RE J1</v>
      </c>
      <c r="I17" s="61" t="s">
        <v>123</v>
      </c>
      <c r="J17" s="61">
        <v>5</v>
      </c>
      <c r="K17" s="61" t="str">
        <f>IFERROR(VLOOKUP(Table2[[#This Row],[Code3]],'[2]New defect code '!$A$2:$D$129,2,0),0)</f>
        <v>Bore Over size</v>
      </c>
      <c r="L17" s="45" t="s">
        <v>114</v>
      </c>
      <c r="M17" s="56">
        <v>46266</v>
      </c>
      <c r="N17" s="61">
        <v>1</v>
      </c>
      <c r="O17" s="61"/>
      <c r="P17" s="61"/>
      <c r="Q17" s="61"/>
      <c r="R17" s="61">
        <f>SUBTOTAL(9,Table2[[#This Row],[1st]:[FQC]])</f>
        <v>1</v>
      </c>
      <c r="S17" s="61">
        <f>IFERROR(VLOOKUP(Table2[[#This Row],[Part No.]],'[2]New Machine sheet'!$G$2:$I$90,3,0),0)</f>
        <v>103.2</v>
      </c>
      <c r="T17" s="61">
        <f>Table2[[#This Row],[cost per piece]]*Table2[[#This Row],[Total Rej. qty]]</f>
        <v>103.2</v>
      </c>
      <c r="U17" s="61">
        <f>IFERROR(VLOOKUP(Table2[[#This Row],[Non Conformance]],'[2]New defect code '!$B$2:$C$129,2,0),0)</f>
        <v>3243</v>
      </c>
      <c r="V17" s="61">
        <v>45</v>
      </c>
      <c r="W17" s="61" t="str">
        <f>IFERROR(VLOOKUP(Table2[[#This Row],[Code4]],'[2]New Reason code'!$A$2:$D$77,2,0),0)</f>
        <v>Running m/c</v>
      </c>
      <c r="X17" s="61" t="str">
        <f>IFERROR(VLOOKUP(Table2[[#This Row],[Reason]],'[2]New Reason code'!$B$2:$D$77,2,0),0)</f>
        <v xml:space="preserve">Due to machine </v>
      </c>
      <c r="Y17" s="61" t="str">
        <f>IFERROR(VLOOKUP(Table2[[#This Row],[Rejection Identified at]],'[2]New Reason code'!$C$2:$D$77,2,0),0)</f>
        <v>process</v>
      </c>
    </row>
    <row r="18" spans="1:25" ht="20.25" customHeight="1">
      <c r="A18" s="60">
        <v>14</v>
      </c>
      <c r="B18" s="61">
        <v>21</v>
      </c>
      <c r="C18" s="61" t="str">
        <f>IFERROR(VLOOKUP(Table2[[#This Row],[Code]],'[2]New Machine sheet'!$A$1:$D$101,2,0),0)</f>
        <v>ACE-01</v>
      </c>
      <c r="D18" s="61" t="str">
        <f>IFERROR(VLOOKUP(Table2[[#This Row],[M/c No]],'[2]New Machine sheet'!$B$1:$D$101,2,0),0)</f>
        <v>Micromatic</v>
      </c>
      <c r="E18" s="61" t="str">
        <f>IFERROR(VLOOKUP(Table2[[#This Row],[M/c Name]],'[2]New Machine sheet'!$C$1:$D$101,2,0),0)</f>
        <v>Turning</v>
      </c>
      <c r="F18" s="61">
        <v>121</v>
      </c>
      <c r="G18" s="61">
        <f>IFERROR(VLOOKUP(Table2[[#This Row],[Code2]],'[2]New Machine sheet'!$F$2:$I$64,2,),0)</f>
        <v>24121</v>
      </c>
      <c r="H18" s="61" t="str">
        <f>IFERROR(VLOOKUP(Table2[[#This Row],[Code2]],'[2]New Machine sheet'!$F$2:$I$64,3,0),0)</f>
        <v>RE J1</v>
      </c>
      <c r="I18" s="61" t="s">
        <v>128</v>
      </c>
      <c r="J18" s="61">
        <v>5</v>
      </c>
      <c r="K18" s="61" t="str">
        <f>IFERROR(VLOOKUP(Table2[[#This Row],[Code3]],'[2]New defect code '!$A$2:$D$129,2,0),0)</f>
        <v>Bore Over size</v>
      </c>
      <c r="L18" s="45" t="s">
        <v>114</v>
      </c>
      <c r="M18" s="56">
        <v>46266</v>
      </c>
      <c r="N18" s="61">
        <v>1</v>
      </c>
      <c r="O18" s="61"/>
      <c r="P18" s="61"/>
      <c r="Q18" s="61"/>
      <c r="R18" s="61">
        <f>SUBTOTAL(9,Table2[[#This Row],[1st]:[FQC]])</f>
        <v>1</v>
      </c>
      <c r="S18" s="61">
        <f>IFERROR(VLOOKUP(Table2[[#This Row],[Part No.]],'[2]New Machine sheet'!$G$2:$I$90,3,0),0)</f>
        <v>135.66999999999999</v>
      </c>
      <c r="T18" s="61">
        <f>Table2[[#This Row],[cost per piece]]*Table2[[#This Row],[Total Rej. qty]]</f>
        <v>135.66999999999999</v>
      </c>
      <c r="U18" s="61">
        <f>IFERROR(VLOOKUP(Table2[[#This Row],[Non Conformance]],'[2]New defect code '!$B$2:$C$129,2,0),0)</f>
        <v>3243</v>
      </c>
      <c r="V18" s="61">
        <v>12</v>
      </c>
      <c r="W18" s="61" t="str">
        <f>IFERROR(VLOOKUP(Table2[[#This Row],[Code4]],'[2]New Reason code'!$A$2:$D$77,2,0),0)</f>
        <v>Double loading</v>
      </c>
      <c r="X18" s="61" t="str">
        <f>IFERROR(VLOOKUP(Table2[[#This Row],[Reason]],'[2]New Reason code'!$B$2:$D$77,2,0),0)</f>
        <v>Due to operator</v>
      </c>
      <c r="Y18" s="61" t="str">
        <f>IFERROR(VLOOKUP(Table2[[#This Row],[Rejection Identified at]],'[2]New Reason code'!$C$2:$D$77,2,0),0)</f>
        <v xml:space="preserve">infrastructure </v>
      </c>
    </row>
    <row r="19" spans="1:25" ht="20.25" customHeight="1">
      <c r="A19" s="60">
        <v>15</v>
      </c>
      <c r="B19" s="61">
        <v>14</v>
      </c>
      <c r="C19" s="61" t="str">
        <f>IFERROR(VLOOKUP(Table2[[#This Row],[Code]],'[2]New Machine sheet'!$A$1:$D$101,2,0),0)</f>
        <v>282-14</v>
      </c>
      <c r="D19" s="61" t="str">
        <f>IFERROR(VLOOKUP(Table2[[#This Row],[M/c No]],'[2]New Machine sheet'!$B$1:$D$101,2,0),0)</f>
        <v>Mazak</v>
      </c>
      <c r="E19" s="61" t="str">
        <f>IFERROR(VLOOKUP(Table2[[#This Row],[M/c Name]],'[2]New Machine sheet'!$C$1:$D$101,2,0),0)</f>
        <v>Turning</v>
      </c>
      <c r="F19" s="61">
        <v>155</v>
      </c>
      <c r="G19" s="61">
        <f>IFERROR(VLOOKUP(Table2[[#This Row],[Code2]],'[2]New Machine sheet'!$F$2:$I$64,2,),0)</f>
        <v>24155</v>
      </c>
      <c r="H19" s="61" t="str">
        <f>IFERROR(VLOOKUP(Table2[[#This Row],[Code2]],'[2]New Machine sheet'!$F$2:$I$64,3,0),0)</f>
        <v>RE J1</v>
      </c>
      <c r="I19" s="61" t="s">
        <v>123</v>
      </c>
      <c r="J19" s="61">
        <v>93</v>
      </c>
      <c r="K19" s="61" t="str">
        <f>IFERROR(VLOOKUP(Table2[[#This Row],[Code3]],'[2]New defect code '!$A$2:$D$129,2,0),0)</f>
        <v>Thickness Under size</v>
      </c>
      <c r="L19" s="45" t="s">
        <v>114</v>
      </c>
      <c r="M19" s="56">
        <v>46266</v>
      </c>
      <c r="N19" s="61">
        <v>1</v>
      </c>
      <c r="O19" s="61"/>
      <c r="P19" s="61"/>
      <c r="Q19" s="61"/>
      <c r="R19" s="61">
        <f>SUBTOTAL(9,Table2[[#This Row],[1st]:[FQC]])</f>
        <v>1</v>
      </c>
      <c r="S19" s="61">
        <f>IFERROR(VLOOKUP(Table2[[#This Row],[Part No.]],'[2]New Machine sheet'!$G$2:$I$90,3,0),0)</f>
        <v>107.67</v>
      </c>
      <c r="T19" s="61">
        <f>Table2[[#This Row],[cost per piece]]*Table2[[#This Row],[Total Rej. qty]]</f>
        <v>107.67</v>
      </c>
      <c r="U19" s="61">
        <f>IFERROR(VLOOKUP(Table2[[#This Row],[Non Conformance]],'[2]New defect code '!$B$2:$C$129,2,0),0)</f>
        <v>3258</v>
      </c>
      <c r="V19" s="61">
        <v>18</v>
      </c>
      <c r="W19" s="61" t="str">
        <f>IFERROR(VLOOKUP(Table2[[#This Row],[Code4]],'[2]New Reason code'!$A$2:$D$77,2,0),0)</f>
        <v>During insert change</v>
      </c>
      <c r="X19" s="61" t="str">
        <f>IFERROR(VLOOKUP(Table2[[#This Row],[Reason]],'[2]New Reason code'!$B$2:$D$77,2,0),0)</f>
        <v xml:space="preserve">Due to Settup  </v>
      </c>
      <c r="Y19" s="61" t="str">
        <f>IFERROR(VLOOKUP(Table2[[#This Row],[Rejection Identified at]],'[2]New Reason code'!$C$2:$D$77,2,0),0)</f>
        <v>skill</v>
      </c>
    </row>
    <row r="20" spans="1:25" ht="20.25" customHeight="1">
      <c r="A20" s="50">
        <v>16</v>
      </c>
      <c r="B20" s="61">
        <v>20</v>
      </c>
      <c r="C20" s="61" t="str">
        <f>IFERROR(VLOOKUP(Table2[[#This Row],[Code]],'[2]New Machine sheet'!$A$1:$D$101,2,0),0)</f>
        <v>282-20</v>
      </c>
      <c r="D20" s="61" t="str">
        <f>IFERROR(VLOOKUP(Table2[[#This Row],[M/c No]],'[2]New Machine sheet'!$B$1:$D$101,2,0),0)</f>
        <v>Mazak</v>
      </c>
      <c r="E20" s="61" t="str">
        <f>IFERROR(VLOOKUP(Table2[[#This Row],[M/c Name]],'[2]New Machine sheet'!$C$1:$D$101,2,0),0)</f>
        <v>Turning</v>
      </c>
      <c r="F20" s="61">
        <v>115</v>
      </c>
      <c r="G20" s="61">
        <f>IFERROR(VLOOKUP(Table2[[#This Row],[Code2]],'[2]New Machine sheet'!$F$2:$I$64,2,),0)</f>
        <v>24115</v>
      </c>
      <c r="H20" s="61" t="str">
        <f>IFERROR(VLOOKUP(Table2[[#This Row],[Code2]],'[2]New Machine sheet'!$F$2:$I$64,3,0),0)</f>
        <v>RE J1</v>
      </c>
      <c r="I20" s="61"/>
      <c r="J20" s="61">
        <v>5</v>
      </c>
      <c r="K20" s="61" t="str">
        <f>IFERROR(VLOOKUP(Table2[[#This Row],[Code3]],'[2]New defect code '!$A$2:$D$129,2,0),0)</f>
        <v>Bore Over size</v>
      </c>
      <c r="L20" s="45" t="s">
        <v>114</v>
      </c>
      <c r="M20" s="56">
        <v>46266</v>
      </c>
      <c r="N20" s="61">
        <v>9</v>
      </c>
      <c r="O20" s="61"/>
      <c r="P20" s="61"/>
      <c r="Q20" s="61"/>
      <c r="R20" s="61">
        <f>SUBTOTAL(9,Table2[[#This Row],[1st]:[FQC]])</f>
        <v>9</v>
      </c>
      <c r="S20" s="61">
        <f>IFERROR(VLOOKUP(Table2[[#This Row],[Part No.]],'[2]New Machine sheet'!$G$2:$I$90,3,0),0)</f>
        <v>66.900000000000006</v>
      </c>
      <c r="T20" s="61">
        <f>Table2[[#This Row],[cost per piece]]*Table2[[#This Row],[Total Rej. qty]]</f>
        <v>602.1</v>
      </c>
      <c r="U20" s="61">
        <f>IFERROR(VLOOKUP(Table2[[#This Row],[Non Conformance]],'[2]New defect code '!$B$2:$C$129,2,0),0)</f>
        <v>3243</v>
      </c>
      <c r="V20" s="61">
        <v>19</v>
      </c>
      <c r="W20" s="61" t="str">
        <f>IFERROR(VLOOKUP(Table2[[#This Row],[Code4]],'[2]New Reason code'!$A$2:$D$77,2,0),0)</f>
        <v>During Rework time</v>
      </c>
      <c r="X20" s="61" t="str">
        <f>IFERROR(VLOOKUP(Table2[[#This Row],[Reason]],'[2]New Reason code'!$B$2:$D$77,2,0),0)</f>
        <v>Due to operator</v>
      </c>
      <c r="Y20" s="61" t="str">
        <f>IFERROR(VLOOKUP(Table2[[#This Row],[Rejection Identified at]],'[2]New Reason code'!$C$2:$D$77,2,0),0)</f>
        <v xml:space="preserve">infrastructure </v>
      </c>
    </row>
    <row r="21" spans="1:25" ht="20.25" customHeight="1">
      <c r="A21" s="60">
        <v>17</v>
      </c>
      <c r="B21" s="61">
        <v>20</v>
      </c>
      <c r="C21" s="61" t="str">
        <f>IFERROR(VLOOKUP(Table2[[#This Row],[Code]],'[2]New Machine sheet'!$A$1:$D$101,2,0),0)</f>
        <v>282-20</v>
      </c>
      <c r="D21" s="61" t="str">
        <f>IFERROR(VLOOKUP(Table2[[#This Row],[M/c No]],'[2]New Machine sheet'!$B$1:$D$101,2,0),0)</f>
        <v>Mazak</v>
      </c>
      <c r="E21" s="61" t="str">
        <f>IFERROR(VLOOKUP(Table2[[#This Row],[M/c Name]],'[2]New Machine sheet'!$C$1:$D$101,2,0),0)</f>
        <v>Turning</v>
      </c>
      <c r="F21" s="61">
        <v>115</v>
      </c>
      <c r="G21" s="61">
        <f>IFERROR(VLOOKUP(Table2[[#This Row],[Code2]],'[2]New Machine sheet'!$F$2:$I$64,2,),0)</f>
        <v>24115</v>
      </c>
      <c r="H21" s="61" t="str">
        <f>IFERROR(VLOOKUP(Table2[[#This Row],[Code2]],'[2]New Machine sheet'!$F$2:$I$64,3,0),0)</f>
        <v>RE J1</v>
      </c>
      <c r="I21" s="61"/>
      <c r="J21" s="61">
        <v>93</v>
      </c>
      <c r="K21" s="61" t="str">
        <f>IFERROR(VLOOKUP(Table2[[#This Row],[Code3]],'[2]New defect code '!$A$2:$D$129,2,0),0)</f>
        <v>Thickness Under size</v>
      </c>
      <c r="L21" s="45" t="s">
        <v>114</v>
      </c>
      <c r="M21" s="56">
        <v>46266</v>
      </c>
      <c r="N21" s="61">
        <v>6</v>
      </c>
      <c r="O21" s="61"/>
      <c r="P21" s="61"/>
      <c r="Q21" s="61"/>
      <c r="R21" s="61">
        <f>SUBTOTAL(9,Table2[[#This Row],[1st]:[FQC]])</f>
        <v>6</v>
      </c>
      <c r="S21" s="61">
        <f>IFERROR(VLOOKUP(Table2[[#This Row],[Part No.]],'[2]New Machine sheet'!$G$2:$I$90,3,0),0)</f>
        <v>66.900000000000006</v>
      </c>
      <c r="T21" s="61">
        <f>Table2[[#This Row],[cost per piece]]*Table2[[#This Row],[Total Rej. qty]]</f>
        <v>401.40000000000003</v>
      </c>
      <c r="U21" s="61">
        <f>IFERROR(VLOOKUP(Table2[[#This Row],[Non Conformance]],'[2]New defect code '!$B$2:$C$129,2,0),0)</f>
        <v>3258</v>
      </c>
      <c r="V21" s="61">
        <v>19</v>
      </c>
      <c r="W21" s="61" t="str">
        <f>IFERROR(VLOOKUP(Table2[[#This Row],[Code4]],'[2]New Reason code'!$A$2:$D$77,2,0),0)</f>
        <v>During Rework time</v>
      </c>
      <c r="X21" s="61" t="str">
        <f>IFERROR(VLOOKUP(Table2[[#This Row],[Reason]],'[2]New Reason code'!$B$2:$D$77,2,0),0)</f>
        <v>Due to operator</v>
      </c>
      <c r="Y21" s="61" t="str">
        <f>IFERROR(VLOOKUP(Table2[[#This Row],[Rejection Identified at]],'[2]New Reason code'!$C$2:$D$77,2,0),0)</f>
        <v xml:space="preserve">infrastructure </v>
      </c>
    </row>
    <row r="22" spans="1:25" ht="20.25" customHeight="1">
      <c r="A22" s="60">
        <v>18</v>
      </c>
      <c r="B22" s="61">
        <v>13</v>
      </c>
      <c r="C22" s="61" t="str">
        <f>IFERROR(VLOOKUP(Table2[[#This Row],[Code]],'[2]New Machine sheet'!$A$1:$D$101,2,0),0)</f>
        <v>282-13</v>
      </c>
      <c r="D22" s="61" t="str">
        <f>IFERROR(VLOOKUP(Table2[[#This Row],[M/c No]],'[2]New Machine sheet'!$B$1:$D$101,2,0),0)</f>
        <v>Mazak</v>
      </c>
      <c r="E22" s="61" t="str">
        <f>IFERROR(VLOOKUP(Table2[[#This Row],[M/c Name]],'[2]New Machine sheet'!$C$1:$D$101,2,0),0)</f>
        <v>Turning</v>
      </c>
      <c r="F22" s="61">
        <v>113</v>
      </c>
      <c r="G22" s="61">
        <f>IFERROR(VLOOKUP(Table2[[#This Row],[Code2]],'[2]New Machine sheet'!$F$2:$I$64,2,),0)</f>
        <v>24113</v>
      </c>
      <c r="H22" s="61" t="str">
        <f>IFERROR(VLOOKUP(Table2[[#This Row],[Code2]],'[2]New Machine sheet'!$F$2:$I$64,3,0),0)</f>
        <v>RE J1</v>
      </c>
      <c r="I22" s="61" t="s">
        <v>129</v>
      </c>
      <c r="J22" s="61">
        <v>5</v>
      </c>
      <c r="K22" s="61" t="str">
        <f>IFERROR(VLOOKUP(Table2[[#This Row],[Code3]],'[2]New defect code '!$A$2:$D$129,2,0),0)</f>
        <v>Bore Over size</v>
      </c>
      <c r="L22" s="45" t="s">
        <v>114</v>
      </c>
      <c r="M22" s="56">
        <v>46266</v>
      </c>
      <c r="N22" s="61">
        <v>9</v>
      </c>
      <c r="O22" s="61"/>
      <c r="P22" s="61"/>
      <c r="Q22" s="61"/>
      <c r="R22" s="61">
        <f>SUBTOTAL(9,Table2[[#This Row],[1st]:[FQC]])</f>
        <v>9</v>
      </c>
      <c r="S22" s="61">
        <f>IFERROR(VLOOKUP(Table2[[#This Row],[Part No.]],'[2]New Machine sheet'!$G$2:$I$90,3,0),0)</f>
        <v>90</v>
      </c>
      <c r="T22" s="61">
        <f>Table2[[#This Row],[cost per piece]]*Table2[[#This Row],[Total Rej. qty]]</f>
        <v>810</v>
      </c>
      <c r="U22" s="61">
        <f>IFERROR(VLOOKUP(Table2[[#This Row],[Non Conformance]],'[2]New defect code '!$B$2:$C$129,2,0),0)</f>
        <v>3243</v>
      </c>
      <c r="V22" s="61">
        <v>19</v>
      </c>
      <c r="W22" s="61" t="str">
        <f>IFERROR(VLOOKUP(Table2[[#This Row],[Code4]],'[2]New Reason code'!$A$2:$D$77,2,0),0)</f>
        <v>During Rework time</v>
      </c>
      <c r="X22" s="61" t="str">
        <f>IFERROR(VLOOKUP(Table2[[#This Row],[Reason]],'[2]New Reason code'!$B$2:$D$77,2,0),0)</f>
        <v>Due to operator</v>
      </c>
      <c r="Y22" s="61" t="str">
        <f>IFERROR(VLOOKUP(Table2[[#This Row],[Rejection Identified at]],'[2]New Reason code'!$C$2:$D$77,2,0),0)</f>
        <v xml:space="preserve">infrastructure </v>
      </c>
    </row>
    <row r="23" spans="1:25" ht="20.25" customHeight="1">
      <c r="A23" s="50">
        <v>19</v>
      </c>
      <c r="B23" s="61">
        <v>13</v>
      </c>
      <c r="C23" s="61" t="str">
        <f>IFERROR(VLOOKUP(Table2[[#This Row],[Code]],'[2]New Machine sheet'!$A$1:$D$101,2,0),0)</f>
        <v>282-13</v>
      </c>
      <c r="D23" s="61" t="str">
        <f>IFERROR(VLOOKUP(Table2[[#This Row],[M/c No]],'[2]New Machine sheet'!$B$1:$D$101,2,0),0)</f>
        <v>Mazak</v>
      </c>
      <c r="E23" s="61" t="str">
        <f>IFERROR(VLOOKUP(Table2[[#This Row],[M/c Name]],'[2]New Machine sheet'!$C$1:$D$101,2,0),0)</f>
        <v>Turning</v>
      </c>
      <c r="F23" s="61">
        <v>113</v>
      </c>
      <c r="G23" s="61">
        <f>IFERROR(VLOOKUP(Table2[[#This Row],[Code2]],'[2]New Machine sheet'!$F$2:$I$64,2,),0)</f>
        <v>24113</v>
      </c>
      <c r="H23" s="61" t="str">
        <f>IFERROR(VLOOKUP(Table2[[#This Row],[Code2]],'[2]New Machine sheet'!$F$2:$I$64,3,0),0)</f>
        <v>RE J1</v>
      </c>
      <c r="I23" s="61" t="s">
        <v>129</v>
      </c>
      <c r="J23" s="61">
        <v>93</v>
      </c>
      <c r="K23" s="61" t="str">
        <f>IFERROR(VLOOKUP(Table2[[#This Row],[Code3]],'[2]New defect code '!$A$2:$D$129,2,0),0)</f>
        <v>Thickness Under size</v>
      </c>
      <c r="L23" s="45" t="s">
        <v>114</v>
      </c>
      <c r="M23" s="56">
        <v>46266</v>
      </c>
      <c r="N23" s="61">
        <v>8</v>
      </c>
      <c r="O23" s="61"/>
      <c r="P23" s="61"/>
      <c r="Q23" s="61"/>
      <c r="R23" s="61">
        <f>SUBTOTAL(9,Table2[[#This Row],[1st]:[FQC]])</f>
        <v>8</v>
      </c>
      <c r="S23" s="61">
        <f>IFERROR(VLOOKUP(Table2[[#This Row],[Part No.]],'[2]New Machine sheet'!$G$2:$I$90,3,0),0)</f>
        <v>90</v>
      </c>
      <c r="T23" s="61">
        <f>Table2[[#This Row],[cost per piece]]*Table2[[#This Row],[Total Rej. qty]]</f>
        <v>720</v>
      </c>
      <c r="U23" s="61">
        <f>IFERROR(VLOOKUP(Table2[[#This Row],[Non Conformance]],'[2]New defect code '!$B$2:$C$129,2,0),0)</f>
        <v>3258</v>
      </c>
      <c r="V23" s="61">
        <v>19</v>
      </c>
      <c r="W23" s="61" t="str">
        <f>IFERROR(VLOOKUP(Table2[[#This Row],[Code4]],'[2]New Reason code'!$A$2:$D$77,2,0),0)</f>
        <v>During Rework time</v>
      </c>
      <c r="X23" s="61" t="str">
        <f>IFERROR(VLOOKUP(Table2[[#This Row],[Reason]],'[2]New Reason code'!$B$2:$D$77,2,0),0)</f>
        <v>Due to operator</v>
      </c>
      <c r="Y23" s="61" t="str">
        <f>IFERROR(VLOOKUP(Table2[[#This Row],[Rejection Identified at]],'[2]New Reason code'!$C$2:$D$77,2,0),0)</f>
        <v xml:space="preserve">infrastructure </v>
      </c>
    </row>
    <row r="24" spans="1:25" ht="20.25" customHeight="1">
      <c r="A24" s="60">
        <v>20</v>
      </c>
      <c r="B24" s="61">
        <v>21</v>
      </c>
      <c r="C24" s="61" t="str">
        <f>IFERROR(VLOOKUP(Table2[[#This Row],[Code]],'[2]New Machine sheet'!$A$1:$D$101,2,0),0)</f>
        <v>ACE-01</v>
      </c>
      <c r="D24" s="61" t="str">
        <f>IFERROR(VLOOKUP(Table2[[#This Row],[M/c No]],'[2]New Machine sheet'!$B$1:$D$101,2,0),0)</f>
        <v>Micromatic</v>
      </c>
      <c r="E24" s="61" t="str">
        <f>IFERROR(VLOOKUP(Table2[[#This Row],[M/c Name]],'[2]New Machine sheet'!$C$1:$D$101,2,0),0)</f>
        <v>Turning</v>
      </c>
      <c r="F24" s="61">
        <v>121</v>
      </c>
      <c r="G24" s="61">
        <f>IFERROR(VLOOKUP(Table2[[#This Row],[Code2]],'[2]New Machine sheet'!$F$2:$I$64,2,),0)</f>
        <v>24121</v>
      </c>
      <c r="H24" s="61" t="str">
        <f>IFERROR(VLOOKUP(Table2[[#This Row],[Code2]],'[2]New Machine sheet'!$F$2:$I$64,3,0),0)</f>
        <v>RE J1</v>
      </c>
      <c r="I24" s="61"/>
      <c r="J24" s="61">
        <v>5</v>
      </c>
      <c r="K24" s="61" t="str">
        <f>IFERROR(VLOOKUP(Table2[[#This Row],[Code3]],'[2]New defect code '!$A$2:$D$129,2,0),0)</f>
        <v>Bore Over size</v>
      </c>
      <c r="L24" s="45" t="s">
        <v>114</v>
      </c>
      <c r="M24" s="56">
        <v>46266</v>
      </c>
      <c r="N24" s="61">
        <v>3</v>
      </c>
      <c r="O24" s="61"/>
      <c r="P24" s="61"/>
      <c r="Q24" s="61"/>
      <c r="R24" s="61">
        <f>SUBTOTAL(9,Table2[[#This Row],[1st]:[FQC]])</f>
        <v>3</v>
      </c>
      <c r="S24" s="61">
        <f>IFERROR(VLOOKUP(Table2[[#This Row],[Part No.]],'[2]New Machine sheet'!$G$2:$I$90,3,0),0)</f>
        <v>135.66999999999999</v>
      </c>
      <c r="T24" s="61">
        <f>Table2[[#This Row],[cost per piece]]*Table2[[#This Row],[Total Rej. qty]]</f>
        <v>407.01</v>
      </c>
      <c r="U24" s="61">
        <f>IFERROR(VLOOKUP(Table2[[#This Row],[Non Conformance]],'[2]New defect code '!$B$2:$C$129,2,0),0)</f>
        <v>3243</v>
      </c>
      <c r="V24" s="61">
        <v>64</v>
      </c>
      <c r="W24" s="61" t="str">
        <f>IFERROR(VLOOKUP(Table2[[#This Row],[Code4]],'[2]New Reason code'!$A$2:$D$77,2,0),0)</f>
        <v>Wrong correction</v>
      </c>
      <c r="X24" s="61" t="str">
        <f>IFERROR(VLOOKUP(Table2[[#This Row],[Reason]],'[2]New Reason code'!$B$2:$D$77,2,0),0)</f>
        <v>Due to operator</v>
      </c>
      <c r="Y24" s="61" t="str">
        <f>IFERROR(VLOOKUP(Table2[[#This Row],[Rejection Identified at]],'[2]New Reason code'!$C$2:$D$77,2,0),0)</f>
        <v xml:space="preserve">infrastructure </v>
      </c>
    </row>
    <row r="25" spans="1:25" ht="20.25" customHeight="1">
      <c r="A25" s="60">
        <v>21</v>
      </c>
      <c r="B25" s="61">
        <v>13</v>
      </c>
      <c r="C25" s="61" t="str">
        <f>IFERROR(VLOOKUP(Table2[[#This Row],[Code]],'[2]New Machine sheet'!$A$1:$D$101,2,0),0)</f>
        <v>282-13</v>
      </c>
      <c r="D25" s="61" t="str">
        <f>IFERROR(VLOOKUP(Table2[[#This Row],[M/c No]],'[2]New Machine sheet'!$B$1:$D$101,2,0),0)</f>
        <v>Mazak</v>
      </c>
      <c r="E25" s="61" t="str">
        <f>IFERROR(VLOOKUP(Table2[[#This Row],[M/c Name]],'[2]New Machine sheet'!$C$1:$D$101,2,0),0)</f>
        <v>Turning</v>
      </c>
      <c r="F25" s="61">
        <v>113</v>
      </c>
      <c r="G25" s="61">
        <f>IFERROR(VLOOKUP(Table2[[#This Row],[Code2]],'[2]New Machine sheet'!$F$2:$I$64,2,),0)</f>
        <v>24113</v>
      </c>
      <c r="H25" s="61" t="str">
        <f>IFERROR(VLOOKUP(Table2[[#This Row],[Code2]],'[2]New Machine sheet'!$F$2:$I$64,3,0),0)</f>
        <v>RE J1</v>
      </c>
      <c r="I25" s="61" t="s">
        <v>129</v>
      </c>
      <c r="J25" s="61">
        <v>5</v>
      </c>
      <c r="K25" s="61" t="str">
        <f>IFERROR(VLOOKUP(Table2[[#This Row],[Code3]],'[2]New defect code '!$A$2:$D$129,2,0),0)</f>
        <v>Bore Over size</v>
      </c>
      <c r="L25" s="45" t="s">
        <v>114</v>
      </c>
      <c r="M25" s="56">
        <v>46266</v>
      </c>
      <c r="N25" s="61">
        <v>10</v>
      </c>
      <c r="O25" s="61"/>
      <c r="P25" s="61"/>
      <c r="Q25" s="61"/>
      <c r="R25" s="61">
        <f>SUBTOTAL(9,Table2[[#This Row],[1st]:[FQC]])</f>
        <v>10</v>
      </c>
      <c r="S25" s="61">
        <f>IFERROR(VLOOKUP(Table2[[#This Row],[Part No.]],'[2]New Machine sheet'!$G$2:$I$90,3,0),0)</f>
        <v>90</v>
      </c>
      <c r="T25" s="61">
        <f>Table2[[#This Row],[cost per piece]]*Table2[[#This Row],[Total Rej. qty]]</f>
        <v>900</v>
      </c>
      <c r="U25" s="61">
        <f>IFERROR(VLOOKUP(Table2[[#This Row],[Non Conformance]],'[2]New defect code '!$B$2:$C$129,2,0),0)</f>
        <v>3243</v>
      </c>
      <c r="V25" s="61">
        <v>19</v>
      </c>
      <c r="W25" s="61" t="str">
        <f>IFERROR(VLOOKUP(Table2[[#This Row],[Code4]],'[2]New Reason code'!$A$2:$D$77,2,0),0)</f>
        <v>During Rework time</v>
      </c>
      <c r="X25" s="61" t="str">
        <f>IFERROR(VLOOKUP(Table2[[#This Row],[Reason]],'[2]New Reason code'!$B$2:$D$77,2,0),0)</f>
        <v>Due to operator</v>
      </c>
      <c r="Y25" s="61" t="str">
        <f>IFERROR(VLOOKUP(Table2[[#This Row],[Rejection Identified at]],'[2]New Reason code'!$C$2:$D$77,2,0),0)</f>
        <v xml:space="preserve">infrastructure </v>
      </c>
    </row>
    <row r="26" spans="1:25" ht="20.25" customHeight="1">
      <c r="A26" s="50">
        <v>22</v>
      </c>
      <c r="B26" s="61">
        <v>2</v>
      </c>
      <c r="C26" s="61" t="str">
        <f>IFERROR(VLOOKUP(Table2[[#This Row],[Code]],'[2]New Machine sheet'!$A$1:$D$101,2,0),0)</f>
        <v>282-02</v>
      </c>
      <c r="D26" s="61" t="str">
        <f>IFERROR(VLOOKUP(Table2[[#This Row],[M/c No]],'[2]New Machine sheet'!$B$1:$D$101,2,0),0)</f>
        <v>Mazak</v>
      </c>
      <c r="E26" s="61" t="str">
        <f>IFERROR(VLOOKUP(Table2[[#This Row],[M/c Name]],'[2]New Machine sheet'!$C$1:$D$101,2,0),0)</f>
        <v>Turning</v>
      </c>
      <c r="F26" s="61">
        <v>75</v>
      </c>
      <c r="G26" s="61">
        <f>IFERROR(VLOOKUP(Table2[[#This Row],[Code2]],'[2]New Machine sheet'!$F$2:$I$64,2,),0)</f>
        <v>2475</v>
      </c>
      <c r="H26" s="61" t="str">
        <f>IFERROR(VLOOKUP(Table2[[#This Row],[Code2]],'[2]New Machine sheet'!$F$2:$I$64,3,0),0)</f>
        <v>RE P1</v>
      </c>
      <c r="I26" s="61" t="s">
        <v>119</v>
      </c>
      <c r="J26" s="61">
        <v>5</v>
      </c>
      <c r="K26" s="61" t="str">
        <f>IFERROR(VLOOKUP(Table2[[#This Row],[Code3]],'[2]New defect code '!$A$2:$D$129,2,0),0)</f>
        <v>Bore Over size</v>
      </c>
      <c r="L26" s="45" t="s">
        <v>114</v>
      </c>
      <c r="M26" s="56">
        <v>46266</v>
      </c>
      <c r="N26" s="61">
        <v>4</v>
      </c>
      <c r="O26" s="61"/>
      <c r="P26" s="61"/>
      <c r="Q26" s="61"/>
      <c r="R26" s="61">
        <f>SUBTOTAL(9,Table2[[#This Row],[1st]:[FQC]])</f>
        <v>4</v>
      </c>
      <c r="S26" s="61">
        <f>IFERROR(VLOOKUP(Table2[[#This Row],[Part No.]],'[2]New Machine sheet'!$G$2:$I$90,3,0),0)</f>
        <v>138.77000000000001</v>
      </c>
      <c r="T26" s="61">
        <f>Table2[[#This Row],[cost per piece]]*Table2[[#This Row],[Total Rej. qty]]</f>
        <v>555.08000000000004</v>
      </c>
      <c r="U26" s="61">
        <f>IFERROR(VLOOKUP(Table2[[#This Row],[Non Conformance]],'[2]New defect code '!$B$2:$C$129,2,0),0)</f>
        <v>3243</v>
      </c>
      <c r="V26" s="61">
        <v>19</v>
      </c>
      <c r="W26" s="61" t="str">
        <f>IFERROR(VLOOKUP(Table2[[#This Row],[Code4]],'[2]New Reason code'!$A$2:$D$77,2,0),0)</f>
        <v>During Rework time</v>
      </c>
      <c r="X26" s="61" t="str">
        <f>IFERROR(VLOOKUP(Table2[[#This Row],[Reason]],'[2]New Reason code'!$B$2:$D$77,2,0),0)</f>
        <v>Due to operator</v>
      </c>
      <c r="Y26" s="61" t="str">
        <f>IFERROR(VLOOKUP(Table2[[#This Row],[Rejection Identified at]],'[2]New Reason code'!$C$2:$D$77,2,0),0)</f>
        <v xml:space="preserve">infrastructure </v>
      </c>
    </row>
    <row r="27" spans="1:25" ht="20.25" customHeight="1">
      <c r="A27" s="60">
        <v>23</v>
      </c>
      <c r="B27" s="61">
        <v>45</v>
      </c>
      <c r="C27" s="61" t="str">
        <f>IFERROR(VLOOKUP(Table2[[#This Row],[Code]],'[2]New Machine sheet'!$A$1:$D$101,2,0),0)</f>
        <v>MURATEC-01</v>
      </c>
      <c r="D27" s="61" t="str">
        <f>IFERROR(VLOOKUP(Table2[[#This Row],[M/c No]],'[2]New Machine sheet'!$B$1:$D$101,2,0),0)</f>
        <v>MURATEC</v>
      </c>
      <c r="E27" s="61" t="str">
        <f>IFERROR(VLOOKUP(Table2[[#This Row],[M/c Name]],'[2]New Machine sheet'!$C$1:$D$101,2,0),0)</f>
        <v xml:space="preserve">turning </v>
      </c>
      <c r="F27" s="61">
        <v>172</v>
      </c>
      <c r="G27" s="61">
        <f>IFERROR(VLOOKUP(Table2[[#This Row],[Code2]],'[2]New Machine sheet'!$F$2:$I$64,2,),0)</f>
        <v>24172</v>
      </c>
      <c r="H27" s="61" t="str">
        <f>IFERROR(VLOOKUP(Table2[[#This Row],[Code2]],'[2]New Machine sheet'!$F$2:$I$64,3,0),0)</f>
        <v>RE J1</v>
      </c>
      <c r="I27" s="61" t="s">
        <v>130</v>
      </c>
      <c r="J27" s="61">
        <v>66</v>
      </c>
      <c r="K27" s="61" t="str">
        <f>IFERROR(VLOOKUP(Table2[[#This Row],[Code3]],'[2]New defect code '!$A$2:$D$129,2,0),0)</f>
        <v>OD Under Size</v>
      </c>
      <c r="L27" s="45" t="s">
        <v>114</v>
      </c>
      <c r="M27" s="56">
        <v>46266</v>
      </c>
      <c r="N27" s="61">
        <v>1</v>
      </c>
      <c r="O27" s="61"/>
      <c r="P27" s="61"/>
      <c r="Q27" s="61"/>
      <c r="R27" s="61">
        <f>SUBTOTAL(9,Table2[[#This Row],[1st]:[FQC]])</f>
        <v>1</v>
      </c>
      <c r="S27" s="61">
        <f>IFERROR(VLOOKUP(Table2[[#This Row],[Part No.]],'[2]New Machine sheet'!$G$2:$I$90,3,0),0)</f>
        <v>348.33</v>
      </c>
      <c r="T27" s="61">
        <f>Table2[[#This Row],[cost per piece]]*Table2[[#This Row],[Total Rej. qty]]</f>
        <v>348.33</v>
      </c>
      <c r="U27" s="61">
        <f>IFERROR(VLOOKUP(Table2[[#This Row],[Non Conformance]],'[2]New defect code '!$B$2:$C$129,2,0),0)</f>
        <v>3242</v>
      </c>
      <c r="V27" s="61">
        <v>21</v>
      </c>
      <c r="W27" s="61" t="str">
        <f>IFERROR(VLOOKUP(Table2[[#This Row],[Code4]],'[2]New Reason code'!$A$2:$D$77,2,0),0)</f>
        <v>During setup time</v>
      </c>
      <c r="X27" s="61" t="str">
        <f>IFERROR(VLOOKUP(Table2[[#This Row],[Reason]],'[2]New Reason code'!$B$2:$D$77,2,0),0)</f>
        <v xml:space="preserve">Due to Settup  </v>
      </c>
      <c r="Y27" s="61" t="str">
        <f>IFERROR(VLOOKUP(Table2[[#This Row],[Rejection Identified at]],'[2]New Reason code'!$C$2:$D$77,2,0),0)</f>
        <v>skill</v>
      </c>
    </row>
    <row r="28" spans="1:25" ht="20.25" customHeight="1">
      <c r="A28" s="60">
        <v>24</v>
      </c>
      <c r="B28" s="61">
        <v>47</v>
      </c>
      <c r="C28" s="61" t="str">
        <f>IFERROR(VLOOKUP(Table2[[#This Row],[Code]],'[2]New Machine sheet'!$A$1:$D$101,2,0),0)</f>
        <v>MURATEC-03</v>
      </c>
      <c r="D28" s="61" t="str">
        <f>IFERROR(VLOOKUP(Table2[[#This Row],[M/c No]],'[2]New Machine sheet'!$B$1:$D$101,2,0),0)</f>
        <v>MURATEC</v>
      </c>
      <c r="E28" s="61" t="str">
        <f>IFERROR(VLOOKUP(Table2[[#This Row],[M/c Name]],'[2]New Machine sheet'!$C$1:$D$101,2,0),0)</f>
        <v xml:space="preserve">turning </v>
      </c>
      <c r="F28" s="61">
        <v>127</v>
      </c>
      <c r="G28" s="61">
        <f>IFERROR(VLOOKUP(Table2[[#This Row],[Code2]],'[2]New Machine sheet'!$F$2:$I$64,2,),0)</f>
        <v>24127</v>
      </c>
      <c r="H28" s="61" t="str">
        <f>IFERROR(VLOOKUP(Table2[[#This Row],[Code2]],'[2]New Machine sheet'!$F$2:$I$64,3,0),0)</f>
        <v>RE J1</v>
      </c>
      <c r="I28" s="61" t="s">
        <v>130</v>
      </c>
      <c r="J28" s="61">
        <v>66</v>
      </c>
      <c r="K28" s="61" t="str">
        <f>IFERROR(VLOOKUP(Table2[[#This Row],[Code3]],'[2]New defect code '!$A$2:$D$129,2,0),0)</f>
        <v>OD Under Size</v>
      </c>
      <c r="L28" s="45" t="s">
        <v>114</v>
      </c>
      <c r="M28" s="56">
        <v>46266</v>
      </c>
      <c r="N28" s="61">
        <v>1</v>
      </c>
      <c r="O28" s="61"/>
      <c r="P28" s="61"/>
      <c r="Q28" s="61"/>
      <c r="R28" s="61">
        <f>SUBTOTAL(9,Table2[[#This Row],[1st]:[FQC]])</f>
        <v>1</v>
      </c>
      <c r="S28" s="61">
        <f>IFERROR(VLOOKUP(Table2[[#This Row],[Part No.]],'[2]New Machine sheet'!$G$2:$I$90,3,0),0)</f>
        <v>262.81200000000001</v>
      </c>
      <c r="T28" s="61">
        <f>Table2[[#This Row],[cost per piece]]*Table2[[#This Row],[Total Rej. qty]]</f>
        <v>262.81200000000001</v>
      </c>
      <c r="U28" s="61">
        <f>IFERROR(VLOOKUP(Table2[[#This Row],[Non Conformance]],'[2]New defect code '!$B$2:$C$129,2,0),0)</f>
        <v>3242</v>
      </c>
      <c r="V28" s="61">
        <v>18</v>
      </c>
      <c r="W28" s="61" t="str">
        <f>IFERROR(VLOOKUP(Table2[[#This Row],[Code4]],'[2]New Reason code'!$A$2:$D$77,2,0),0)</f>
        <v>During insert change</v>
      </c>
      <c r="X28" s="61" t="str">
        <f>IFERROR(VLOOKUP(Table2[[#This Row],[Reason]],'[2]New Reason code'!$B$2:$D$77,2,0),0)</f>
        <v xml:space="preserve">Due to Settup  </v>
      </c>
      <c r="Y28" s="61" t="str">
        <f>IFERROR(VLOOKUP(Table2[[#This Row],[Rejection Identified at]],'[2]New Reason code'!$C$2:$D$77,2,0),0)</f>
        <v>skill</v>
      </c>
    </row>
    <row r="29" spans="1:25" ht="20.25" customHeight="1">
      <c r="A29" s="50">
        <v>25</v>
      </c>
      <c r="B29" s="61">
        <v>22</v>
      </c>
      <c r="C29" s="61" t="str">
        <f>IFERROR(VLOOKUP(Table2[[#This Row],[Code]],'[2]New Machine sheet'!$A$1:$D$101,2,0),0)</f>
        <v>ACE-02</v>
      </c>
      <c r="D29" s="61" t="str">
        <f>IFERROR(VLOOKUP(Table2[[#This Row],[M/c No]],'[2]New Machine sheet'!$B$1:$D$101,2,0),0)</f>
        <v>Micromatic</v>
      </c>
      <c r="E29" s="61" t="str">
        <f>IFERROR(VLOOKUP(Table2[[#This Row],[M/c Name]],'[2]New Machine sheet'!$C$1:$D$101,2,0),0)</f>
        <v>Turning</v>
      </c>
      <c r="F29" s="61">
        <v>178</v>
      </c>
      <c r="G29" s="61">
        <f>IFERROR(VLOOKUP(Table2[[#This Row],[Code2]],'[2]New Machine sheet'!$F$2:$I$64,2,),0)</f>
        <v>24178</v>
      </c>
      <c r="H29" s="61" t="str">
        <f>IFERROR(VLOOKUP(Table2[[#This Row],[Code2]],'[2]New Machine sheet'!$F$2:$I$64,3,0),0)</f>
        <v>RE J1</v>
      </c>
      <c r="I29" s="61" t="s">
        <v>131</v>
      </c>
      <c r="J29" s="61">
        <v>5</v>
      </c>
      <c r="K29" s="61" t="str">
        <f>IFERROR(VLOOKUP(Table2[[#This Row],[Code3]],'[2]New defect code '!$A$2:$D$129,2,0),0)</f>
        <v>Bore Over size</v>
      </c>
      <c r="L29" s="45" t="s">
        <v>114</v>
      </c>
      <c r="M29" s="56">
        <v>46266</v>
      </c>
      <c r="N29" s="61">
        <v>1</v>
      </c>
      <c r="O29" s="61"/>
      <c r="P29" s="61"/>
      <c r="Q29" s="61"/>
      <c r="R29" s="61">
        <f>SUBTOTAL(9,Table2[[#This Row],[1st]:[FQC]])</f>
        <v>1</v>
      </c>
      <c r="S29" s="61">
        <f>IFERROR(VLOOKUP(Table2[[#This Row],[Part No.]],'[2]New Machine sheet'!$G$2:$I$90,3,0),0)</f>
        <v>70.62</v>
      </c>
      <c r="T29" s="61">
        <f>Table2[[#This Row],[cost per piece]]*Table2[[#This Row],[Total Rej. qty]]</f>
        <v>70.62</v>
      </c>
      <c r="U29" s="61">
        <f>IFERROR(VLOOKUP(Table2[[#This Row],[Non Conformance]],'[2]New defect code '!$B$2:$C$129,2,0),0)</f>
        <v>3243</v>
      </c>
      <c r="V29" s="61">
        <v>18</v>
      </c>
      <c r="W29" s="61" t="str">
        <f>IFERROR(VLOOKUP(Table2[[#This Row],[Code4]],'[2]New Reason code'!$A$2:$D$77,2,0),0)</f>
        <v>During insert change</v>
      </c>
      <c r="X29" s="61" t="str">
        <f>IFERROR(VLOOKUP(Table2[[#This Row],[Reason]],'[2]New Reason code'!$B$2:$D$77,2,0),0)</f>
        <v xml:space="preserve">Due to Settup  </v>
      </c>
      <c r="Y29" s="61" t="str">
        <f>IFERROR(VLOOKUP(Table2[[#This Row],[Rejection Identified at]],'[2]New Reason code'!$C$2:$D$77,2,0),0)</f>
        <v>skill</v>
      </c>
    </row>
    <row r="30" spans="1:25" ht="20.25" customHeight="1">
      <c r="A30" s="60">
        <v>26</v>
      </c>
      <c r="B30" s="61">
        <v>10</v>
      </c>
      <c r="C30" s="61" t="str">
        <f>IFERROR(VLOOKUP(Table2[[#This Row],[Code]],'[2]New Machine sheet'!$A$1:$D$101,2,0),0)</f>
        <v>282-10</v>
      </c>
      <c r="D30" s="61" t="str">
        <f>IFERROR(VLOOKUP(Table2[[#This Row],[M/c No]],'[2]New Machine sheet'!$B$1:$D$101,2,0),0)</f>
        <v>Mazak</v>
      </c>
      <c r="E30" s="61" t="str">
        <f>IFERROR(VLOOKUP(Table2[[#This Row],[M/c Name]],'[2]New Machine sheet'!$C$1:$D$101,2,0),0)</f>
        <v>Turning</v>
      </c>
      <c r="F30" s="61">
        <v>155</v>
      </c>
      <c r="G30" s="61">
        <f>IFERROR(VLOOKUP(Table2[[#This Row],[Code2]],'[2]New Machine sheet'!$F$2:$I$64,2,),0)</f>
        <v>24155</v>
      </c>
      <c r="H30" s="61" t="str">
        <f>IFERROR(VLOOKUP(Table2[[#This Row],[Code2]],'[2]New Machine sheet'!$F$2:$I$64,3,0),0)</f>
        <v>RE J1</v>
      </c>
      <c r="I30" s="61" t="s">
        <v>127</v>
      </c>
      <c r="J30" s="61">
        <v>5</v>
      </c>
      <c r="K30" s="61" t="str">
        <f>IFERROR(VLOOKUP(Table2[[#This Row],[Code3]],'[2]New defect code '!$A$2:$D$129,2,0),0)</f>
        <v>Bore Over size</v>
      </c>
      <c r="L30" s="45" t="s">
        <v>114</v>
      </c>
      <c r="M30" s="56">
        <v>46266</v>
      </c>
      <c r="N30" s="61">
        <v>1</v>
      </c>
      <c r="O30" s="61"/>
      <c r="P30" s="61"/>
      <c r="Q30" s="61"/>
      <c r="R30" s="61">
        <f>SUBTOTAL(9,Table2[[#This Row],[1st]:[FQC]])</f>
        <v>1</v>
      </c>
      <c r="S30" s="61">
        <f>IFERROR(VLOOKUP(Table2[[#This Row],[Part No.]],'[2]New Machine sheet'!$G$2:$I$90,3,0),0)</f>
        <v>107.67</v>
      </c>
      <c r="T30" s="61">
        <f>Table2[[#This Row],[cost per piece]]*Table2[[#This Row],[Total Rej. qty]]</f>
        <v>107.67</v>
      </c>
      <c r="U30" s="61">
        <f>IFERROR(VLOOKUP(Table2[[#This Row],[Non Conformance]],'[2]New defect code '!$B$2:$C$129,2,0),0)</f>
        <v>3243</v>
      </c>
      <c r="V30" s="61">
        <v>18</v>
      </c>
      <c r="W30" s="61" t="str">
        <f>IFERROR(VLOOKUP(Table2[[#This Row],[Code4]],'[2]New Reason code'!$A$2:$D$77,2,0),0)</f>
        <v>During insert change</v>
      </c>
      <c r="X30" s="61" t="str">
        <f>IFERROR(VLOOKUP(Table2[[#This Row],[Reason]],'[2]New Reason code'!$B$2:$D$77,2,0),0)</f>
        <v xml:space="preserve">Due to Settup  </v>
      </c>
      <c r="Y30" s="61" t="str">
        <f>IFERROR(VLOOKUP(Table2[[#This Row],[Rejection Identified at]],'[2]New Reason code'!$C$2:$D$77,2,0),0)</f>
        <v>skill</v>
      </c>
    </row>
    <row r="31" spans="1:25" ht="20.25" customHeight="1">
      <c r="A31" s="60">
        <v>27</v>
      </c>
      <c r="B31" s="61">
        <v>18</v>
      </c>
      <c r="C31" s="61" t="str">
        <f>IFERROR(VLOOKUP(Table2[[#This Row],[Code]],'[2]New Machine sheet'!$A$1:$D$101,2,0),0)</f>
        <v>282-18</v>
      </c>
      <c r="D31" s="61" t="str">
        <f>IFERROR(VLOOKUP(Table2[[#This Row],[M/c No]],'[2]New Machine sheet'!$B$1:$D$101,2,0),0)</f>
        <v>Mazak</v>
      </c>
      <c r="E31" s="61" t="str">
        <f>IFERROR(VLOOKUP(Table2[[#This Row],[M/c Name]],'[2]New Machine sheet'!$C$1:$D$101,2,0),0)</f>
        <v>Turning</v>
      </c>
      <c r="F31" s="61">
        <v>178</v>
      </c>
      <c r="G31" s="61">
        <f>IFERROR(VLOOKUP(Table2[[#This Row],[Code2]],'[2]New Machine sheet'!$F$2:$I$64,2,),0)</f>
        <v>24178</v>
      </c>
      <c r="H31" s="61" t="str">
        <f>IFERROR(VLOOKUP(Table2[[#This Row],[Code2]],'[2]New Machine sheet'!$F$2:$I$64,3,0),0)</f>
        <v>RE J1</v>
      </c>
      <c r="I31" s="61"/>
      <c r="J31" s="61">
        <v>5</v>
      </c>
      <c r="K31" s="61" t="str">
        <f>IFERROR(VLOOKUP(Table2[[#This Row],[Code3]],'[2]New defect code '!$A$2:$D$129,2,0),0)</f>
        <v>Bore Over size</v>
      </c>
      <c r="L31" s="45" t="s">
        <v>114</v>
      </c>
      <c r="M31" s="56">
        <v>46266</v>
      </c>
      <c r="N31" s="61">
        <v>6</v>
      </c>
      <c r="O31" s="61"/>
      <c r="P31" s="61"/>
      <c r="Q31" s="61"/>
      <c r="R31" s="61">
        <f>SUBTOTAL(9,Table2[[#This Row],[1st]:[FQC]])</f>
        <v>6</v>
      </c>
      <c r="S31" s="61">
        <f>IFERROR(VLOOKUP(Table2[[#This Row],[Part No.]],'[2]New Machine sheet'!$G$2:$I$90,3,0),0)</f>
        <v>70.62</v>
      </c>
      <c r="T31" s="61">
        <f>Table2[[#This Row],[cost per piece]]*Table2[[#This Row],[Total Rej. qty]]</f>
        <v>423.72</v>
      </c>
      <c r="U31" s="61">
        <f>IFERROR(VLOOKUP(Table2[[#This Row],[Non Conformance]],'[2]New defect code '!$B$2:$C$129,2,0),0)</f>
        <v>3243</v>
      </c>
      <c r="V31" s="61">
        <v>12</v>
      </c>
      <c r="W31" s="61" t="str">
        <f>IFERROR(VLOOKUP(Table2[[#This Row],[Code4]],'[2]New Reason code'!$A$2:$D$77,2,0),0)</f>
        <v>Double loading</v>
      </c>
      <c r="X31" s="61" t="str">
        <f>IFERROR(VLOOKUP(Table2[[#This Row],[Reason]],'[2]New Reason code'!$B$2:$D$77,2,0),0)</f>
        <v>Due to operator</v>
      </c>
      <c r="Y31" s="61" t="str">
        <f>IFERROR(VLOOKUP(Table2[[#This Row],[Rejection Identified at]],'[2]New Reason code'!$C$2:$D$77,2,0),0)</f>
        <v xml:space="preserve">infrastructure </v>
      </c>
    </row>
    <row r="32" spans="1:25" ht="20.25" customHeight="1">
      <c r="A32" s="50">
        <v>28</v>
      </c>
      <c r="B32" s="61">
        <v>5</v>
      </c>
      <c r="C32" s="61" t="str">
        <f>IFERROR(VLOOKUP(Table2[[#This Row],[Code]],'[2]New Machine sheet'!$A$1:$D$101,2,0),0)</f>
        <v>282-05</v>
      </c>
      <c r="D32" s="61" t="str">
        <f>IFERROR(VLOOKUP(Table2[[#This Row],[M/c No]],'[2]New Machine sheet'!$B$1:$D$101,2,0),0)</f>
        <v>Mazak</v>
      </c>
      <c r="E32" s="61" t="str">
        <f>IFERROR(VLOOKUP(Table2[[#This Row],[M/c Name]],'[2]New Machine sheet'!$C$1:$D$101,2,0),0)</f>
        <v>Turning</v>
      </c>
      <c r="F32" s="61">
        <v>119</v>
      </c>
      <c r="G32" s="61">
        <f>IFERROR(VLOOKUP(Table2[[#This Row],[Code2]],'[2]New Machine sheet'!$F$2:$I$64,2,),0)</f>
        <v>24119</v>
      </c>
      <c r="H32" s="61" t="str">
        <f>IFERROR(VLOOKUP(Table2[[#This Row],[Code2]],'[2]New Machine sheet'!$F$2:$I$64,3,0),0)</f>
        <v>RE J1</v>
      </c>
      <c r="I32" s="61" t="s">
        <v>132</v>
      </c>
      <c r="J32" s="61">
        <v>5</v>
      </c>
      <c r="K32" s="61" t="str">
        <f>IFERROR(VLOOKUP(Table2[[#This Row],[Code3]],'[2]New defect code '!$A$2:$D$129,2,0),0)</f>
        <v>Bore Over size</v>
      </c>
      <c r="L32" s="45" t="s">
        <v>114</v>
      </c>
      <c r="M32" s="56">
        <v>46266</v>
      </c>
      <c r="N32" s="61"/>
      <c r="O32" s="61">
        <v>10</v>
      </c>
      <c r="P32" s="61"/>
      <c r="Q32" s="61"/>
      <c r="R32" s="61">
        <f>SUBTOTAL(9,Table2[[#This Row],[1st]:[FQC]])</f>
        <v>10</v>
      </c>
      <c r="S32" s="61">
        <f>IFERROR(VLOOKUP(Table2[[#This Row],[Part No.]],'[2]New Machine sheet'!$G$2:$I$90,3,0),0)</f>
        <v>103.2</v>
      </c>
      <c r="T32" s="61">
        <f>Table2[[#This Row],[cost per piece]]*Table2[[#This Row],[Total Rej. qty]]</f>
        <v>1032</v>
      </c>
      <c r="U32" s="61">
        <f>IFERROR(VLOOKUP(Table2[[#This Row],[Non Conformance]],'[2]New defect code '!$B$2:$C$129,2,0),0)</f>
        <v>3243</v>
      </c>
      <c r="V32" s="61">
        <v>20</v>
      </c>
      <c r="W32" s="61" t="str">
        <f>IFERROR(VLOOKUP(Table2[[#This Row],[Code4]],'[2]New Reason code'!$A$2:$D$77,2,0),0)</f>
        <v xml:space="preserve">During segrigetion </v>
      </c>
      <c r="X32" s="61" t="str">
        <f>IFERROR(VLOOKUP(Table2[[#This Row],[Reason]],'[2]New Reason code'!$B$2:$D$77,2,0),0)</f>
        <v xml:space="preserve">During segrigetion </v>
      </c>
      <c r="Y32" s="61" t="str">
        <f>IFERROR(VLOOKUP(Table2[[#This Row],[Rejection Identified at]],'[2]New Reason code'!$C$2:$D$77,2,0),0)</f>
        <v>Attitude</v>
      </c>
    </row>
    <row r="33" spans="1:25" ht="20.25" customHeight="1">
      <c r="A33" s="60">
        <v>29</v>
      </c>
      <c r="B33" s="61">
        <v>17</v>
      </c>
      <c r="C33" s="61" t="str">
        <f>IFERROR(VLOOKUP(Table2[[#This Row],[Code]],'[2]New Machine sheet'!$A$1:$D$101,2,0),0)</f>
        <v>282-17</v>
      </c>
      <c r="D33" s="61" t="str">
        <f>IFERROR(VLOOKUP(Table2[[#This Row],[M/c No]],'[2]New Machine sheet'!$B$1:$D$101,2,0),0)</f>
        <v>Mazak</v>
      </c>
      <c r="E33" s="61" t="str">
        <f>IFERROR(VLOOKUP(Table2[[#This Row],[M/c Name]],'[2]New Machine sheet'!$C$1:$D$101,2,0),0)</f>
        <v>Turning</v>
      </c>
      <c r="F33" s="61">
        <v>113</v>
      </c>
      <c r="G33" s="61">
        <f>IFERROR(VLOOKUP(Table2[[#This Row],[Code2]],'[2]New Machine sheet'!$F$2:$I$64,2,),0)</f>
        <v>24113</v>
      </c>
      <c r="H33" s="61" t="str">
        <f>IFERROR(VLOOKUP(Table2[[#This Row],[Code2]],'[2]New Machine sheet'!$F$2:$I$64,3,0),0)</f>
        <v>RE J1</v>
      </c>
      <c r="I33" s="61" t="s">
        <v>132</v>
      </c>
      <c r="J33" s="61">
        <v>5</v>
      </c>
      <c r="K33" s="61" t="str">
        <f>IFERROR(VLOOKUP(Table2[[#This Row],[Code3]],'[2]New defect code '!$A$2:$D$129,2,0),0)</f>
        <v>Bore Over size</v>
      </c>
      <c r="L33" s="45" t="s">
        <v>114</v>
      </c>
      <c r="M33" s="56">
        <v>46266</v>
      </c>
      <c r="N33" s="61"/>
      <c r="O33" s="61">
        <v>6</v>
      </c>
      <c r="P33" s="61"/>
      <c r="Q33" s="61"/>
      <c r="R33" s="61">
        <f>SUBTOTAL(9,Table2[[#This Row],[1st]:[FQC]])</f>
        <v>6</v>
      </c>
      <c r="S33" s="61">
        <f>IFERROR(VLOOKUP(Table2[[#This Row],[Part No.]],'[2]New Machine sheet'!$G$2:$I$90,3,0),0)</f>
        <v>90</v>
      </c>
      <c r="T33" s="61">
        <f>Table2[[#This Row],[cost per piece]]*Table2[[#This Row],[Total Rej. qty]]</f>
        <v>540</v>
      </c>
      <c r="U33" s="61">
        <f>IFERROR(VLOOKUP(Table2[[#This Row],[Non Conformance]],'[2]New defect code '!$B$2:$C$129,2,0),0)</f>
        <v>3243</v>
      </c>
      <c r="V33" s="61">
        <v>20</v>
      </c>
      <c r="W33" s="61" t="str">
        <f>IFERROR(VLOOKUP(Table2[[#This Row],[Code4]],'[2]New Reason code'!$A$2:$D$77,2,0),0)</f>
        <v xml:space="preserve">During segrigetion </v>
      </c>
      <c r="X33" s="61" t="str">
        <f>IFERROR(VLOOKUP(Table2[[#This Row],[Reason]],'[2]New Reason code'!$B$2:$D$77,2,0),0)</f>
        <v xml:space="preserve">During segrigetion </v>
      </c>
      <c r="Y33" s="61" t="str">
        <f>IFERROR(VLOOKUP(Table2[[#This Row],[Rejection Identified at]],'[2]New Reason code'!$C$2:$D$77,2,0),0)</f>
        <v>Attitude</v>
      </c>
    </row>
    <row r="34" spans="1:25" ht="20.25" customHeight="1">
      <c r="A34" s="60">
        <v>30</v>
      </c>
      <c r="B34" s="61">
        <v>8</v>
      </c>
      <c r="C34" s="61" t="str">
        <f>IFERROR(VLOOKUP(Table2[[#This Row],[Code]],'[2]New Machine sheet'!$A$1:$D$101,2,0),0)</f>
        <v>282-08</v>
      </c>
      <c r="D34" s="61" t="str">
        <f>IFERROR(VLOOKUP(Table2[[#This Row],[M/c No]],'[2]New Machine sheet'!$B$1:$D$101,2,0),0)</f>
        <v>Mazak</v>
      </c>
      <c r="E34" s="61" t="str">
        <f>IFERROR(VLOOKUP(Table2[[#This Row],[M/c Name]],'[2]New Machine sheet'!$C$1:$D$101,2,0),0)</f>
        <v>Turning</v>
      </c>
      <c r="F34" s="61">
        <v>117</v>
      </c>
      <c r="G34" s="61">
        <f>IFERROR(VLOOKUP(Table2[[#This Row],[Code2]],'[2]New Machine sheet'!$F$2:$I$64,2,),0)</f>
        <v>24117</v>
      </c>
      <c r="H34" s="61" t="str">
        <f>IFERROR(VLOOKUP(Table2[[#This Row],[Code2]],'[2]New Machine sheet'!$F$2:$I$64,3,0),0)</f>
        <v>RE J1</v>
      </c>
      <c r="I34" s="61" t="s">
        <v>133</v>
      </c>
      <c r="J34" s="61">
        <v>5</v>
      </c>
      <c r="K34" s="61" t="str">
        <f>IFERROR(VLOOKUP(Table2[[#This Row],[Code3]],'[2]New defect code '!$A$2:$D$129,2,0),0)</f>
        <v>Bore Over size</v>
      </c>
      <c r="L34" s="45" t="s">
        <v>114</v>
      </c>
      <c r="M34" s="56">
        <v>46266</v>
      </c>
      <c r="N34" s="61"/>
      <c r="O34" s="61">
        <v>10</v>
      </c>
      <c r="P34" s="61"/>
      <c r="Q34" s="61"/>
      <c r="R34" s="61">
        <f>SUBTOTAL(9,Table2[[#This Row],[1st]:[FQC]])</f>
        <v>10</v>
      </c>
      <c r="S34" s="61">
        <f>IFERROR(VLOOKUP(Table2[[#This Row],[Part No.]],'[2]New Machine sheet'!$G$2:$I$90,3,0),0)</f>
        <v>111.97</v>
      </c>
      <c r="T34" s="61">
        <f>Table2[[#This Row],[cost per piece]]*Table2[[#This Row],[Total Rej. qty]]</f>
        <v>1119.7</v>
      </c>
      <c r="U34" s="61">
        <f>IFERROR(VLOOKUP(Table2[[#This Row],[Non Conformance]],'[2]New defect code '!$B$2:$C$129,2,0),0)</f>
        <v>3243</v>
      </c>
      <c r="V34" s="61">
        <v>20</v>
      </c>
      <c r="W34" s="61" t="str">
        <f>IFERROR(VLOOKUP(Table2[[#This Row],[Code4]],'[2]New Reason code'!$A$2:$D$77,2,0),0)</f>
        <v xml:space="preserve">During segrigetion </v>
      </c>
      <c r="X34" s="61" t="str">
        <f>IFERROR(VLOOKUP(Table2[[#This Row],[Reason]],'[2]New Reason code'!$B$2:$D$77,2,0),0)</f>
        <v xml:space="preserve">During segrigetion </v>
      </c>
      <c r="Y34" s="61" t="str">
        <f>IFERROR(VLOOKUP(Table2[[#This Row],[Rejection Identified at]],'[2]New Reason code'!$C$2:$D$77,2,0),0)</f>
        <v>Attitude</v>
      </c>
    </row>
    <row r="35" spans="1:25" ht="20.25" customHeight="1">
      <c r="A35" s="50">
        <v>31</v>
      </c>
      <c r="B35" s="61">
        <v>20</v>
      </c>
      <c r="C35" s="61" t="str">
        <f>IFERROR(VLOOKUP(Table2[[#This Row],[Code]],'[2]New Machine sheet'!$A$1:$D$101,2,0),0)</f>
        <v>282-20</v>
      </c>
      <c r="D35" s="61" t="str">
        <f>IFERROR(VLOOKUP(Table2[[#This Row],[M/c No]],'[2]New Machine sheet'!$B$1:$D$101,2,0),0)</f>
        <v>Mazak</v>
      </c>
      <c r="E35" s="61" t="str">
        <f>IFERROR(VLOOKUP(Table2[[#This Row],[M/c Name]],'[2]New Machine sheet'!$C$1:$D$101,2,0),0)</f>
        <v>Turning</v>
      </c>
      <c r="F35" s="61">
        <v>115</v>
      </c>
      <c r="G35" s="61">
        <f>IFERROR(VLOOKUP(Table2[[#This Row],[Code2]],'[2]New Machine sheet'!$F$2:$I$64,2,),0)</f>
        <v>24115</v>
      </c>
      <c r="H35" s="61" t="str">
        <f>IFERROR(VLOOKUP(Table2[[#This Row],[Code2]],'[2]New Machine sheet'!$F$2:$I$64,3,0),0)</f>
        <v>RE J1</v>
      </c>
      <c r="I35" s="61" t="s">
        <v>134</v>
      </c>
      <c r="J35" s="61">
        <v>5</v>
      </c>
      <c r="K35" s="61" t="str">
        <f>IFERROR(VLOOKUP(Table2[[#This Row],[Code3]],'[2]New defect code '!$A$2:$D$129,2,0),0)</f>
        <v>Bore Over size</v>
      </c>
      <c r="L35" s="45" t="s">
        <v>114</v>
      </c>
      <c r="M35" s="56">
        <v>46266</v>
      </c>
      <c r="N35" s="61"/>
      <c r="O35" s="61">
        <v>3</v>
      </c>
      <c r="P35" s="61"/>
      <c r="Q35" s="61"/>
      <c r="R35" s="61">
        <f>SUBTOTAL(9,Table2[[#This Row],[1st]:[FQC]])</f>
        <v>3</v>
      </c>
      <c r="S35" s="61">
        <f>IFERROR(VLOOKUP(Table2[[#This Row],[Part No.]],'[2]New Machine sheet'!$G$2:$I$90,3,0),0)</f>
        <v>66.900000000000006</v>
      </c>
      <c r="T35" s="61">
        <f>Table2[[#This Row],[cost per piece]]*Table2[[#This Row],[Total Rej. qty]]</f>
        <v>200.70000000000002</v>
      </c>
      <c r="U35" s="61">
        <f>IFERROR(VLOOKUP(Table2[[#This Row],[Non Conformance]],'[2]New defect code '!$B$2:$C$129,2,0),0)</f>
        <v>3243</v>
      </c>
      <c r="V35" s="61">
        <v>20</v>
      </c>
      <c r="W35" s="61" t="str">
        <f>IFERROR(VLOOKUP(Table2[[#This Row],[Code4]],'[2]New Reason code'!$A$2:$D$77,2,0),0)</f>
        <v xml:space="preserve">During segrigetion </v>
      </c>
      <c r="X35" s="61" t="str">
        <f>IFERROR(VLOOKUP(Table2[[#This Row],[Reason]],'[2]New Reason code'!$B$2:$D$77,2,0),0)</f>
        <v xml:space="preserve">During segrigetion </v>
      </c>
      <c r="Y35" s="61" t="str">
        <f>IFERROR(VLOOKUP(Table2[[#This Row],[Rejection Identified at]],'[2]New Reason code'!$C$2:$D$77,2,0),0)</f>
        <v>Attitude</v>
      </c>
    </row>
    <row r="36" spans="1:25" ht="20.25" customHeight="1">
      <c r="A36" s="60">
        <v>32</v>
      </c>
      <c r="B36" s="61">
        <v>41</v>
      </c>
      <c r="C36" s="61" t="str">
        <f>IFERROR(VLOOKUP(Table2[[#This Row],[Code]],'[2]New Machine sheet'!$A$1:$D$101,2,0),0)</f>
        <v>252-03</v>
      </c>
      <c r="D36" s="61" t="str">
        <f>IFERROR(VLOOKUP(Table2[[#This Row],[M/c No]],'[2]New Machine sheet'!$B$1:$D$101,2,0),0)</f>
        <v>VMC</v>
      </c>
      <c r="E36" s="61" t="str">
        <f>IFERROR(VLOOKUP(Table2[[#This Row],[M/c Name]],'[2]New Machine sheet'!$C$1:$D$101,2,0),0)</f>
        <v>VMC</v>
      </c>
      <c r="F36" s="61">
        <v>155</v>
      </c>
      <c r="G36" s="61">
        <f>IFERROR(VLOOKUP(Table2[[#This Row],[Code2]],'[2]New Machine sheet'!$F$2:$I$64,2,),0)</f>
        <v>24155</v>
      </c>
      <c r="H36" s="61" t="str">
        <f>IFERROR(VLOOKUP(Table2[[#This Row],[Code2]],'[2]New Machine sheet'!$F$2:$I$64,3,0),0)</f>
        <v>RE J1</v>
      </c>
      <c r="I36" s="61" t="s">
        <v>135</v>
      </c>
      <c r="J36" s="61">
        <v>32</v>
      </c>
      <c r="K36" s="61" t="str">
        <f>IFERROR(VLOOKUP(Table2[[#This Row],[Code3]],'[2]New defect code '!$A$2:$D$129,2,0),0)</f>
        <v>Double Dot Punching</v>
      </c>
      <c r="L36" s="45" t="s">
        <v>114</v>
      </c>
      <c r="M36" s="56">
        <v>46266</v>
      </c>
      <c r="N36" s="61"/>
      <c r="O36" s="61">
        <v>2</v>
      </c>
      <c r="P36" s="61"/>
      <c r="Q36" s="61"/>
      <c r="R36" s="61">
        <f>SUBTOTAL(9,Table2[[#This Row],[1st]:[FQC]])</f>
        <v>2</v>
      </c>
      <c r="S36" s="61">
        <f>IFERROR(VLOOKUP(Table2[[#This Row],[Part No.]],'[2]New Machine sheet'!$G$2:$I$90,3,0),0)</f>
        <v>107.67</v>
      </c>
      <c r="T36" s="61">
        <f>Table2[[#This Row],[cost per piece]]*Table2[[#This Row],[Total Rej. qty]]</f>
        <v>215.34</v>
      </c>
      <c r="U36" s="61">
        <f>IFERROR(VLOOKUP(Table2[[#This Row],[Non Conformance]],'[2]New defect code '!$B$2:$C$129,2,0),0)</f>
        <v>0</v>
      </c>
      <c r="V36" s="61">
        <v>66</v>
      </c>
      <c r="W36" s="61" t="str">
        <f>IFERROR(VLOOKUP(Table2[[#This Row],[Code4]],'[2]New Reason code'!$A$2:$D$77,2,0),0)</f>
        <v>Wrong Loading</v>
      </c>
      <c r="X36" s="61" t="str">
        <f>IFERROR(VLOOKUP(Table2[[#This Row],[Reason]],'[2]New Reason code'!$B$2:$D$77,2,0),0)</f>
        <v>Due to operator</v>
      </c>
      <c r="Y36" s="61" t="str">
        <f>IFERROR(VLOOKUP(Table2[[#This Row],[Rejection Identified at]],'[2]New Reason code'!$C$2:$D$77,2,0),0)</f>
        <v xml:space="preserve">infrastructure </v>
      </c>
    </row>
    <row r="37" spans="1:25" ht="20.25" customHeight="1">
      <c r="A37" s="60">
        <v>33</v>
      </c>
      <c r="B37" s="61">
        <v>62</v>
      </c>
      <c r="C37" s="61" t="str">
        <f>IFERROR(VLOOKUP(Table2[[#This Row],[Code]],'[2]New Machine sheet'!$A$1:$D$101,2,0),0)</f>
        <v>FQC</v>
      </c>
      <c r="D37" s="61" t="str">
        <f>IFERROR(VLOOKUP(Table2[[#This Row],[M/c No]],'[2]New Machine sheet'!$B$1:$D$101,2,0),0)</f>
        <v>FQC</v>
      </c>
      <c r="E37" s="61" t="str">
        <f>IFERROR(VLOOKUP(Table2[[#This Row],[M/c Name]],'[2]New Machine sheet'!$C$1:$D$101,2,0),0)</f>
        <v>fqc</v>
      </c>
      <c r="F37" s="61">
        <v>178</v>
      </c>
      <c r="G37" s="61">
        <f>IFERROR(VLOOKUP(Table2[[#This Row],[Code2]],'[2]New Machine sheet'!$F$2:$I$64,2,),0)</f>
        <v>24178</v>
      </c>
      <c r="H37" s="61" t="str">
        <f>IFERROR(VLOOKUP(Table2[[#This Row],[Code2]],'[2]New Machine sheet'!$F$2:$I$64,3,0),0)</f>
        <v>RE J1</v>
      </c>
      <c r="I37" s="61"/>
      <c r="J37" s="61">
        <v>72</v>
      </c>
      <c r="K37" s="61" t="str">
        <f>IFERROR(VLOOKUP(Table2[[#This Row],[Code3]],'[2]New defect code '!$A$2:$D$129,2,0),0)</f>
        <v xml:space="preserve">PG No Go pass </v>
      </c>
      <c r="L37" s="45" t="s">
        <v>114</v>
      </c>
      <c r="M37" s="56">
        <v>46266</v>
      </c>
      <c r="N37" s="61"/>
      <c r="O37" s="61"/>
      <c r="P37" s="61"/>
      <c r="Q37" s="61">
        <v>3</v>
      </c>
      <c r="R37" s="61">
        <f>SUBTOTAL(9,Table2[[#This Row],[1st]:[FQC]])</f>
        <v>3</v>
      </c>
      <c r="S37" s="61">
        <f>IFERROR(VLOOKUP(Table2[[#This Row],[Part No.]],'[2]New Machine sheet'!$G$2:$I$90,3,0),0)</f>
        <v>70.62</v>
      </c>
      <c r="T37" s="61">
        <f>Table2[[#This Row],[cost per piece]]*Table2[[#This Row],[Total Rej. qty]]</f>
        <v>211.86</v>
      </c>
      <c r="U37" s="61">
        <f>IFERROR(VLOOKUP(Table2[[#This Row],[Non Conformance]],'[2]New defect code '!$B$2:$C$129,2,0),0)</f>
        <v>0</v>
      </c>
      <c r="V37" s="61">
        <v>24</v>
      </c>
      <c r="W37" s="61" t="str">
        <f>IFERROR(VLOOKUP(Table2[[#This Row],[Code4]],'[2]New Reason code'!$A$2:$D$77,2,0),0)</f>
        <v>FQC return</v>
      </c>
      <c r="X37" s="61" t="str">
        <f>IFERROR(VLOOKUP(Table2[[#This Row],[Reason]],'[2]New Reason code'!$B$2:$D$77,2,0),0)</f>
        <v>Due to operator</v>
      </c>
      <c r="Y37" s="61" t="str">
        <f>IFERROR(VLOOKUP(Table2[[#This Row],[Rejection Identified at]],'[2]New Reason code'!$C$2:$D$77,2,0),0)</f>
        <v xml:space="preserve">infrastructure </v>
      </c>
    </row>
    <row r="38" spans="1:25" ht="20.25" customHeight="1">
      <c r="A38" s="50">
        <v>34</v>
      </c>
      <c r="B38" s="61">
        <v>12</v>
      </c>
      <c r="C38" s="61" t="str">
        <f>IFERROR(VLOOKUP(Table2[[#This Row],[Code]],'[2]New Machine sheet'!$A$1:$D$101,2,0),0)</f>
        <v>282-12</v>
      </c>
      <c r="D38" s="61" t="str">
        <f>IFERROR(VLOOKUP(Table2[[#This Row],[M/c No]],'[2]New Machine sheet'!$B$1:$D$101,2,0),0)</f>
        <v>Mazak</v>
      </c>
      <c r="E38" s="61" t="str">
        <f>IFERROR(VLOOKUP(Table2[[#This Row],[M/c Name]],'[2]New Machine sheet'!$C$1:$D$101,2,0),0)</f>
        <v>Turning</v>
      </c>
      <c r="F38" s="61">
        <v>115</v>
      </c>
      <c r="G38" s="61">
        <f>IFERROR(VLOOKUP(Table2[[#This Row],[Code2]],'[2]New Machine sheet'!$F$2:$I$64,2,),0)</f>
        <v>24115</v>
      </c>
      <c r="H38" s="61" t="str">
        <f>IFERROR(VLOOKUP(Table2[[#This Row],[Code2]],'[2]New Machine sheet'!$F$2:$I$64,3,0),0)</f>
        <v>RE J1</v>
      </c>
      <c r="I38" s="61" t="s">
        <v>136</v>
      </c>
      <c r="J38" s="61">
        <v>3</v>
      </c>
      <c r="K38" s="61" t="str">
        <f>IFERROR(VLOOKUP(Table2[[#This Row],[Code3]],'[2]New defect code '!$A$2:$D$129,2,0),0)</f>
        <v>Bore damage</v>
      </c>
      <c r="L38" s="45" t="s">
        <v>114</v>
      </c>
      <c r="M38" s="56">
        <v>46266</v>
      </c>
      <c r="N38" s="61"/>
      <c r="O38" s="61">
        <v>1</v>
      </c>
      <c r="P38" s="61"/>
      <c r="Q38" s="61"/>
      <c r="R38" s="61">
        <f>SUBTOTAL(9,Table2[[#This Row],[1st]:[FQC]])</f>
        <v>1</v>
      </c>
      <c r="S38" s="61">
        <f>IFERROR(VLOOKUP(Table2[[#This Row],[Part No.]],'[2]New Machine sheet'!$G$2:$I$90,3,0),0)</f>
        <v>66.900000000000006</v>
      </c>
      <c r="T38" s="61">
        <f>Table2[[#This Row],[cost per piece]]*Table2[[#This Row],[Total Rej. qty]]</f>
        <v>66.900000000000006</v>
      </c>
      <c r="U38" s="61">
        <f>IFERROR(VLOOKUP(Table2[[#This Row],[Non Conformance]],'[2]New defect code '!$B$2:$C$129,2,0),0)</f>
        <v>0</v>
      </c>
      <c r="V38" s="61">
        <v>66</v>
      </c>
      <c r="W38" s="61" t="str">
        <f>IFERROR(VLOOKUP(Table2[[#This Row],[Code4]],'[2]New Reason code'!$A$2:$D$77,2,0),0)</f>
        <v>Wrong Loading</v>
      </c>
      <c r="X38" s="61" t="str">
        <f>IFERROR(VLOOKUP(Table2[[#This Row],[Reason]],'[2]New Reason code'!$B$2:$D$77,2,0),0)</f>
        <v>Due to operator</v>
      </c>
      <c r="Y38" s="61" t="str">
        <f>IFERROR(VLOOKUP(Table2[[#This Row],[Rejection Identified at]],'[2]New Reason code'!$C$2:$D$77,2,0),0)</f>
        <v xml:space="preserve">infrastructure </v>
      </c>
    </row>
    <row r="39" spans="1:25" ht="20.25" customHeight="1">
      <c r="A39" s="60">
        <v>35</v>
      </c>
      <c r="B39" s="61">
        <v>23</v>
      </c>
      <c r="C39" s="61" t="str">
        <f>IFERROR(VLOOKUP(Table2[[#This Row],[Code]],'[2]New Machine sheet'!$A$1:$D$101,2,0),0)</f>
        <v>ACE-03</v>
      </c>
      <c r="D39" s="61" t="str">
        <f>IFERROR(VLOOKUP(Table2[[#This Row],[M/c No]],'[2]New Machine sheet'!$B$1:$D$101,2,0),0)</f>
        <v>Micromatic</v>
      </c>
      <c r="E39" s="61" t="str">
        <f>IFERROR(VLOOKUP(Table2[[#This Row],[M/c Name]],'[2]New Machine sheet'!$C$1:$D$101,2,0),0)</f>
        <v>Turning</v>
      </c>
      <c r="F39" s="61">
        <v>178</v>
      </c>
      <c r="G39" s="61">
        <f>IFERROR(VLOOKUP(Table2[[#This Row],[Code2]],'[2]New Machine sheet'!$F$2:$I$64,2,),0)</f>
        <v>24178</v>
      </c>
      <c r="H39" s="61" t="str">
        <f>IFERROR(VLOOKUP(Table2[[#This Row],[Code2]],'[2]New Machine sheet'!$F$2:$I$64,3,0),0)</f>
        <v>RE J1</v>
      </c>
      <c r="I39" s="61"/>
      <c r="J39" s="61">
        <v>5</v>
      </c>
      <c r="K39" s="61" t="str">
        <f>IFERROR(VLOOKUP(Table2[[#This Row],[Code3]],'[2]New defect code '!$A$2:$D$129,2,0),0)</f>
        <v>Bore Over size</v>
      </c>
      <c r="L39" s="45" t="s">
        <v>114</v>
      </c>
      <c r="M39" s="56">
        <v>46266</v>
      </c>
      <c r="N39" s="61"/>
      <c r="O39" s="61">
        <v>7</v>
      </c>
      <c r="P39" s="61"/>
      <c r="Q39" s="61"/>
      <c r="R39" s="61">
        <f>SUBTOTAL(9,Table2[[#This Row],[1st]:[FQC]])</f>
        <v>7</v>
      </c>
      <c r="S39" s="61">
        <f>IFERROR(VLOOKUP(Table2[[#This Row],[Part No.]],'[2]New Machine sheet'!$G$2:$I$90,3,0),0)</f>
        <v>70.62</v>
      </c>
      <c r="T39" s="61">
        <f>Table2[[#This Row],[cost per piece]]*Table2[[#This Row],[Total Rej. qty]]</f>
        <v>494.34000000000003</v>
      </c>
      <c r="U39" s="61">
        <f>IFERROR(VLOOKUP(Table2[[#This Row],[Non Conformance]],'[2]New defect code '!$B$2:$C$129,2,0),0)</f>
        <v>3243</v>
      </c>
      <c r="V39" s="61">
        <v>12</v>
      </c>
      <c r="W39" s="61" t="str">
        <f>IFERROR(VLOOKUP(Table2[[#This Row],[Code4]],'[2]New Reason code'!$A$2:$D$77,2,0),0)</f>
        <v>Double loading</v>
      </c>
      <c r="X39" s="61" t="str">
        <f>IFERROR(VLOOKUP(Table2[[#This Row],[Reason]],'[2]New Reason code'!$B$2:$D$77,2,0),0)</f>
        <v>Due to operator</v>
      </c>
      <c r="Y39" s="61" t="str">
        <f>IFERROR(VLOOKUP(Table2[[#This Row],[Rejection Identified at]],'[2]New Reason code'!$C$2:$D$77,2,0),0)</f>
        <v xml:space="preserve">infrastructure </v>
      </c>
    </row>
    <row r="40" spans="1:25" ht="20.25" customHeight="1">
      <c r="A40" s="60">
        <v>36</v>
      </c>
      <c r="B40" s="61">
        <v>23</v>
      </c>
      <c r="C40" s="61" t="str">
        <f>IFERROR(VLOOKUP(Table2[[#This Row],[Code]],'[2]New Machine sheet'!$A$1:$D$101,2,0),0)</f>
        <v>ACE-03</v>
      </c>
      <c r="D40" s="61" t="str">
        <f>IFERROR(VLOOKUP(Table2[[#This Row],[M/c No]],'[2]New Machine sheet'!$B$1:$D$101,2,0),0)</f>
        <v>Micromatic</v>
      </c>
      <c r="E40" s="61" t="str">
        <f>IFERROR(VLOOKUP(Table2[[#This Row],[M/c Name]],'[2]New Machine sheet'!$C$1:$D$101,2,0),0)</f>
        <v>Turning</v>
      </c>
      <c r="F40" s="61">
        <v>178</v>
      </c>
      <c r="G40" s="61">
        <f>IFERROR(VLOOKUP(Table2[[#This Row],[Code2]],'[2]New Machine sheet'!$F$2:$I$64,2,),0)</f>
        <v>24178</v>
      </c>
      <c r="H40" s="61" t="str">
        <f>IFERROR(VLOOKUP(Table2[[#This Row],[Code2]],'[2]New Machine sheet'!$F$2:$I$64,3,0),0)</f>
        <v>RE J1</v>
      </c>
      <c r="I40" s="61"/>
      <c r="J40" s="61">
        <v>5</v>
      </c>
      <c r="K40" s="61" t="str">
        <f>IFERROR(VLOOKUP(Table2[[#This Row],[Code3]],'[2]New defect code '!$A$2:$D$129,2,0),0)</f>
        <v>Bore Over size</v>
      </c>
      <c r="L40" s="45" t="s">
        <v>114</v>
      </c>
      <c r="M40" s="56">
        <v>46266</v>
      </c>
      <c r="N40" s="61"/>
      <c r="O40" s="61">
        <v>3</v>
      </c>
      <c r="P40" s="61"/>
      <c r="Q40" s="61"/>
      <c r="R40" s="61">
        <f>SUBTOTAL(9,Table2[[#This Row],[1st]:[FQC]])</f>
        <v>3</v>
      </c>
      <c r="S40" s="61">
        <f>IFERROR(VLOOKUP(Table2[[#This Row],[Part No.]],'[2]New Machine sheet'!$G$2:$I$90,3,0),0)</f>
        <v>70.62</v>
      </c>
      <c r="T40" s="61">
        <f>Table2[[#This Row],[cost per piece]]*Table2[[#This Row],[Total Rej. qty]]</f>
        <v>211.86</v>
      </c>
      <c r="U40" s="61">
        <f>IFERROR(VLOOKUP(Table2[[#This Row],[Non Conformance]],'[2]New defect code '!$B$2:$C$129,2,0),0)</f>
        <v>3243</v>
      </c>
      <c r="V40" s="61">
        <v>18</v>
      </c>
      <c r="W40" s="61" t="str">
        <f>IFERROR(VLOOKUP(Table2[[#This Row],[Code4]],'[2]New Reason code'!$A$2:$D$77,2,0),0)</f>
        <v>During insert change</v>
      </c>
      <c r="X40" s="61" t="str">
        <f>IFERROR(VLOOKUP(Table2[[#This Row],[Reason]],'[2]New Reason code'!$B$2:$D$77,2,0),0)</f>
        <v xml:space="preserve">Due to Settup  </v>
      </c>
      <c r="Y40" s="61" t="str">
        <f>IFERROR(VLOOKUP(Table2[[#This Row],[Rejection Identified at]],'[2]New Reason code'!$C$2:$D$77,2,0),0)</f>
        <v>skill</v>
      </c>
    </row>
    <row r="41" spans="1:25" ht="20.25" customHeight="1">
      <c r="A41" s="50">
        <v>37</v>
      </c>
      <c r="B41" s="61">
        <v>17</v>
      </c>
      <c r="C41" s="61" t="str">
        <f>IFERROR(VLOOKUP(Table2[[#This Row],[Code]],'[2]New Machine sheet'!$A$1:$D$101,2,0),0)</f>
        <v>282-17</v>
      </c>
      <c r="D41" s="61" t="str">
        <f>IFERROR(VLOOKUP(Table2[[#This Row],[M/c No]],'[2]New Machine sheet'!$B$1:$D$101,2,0),0)</f>
        <v>Mazak</v>
      </c>
      <c r="E41" s="61" t="str">
        <f>IFERROR(VLOOKUP(Table2[[#This Row],[M/c Name]],'[2]New Machine sheet'!$C$1:$D$101,2,0),0)</f>
        <v>Turning</v>
      </c>
      <c r="F41" s="61">
        <v>113</v>
      </c>
      <c r="G41" s="61">
        <f>IFERROR(VLOOKUP(Table2[[#This Row],[Code2]],'[2]New Machine sheet'!$F$2:$I$64,2,),0)</f>
        <v>24113</v>
      </c>
      <c r="H41" s="61" t="str">
        <f>IFERROR(VLOOKUP(Table2[[#This Row],[Code2]],'[2]New Machine sheet'!$F$2:$I$64,3,0),0)</f>
        <v>RE J1</v>
      </c>
      <c r="I41" s="61" t="s">
        <v>137</v>
      </c>
      <c r="J41" s="61">
        <v>5</v>
      </c>
      <c r="K41" s="61" t="str">
        <f>IFERROR(VLOOKUP(Table2[[#This Row],[Code3]],'[2]New defect code '!$A$2:$D$129,2,0),0)</f>
        <v>Bore Over size</v>
      </c>
      <c r="L41" s="45" t="s">
        <v>114</v>
      </c>
      <c r="M41" s="56">
        <v>46266</v>
      </c>
      <c r="N41" s="61"/>
      <c r="O41" s="61"/>
      <c r="P41" s="61">
        <v>3</v>
      </c>
      <c r="Q41" s="61"/>
      <c r="R41" s="61">
        <f>SUBTOTAL(9,Table2[[#This Row],[1st]:[FQC]])</f>
        <v>3</v>
      </c>
      <c r="S41" s="61">
        <f>IFERROR(VLOOKUP(Table2[[#This Row],[Part No.]],'[2]New Machine sheet'!$G$2:$I$90,3,0),0)</f>
        <v>90</v>
      </c>
      <c r="T41" s="61">
        <f>Table2[[#This Row],[cost per piece]]*Table2[[#This Row],[Total Rej. qty]]</f>
        <v>270</v>
      </c>
      <c r="U41" s="61">
        <f>IFERROR(VLOOKUP(Table2[[#This Row],[Non Conformance]],'[2]New defect code '!$B$2:$C$129,2,0),0)</f>
        <v>3243</v>
      </c>
      <c r="V41" s="61">
        <v>70</v>
      </c>
      <c r="W41" s="61" t="str">
        <f>IFERROR(VLOOKUP(Table2[[#This Row],[Code4]],'[2]New Reason code'!$A$2:$D$77,2,0),0)</f>
        <v>Insert Wear Out</v>
      </c>
      <c r="X41" s="61" t="str">
        <f>IFERROR(VLOOKUP(Table2[[#This Row],[Reason]],'[2]New Reason code'!$B$2:$D$77,2,0),0)</f>
        <v>Line audit</v>
      </c>
      <c r="Y41" s="61" t="str">
        <f>IFERROR(VLOOKUP(Table2[[#This Row],[Rejection Identified at]],'[2]New Reason code'!$C$2:$D$77,2,0),0)</f>
        <v>Process Issue</v>
      </c>
    </row>
    <row r="42" spans="1:25" ht="20.25" customHeight="1">
      <c r="A42" s="60">
        <v>38</v>
      </c>
      <c r="B42" s="61">
        <v>44</v>
      </c>
      <c r="C42" s="61" t="str">
        <f>IFERROR(VLOOKUP(Table2[[#This Row],[Code]],'[2]New Machine sheet'!$A$1:$D$101,2,0),0)</f>
        <v>LT20-NEW</v>
      </c>
      <c r="D42" s="61" t="str">
        <f>IFERROR(VLOOKUP(Table2[[#This Row],[M/c No]],'[2]New Machine sheet'!$B$1:$D$101,2,0),0)</f>
        <v>ACE</v>
      </c>
      <c r="E42" s="61" t="str">
        <f>IFERROR(VLOOKUP(Table2[[#This Row],[M/c Name]],'[2]New Machine sheet'!$C$1:$D$101,2,0),0)</f>
        <v xml:space="preserve">turning </v>
      </c>
      <c r="F42" s="61">
        <v>122</v>
      </c>
      <c r="G42" s="61">
        <f>IFERROR(VLOOKUP(Table2[[#This Row],[Code2]],'[2]New Machine sheet'!$F$2:$I$64,2,),0)</f>
        <v>24122</v>
      </c>
      <c r="H42" s="61" t="str">
        <f>IFERROR(VLOOKUP(Table2[[#This Row],[Code2]],'[2]New Machine sheet'!$F$2:$I$64,3,0),0)</f>
        <v>RE J1</v>
      </c>
      <c r="I42" s="61" t="s">
        <v>138</v>
      </c>
      <c r="J42" s="61">
        <v>66</v>
      </c>
      <c r="K42" s="61" t="str">
        <f>IFERROR(VLOOKUP(Table2[[#This Row],[Code3]],'[2]New defect code '!$A$2:$D$129,2,0),0)</f>
        <v>OD Under Size</v>
      </c>
      <c r="L42" s="45" t="s">
        <v>114</v>
      </c>
      <c r="M42" s="56">
        <v>46266</v>
      </c>
      <c r="N42" s="61"/>
      <c r="O42" s="61"/>
      <c r="P42" s="61">
        <v>1</v>
      </c>
      <c r="Q42" s="61"/>
      <c r="R42" s="61">
        <f>SUBTOTAL(9,Table2[[#This Row],[1st]:[FQC]])</f>
        <v>1</v>
      </c>
      <c r="S42" s="61">
        <f>IFERROR(VLOOKUP(Table2[[#This Row],[Part No.]],'[2]New Machine sheet'!$G$2:$I$90,3,0),0)</f>
        <v>335.39977528089889</v>
      </c>
      <c r="T42" s="61">
        <f>Table2[[#This Row],[cost per piece]]*Table2[[#This Row],[Total Rej. qty]]</f>
        <v>335.39977528089889</v>
      </c>
      <c r="U42" s="61">
        <f>IFERROR(VLOOKUP(Table2[[#This Row],[Non Conformance]],'[2]New defect code '!$B$2:$C$129,2,0),0)</f>
        <v>3242</v>
      </c>
      <c r="V42" s="61">
        <v>18</v>
      </c>
      <c r="W42" s="61" t="str">
        <f>IFERROR(VLOOKUP(Table2[[#This Row],[Code4]],'[2]New Reason code'!$A$2:$D$77,2,0),0)</f>
        <v>During insert change</v>
      </c>
      <c r="X42" s="61" t="str">
        <f>IFERROR(VLOOKUP(Table2[[#This Row],[Reason]],'[2]New Reason code'!$B$2:$D$77,2,0),0)</f>
        <v xml:space="preserve">Due to Settup  </v>
      </c>
      <c r="Y42" s="61" t="str">
        <f>IFERROR(VLOOKUP(Table2[[#This Row],[Rejection Identified at]],'[2]New Reason code'!$C$2:$D$77,2,0),0)</f>
        <v>skill</v>
      </c>
    </row>
    <row r="43" spans="1:25" ht="20.25" customHeight="1">
      <c r="A43" s="60">
        <v>39</v>
      </c>
      <c r="B43" s="61">
        <v>25</v>
      </c>
      <c r="C43" s="61" t="str">
        <f>IFERROR(VLOOKUP(Table2[[#This Row],[Code]],'[2]New Machine sheet'!$A$1:$D$101,2,0),0)</f>
        <v>ACE-05</v>
      </c>
      <c r="D43" s="61" t="str">
        <f>IFERROR(VLOOKUP(Table2[[#This Row],[M/c No]],'[2]New Machine sheet'!$B$1:$D$101,2,0),0)</f>
        <v>Micromatic</v>
      </c>
      <c r="E43" s="61" t="str">
        <f>IFERROR(VLOOKUP(Table2[[#This Row],[M/c Name]],'[2]New Machine sheet'!$C$1:$D$101,2,0),0)</f>
        <v>Turning</v>
      </c>
      <c r="F43" s="61">
        <v>122</v>
      </c>
      <c r="G43" s="61">
        <f>IFERROR(VLOOKUP(Table2[[#This Row],[Code2]],'[2]New Machine sheet'!$F$2:$I$64,2,),0)</f>
        <v>24122</v>
      </c>
      <c r="H43" s="61" t="str">
        <f>IFERROR(VLOOKUP(Table2[[#This Row],[Code2]],'[2]New Machine sheet'!$F$2:$I$64,3,0),0)</f>
        <v>RE J1</v>
      </c>
      <c r="I43" s="61" t="s">
        <v>139</v>
      </c>
      <c r="J43" s="61">
        <v>5</v>
      </c>
      <c r="K43" s="61" t="str">
        <f>IFERROR(VLOOKUP(Table2[[#This Row],[Code3]],'[2]New defect code '!$A$2:$D$129,2,0),0)</f>
        <v>Bore Over size</v>
      </c>
      <c r="L43" s="45" t="s">
        <v>114</v>
      </c>
      <c r="M43" s="56">
        <v>46266</v>
      </c>
      <c r="N43" s="61"/>
      <c r="O43" s="61"/>
      <c r="P43" s="61">
        <v>1</v>
      </c>
      <c r="Q43" s="61"/>
      <c r="R43" s="61">
        <f>SUBTOTAL(9,Table2[[#This Row],[1st]:[FQC]])</f>
        <v>1</v>
      </c>
      <c r="S43" s="61">
        <f>IFERROR(VLOOKUP(Table2[[#This Row],[Part No.]],'[2]New Machine sheet'!$G$2:$I$90,3,0),0)</f>
        <v>335.39977528089889</v>
      </c>
      <c r="T43" s="61">
        <f>Table2[[#This Row],[cost per piece]]*Table2[[#This Row],[Total Rej. qty]]</f>
        <v>335.39977528089889</v>
      </c>
      <c r="U43" s="61">
        <f>IFERROR(VLOOKUP(Table2[[#This Row],[Non Conformance]],'[2]New defect code '!$B$2:$C$129,2,0),0)</f>
        <v>3243</v>
      </c>
      <c r="V43" s="61">
        <v>18</v>
      </c>
      <c r="W43" s="61" t="str">
        <f>IFERROR(VLOOKUP(Table2[[#This Row],[Code4]],'[2]New Reason code'!$A$2:$D$77,2,0),0)</f>
        <v>During insert change</v>
      </c>
      <c r="X43" s="61" t="str">
        <f>IFERROR(VLOOKUP(Table2[[#This Row],[Reason]],'[2]New Reason code'!$B$2:$D$77,2,0),0)</f>
        <v xml:space="preserve">Due to Settup  </v>
      </c>
      <c r="Y43" s="61" t="str">
        <f>IFERROR(VLOOKUP(Table2[[#This Row],[Rejection Identified at]],'[2]New Reason code'!$C$2:$D$77,2,0),0)</f>
        <v>skill</v>
      </c>
    </row>
    <row r="44" spans="1:25" ht="20.25" customHeight="1">
      <c r="A44" s="50">
        <v>40</v>
      </c>
      <c r="B44" s="61">
        <v>5</v>
      </c>
      <c r="C44" s="61" t="str">
        <f>IFERROR(VLOOKUP(Table2[[#This Row],[Code]],'[2]New Machine sheet'!$A$1:$D$101,2,0),0)</f>
        <v>282-05</v>
      </c>
      <c r="D44" s="61" t="str">
        <f>IFERROR(VLOOKUP(Table2[[#This Row],[M/c No]],'[2]New Machine sheet'!$B$1:$D$101,2,0),0)</f>
        <v>Mazak</v>
      </c>
      <c r="E44" s="61" t="str">
        <f>IFERROR(VLOOKUP(Table2[[#This Row],[M/c Name]],'[2]New Machine sheet'!$C$1:$D$101,2,0),0)</f>
        <v>Turning</v>
      </c>
      <c r="F44" s="61">
        <v>119</v>
      </c>
      <c r="G44" s="61">
        <f>IFERROR(VLOOKUP(Table2[[#This Row],[Code2]],'[2]New Machine sheet'!$F$2:$I$64,2,),0)</f>
        <v>24119</v>
      </c>
      <c r="H44" s="61" t="str">
        <f>IFERROR(VLOOKUP(Table2[[#This Row],[Code2]],'[2]New Machine sheet'!$F$2:$I$64,3,0),0)</f>
        <v>RE J1</v>
      </c>
      <c r="I44" s="61" t="s">
        <v>134</v>
      </c>
      <c r="J44" s="61">
        <v>5</v>
      </c>
      <c r="K44" s="61" t="str">
        <f>IFERROR(VLOOKUP(Table2[[#This Row],[Code3]],'[2]New defect code '!$A$2:$D$129,2,0),0)</f>
        <v>Bore Over size</v>
      </c>
      <c r="L44" s="45" t="s">
        <v>114</v>
      </c>
      <c r="M44" s="56">
        <v>46266</v>
      </c>
      <c r="N44" s="61"/>
      <c r="O44" s="61"/>
      <c r="P44" s="61">
        <v>3</v>
      </c>
      <c r="Q44" s="61"/>
      <c r="R44" s="61">
        <f>SUBTOTAL(9,Table2[[#This Row],[1st]:[FQC]])</f>
        <v>3</v>
      </c>
      <c r="S44" s="61">
        <f>IFERROR(VLOOKUP(Table2[[#This Row],[Part No.]],'[2]New Machine sheet'!$G$2:$I$90,3,0),0)</f>
        <v>103.2</v>
      </c>
      <c r="T44" s="61">
        <f>Table2[[#This Row],[cost per piece]]*Table2[[#This Row],[Total Rej. qty]]</f>
        <v>309.60000000000002</v>
      </c>
      <c r="U44" s="61">
        <f>IFERROR(VLOOKUP(Table2[[#This Row],[Non Conformance]],'[2]New defect code '!$B$2:$C$129,2,0),0)</f>
        <v>3243</v>
      </c>
      <c r="V44" s="61">
        <v>19</v>
      </c>
      <c r="W44" s="61" t="str">
        <f>IFERROR(VLOOKUP(Table2[[#This Row],[Code4]],'[2]New Reason code'!$A$2:$D$77,2,0),0)</f>
        <v>During Rework time</v>
      </c>
      <c r="X44" s="61" t="str">
        <f>IFERROR(VLOOKUP(Table2[[#This Row],[Reason]],'[2]New Reason code'!$B$2:$D$77,2,0),0)</f>
        <v>Due to operator</v>
      </c>
      <c r="Y44" s="61" t="str">
        <f>IFERROR(VLOOKUP(Table2[[#This Row],[Rejection Identified at]],'[2]New Reason code'!$C$2:$D$77,2,0),0)</f>
        <v xml:space="preserve">infrastructure </v>
      </c>
    </row>
    <row r="45" spans="1:25" ht="20.25" customHeight="1">
      <c r="A45" s="60">
        <v>41</v>
      </c>
      <c r="B45" s="61">
        <v>47</v>
      </c>
      <c r="C45" s="61" t="str">
        <f>IFERROR(VLOOKUP(Table2[[#This Row],[Code]],'[2]New Machine sheet'!$A$1:$D$101,2,0),0)</f>
        <v>MURATEC-03</v>
      </c>
      <c r="D45" s="61" t="str">
        <f>IFERROR(VLOOKUP(Table2[[#This Row],[M/c No]],'[2]New Machine sheet'!$B$1:$D$101,2,0),0)</f>
        <v>MURATEC</v>
      </c>
      <c r="E45" s="61" t="str">
        <f>IFERROR(VLOOKUP(Table2[[#This Row],[M/c Name]],'[2]New Machine sheet'!$C$1:$D$101,2,0),0)</f>
        <v xml:space="preserve">turning </v>
      </c>
      <c r="F45" s="61">
        <v>127</v>
      </c>
      <c r="G45" s="61">
        <f>IFERROR(VLOOKUP(Table2[[#This Row],[Code2]],'[2]New Machine sheet'!$F$2:$I$64,2,),0)</f>
        <v>24127</v>
      </c>
      <c r="H45" s="61" t="str">
        <f>IFERROR(VLOOKUP(Table2[[#This Row],[Code2]],'[2]New Machine sheet'!$F$2:$I$64,3,0),0)</f>
        <v>RE J1</v>
      </c>
      <c r="I45" s="61" t="s">
        <v>140</v>
      </c>
      <c r="J45" s="61">
        <v>66</v>
      </c>
      <c r="K45" s="61" t="str">
        <f>IFERROR(VLOOKUP(Table2[[#This Row],[Code3]],'[2]New defect code '!$A$2:$D$129,2,0),0)</f>
        <v>OD Under Size</v>
      </c>
      <c r="L45" s="45" t="s">
        <v>114</v>
      </c>
      <c r="M45" s="56">
        <v>46266</v>
      </c>
      <c r="N45" s="61"/>
      <c r="O45" s="61"/>
      <c r="P45" s="61">
        <v>2</v>
      </c>
      <c r="Q45" s="61"/>
      <c r="R45" s="61">
        <f>SUBTOTAL(9,Table2[[#This Row],[1st]:[FQC]])</f>
        <v>2</v>
      </c>
      <c r="S45" s="61">
        <f>IFERROR(VLOOKUP(Table2[[#This Row],[Part No.]],'[2]New Machine sheet'!$G$2:$I$90,3,0),0)</f>
        <v>262.81200000000001</v>
      </c>
      <c r="T45" s="61">
        <f>Table2[[#This Row],[cost per piece]]*Table2[[#This Row],[Total Rej. qty]]</f>
        <v>525.62400000000002</v>
      </c>
      <c r="U45" s="61">
        <f>IFERROR(VLOOKUP(Table2[[#This Row],[Non Conformance]],'[2]New defect code '!$B$2:$C$129,2,0),0)</f>
        <v>3242</v>
      </c>
      <c r="V45" s="61">
        <v>45</v>
      </c>
      <c r="W45" s="61" t="str">
        <f>IFERROR(VLOOKUP(Table2[[#This Row],[Code4]],'[2]New Reason code'!$A$2:$D$77,2,0),0)</f>
        <v>Running m/c</v>
      </c>
      <c r="X45" s="61" t="str">
        <f>IFERROR(VLOOKUP(Table2[[#This Row],[Reason]],'[2]New Reason code'!$B$2:$D$77,2,0),0)</f>
        <v xml:space="preserve">Due to machine </v>
      </c>
      <c r="Y45" s="61" t="str">
        <f>IFERROR(VLOOKUP(Table2[[#This Row],[Rejection Identified at]],'[2]New Reason code'!$C$2:$D$77,2,0),0)</f>
        <v>process</v>
      </c>
    </row>
    <row r="46" spans="1:25" ht="20.25" customHeight="1">
      <c r="A46" s="60">
        <v>42</v>
      </c>
      <c r="B46" s="61">
        <v>45</v>
      </c>
      <c r="C46" s="61" t="str">
        <f>IFERROR(VLOOKUP(Table2[[#This Row],[Code]],'[2]New Machine sheet'!$A$1:$D$101,2,0),0)</f>
        <v>MURATEC-01</v>
      </c>
      <c r="D46" s="61" t="str">
        <f>IFERROR(VLOOKUP(Table2[[#This Row],[M/c No]],'[2]New Machine sheet'!$B$1:$D$101,2,0),0)</f>
        <v>MURATEC</v>
      </c>
      <c r="E46" s="61" t="str">
        <f>IFERROR(VLOOKUP(Table2[[#This Row],[M/c Name]],'[2]New Machine sheet'!$C$1:$D$101,2,0),0)</f>
        <v xml:space="preserve">turning </v>
      </c>
      <c r="F46" s="61">
        <v>127</v>
      </c>
      <c r="G46" s="61">
        <f>IFERROR(VLOOKUP(Table2[[#This Row],[Code2]],'[2]New Machine sheet'!$F$2:$I$64,2,),0)</f>
        <v>24127</v>
      </c>
      <c r="H46" s="61" t="str">
        <f>IFERROR(VLOOKUP(Table2[[#This Row],[Code2]],'[2]New Machine sheet'!$F$2:$I$64,3,0),0)</f>
        <v>RE J1</v>
      </c>
      <c r="I46" s="61" t="s">
        <v>140</v>
      </c>
      <c r="J46" s="61">
        <v>5</v>
      </c>
      <c r="K46" s="61" t="str">
        <f>IFERROR(VLOOKUP(Table2[[#This Row],[Code3]],'[2]New defect code '!$A$2:$D$129,2,0),0)</f>
        <v>Bore Over size</v>
      </c>
      <c r="L46" s="45" t="s">
        <v>114</v>
      </c>
      <c r="M46" s="56">
        <v>46266</v>
      </c>
      <c r="N46" s="61"/>
      <c r="O46" s="61"/>
      <c r="P46" s="61">
        <v>4</v>
      </c>
      <c r="Q46" s="61"/>
      <c r="R46" s="61">
        <f>SUBTOTAL(9,Table2[[#This Row],[1st]:[FQC]])</f>
        <v>4</v>
      </c>
      <c r="S46" s="61">
        <f>IFERROR(VLOOKUP(Table2[[#This Row],[Part No.]],'[2]New Machine sheet'!$G$2:$I$90,3,0),0)</f>
        <v>262.81200000000001</v>
      </c>
      <c r="T46" s="61">
        <f>Table2[[#This Row],[cost per piece]]*Table2[[#This Row],[Total Rej. qty]]</f>
        <v>1051.248</v>
      </c>
      <c r="U46" s="61">
        <f>IFERROR(VLOOKUP(Table2[[#This Row],[Non Conformance]],'[2]New defect code '!$B$2:$C$129,2,0),0)</f>
        <v>3243</v>
      </c>
      <c r="V46" s="61">
        <v>64</v>
      </c>
      <c r="W46" s="61" t="str">
        <f>IFERROR(VLOOKUP(Table2[[#This Row],[Code4]],'[2]New Reason code'!$A$2:$D$77,2,0),0)</f>
        <v>Wrong correction</v>
      </c>
      <c r="X46" s="61" t="str">
        <f>IFERROR(VLOOKUP(Table2[[#This Row],[Reason]],'[2]New Reason code'!$B$2:$D$77,2,0),0)</f>
        <v>Due to operator</v>
      </c>
      <c r="Y46" s="61" t="str">
        <f>IFERROR(VLOOKUP(Table2[[#This Row],[Rejection Identified at]],'[2]New Reason code'!$C$2:$D$77,2,0),0)</f>
        <v xml:space="preserve">infrastructure </v>
      </c>
    </row>
    <row r="47" spans="1:25" ht="20.25" customHeight="1">
      <c r="A47" s="50">
        <v>43</v>
      </c>
      <c r="B47" s="61">
        <v>6</v>
      </c>
      <c r="C47" s="61" t="str">
        <f>IFERROR(VLOOKUP(Table2[[#This Row],[Code]],'[2]New Machine sheet'!$A$1:$D$101,2,0),0)</f>
        <v>282-06</v>
      </c>
      <c r="D47" s="61" t="str">
        <f>IFERROR(VLOOKUP(Table2[[#This Row],[M/c No]],'[2]New Machine sheet'!$B$1:$D$101,2,0),0)</f>
        <v>Mazak</v>
      </c>
      <c r="E47" s="61" t="str">
        <f>IFERROR(VLOOKUP(Table2[[#This Row],[M/c Name]],'[2]New Machine sheet'!$C$1:$D$101,2,0),0)</f>
        <v>Turning</v>
      </c>
      <c r="F47" s="61">
        <v>178</v>
      </c>
      <c r="G47" s="61">
        <f>IFERROR(VLOOKUP(Table2[[#This Row],[Code2]],'[2]New Machine sheet'!$F$2:$I$64,2,),0)</f>
        <v>24178</v>
      </c>
      <c r="H47" s="61" t="str">
        <f>IFERROR(VLOOKUP(Table2[[#This Row],[Code2]],'[2]New Machine sheet'!$F$2:$I$64,3,0),0)</f>
        <v>RE J1</v>
      </c>
      <c r="I47" s="61"/>
      <c r="J47" s="61">
        <v>5</v>
      </c>
      <c r="K47" s="61" t="str">
        <f>IFERROR(VLOOKUP(Table2[[#This Row],[Code3]],'[2]New defect code '!$A$2:$D$129,2,0),0)</f>
        <v>Bore Over size</v>
      </c>
      <c r="L47" s="45" t="s">
        <v>114</v>
      </c>
      <c r="M47" s="56">
        <v>46266</v>
      </c>
      <c r="N47" s="61"/>
      <c r="O47" s="61"/>
      <c r="P47" s="61">
        <v>9</v>
      </c>
      <c r="Q47" s="61"/>
      <c r="R47" s="61">
        <f>SUBTOTAL(9,Table2[[#This Row],[1st]:[FQC]])</f>
        <v>9</v>
      </c>
      <c r="S47" s="61">
        <f>IFERROR(VLOOKUP(Table2[[#This Row],[Part No.]],'[2]New Machine sheet'!$G$2:$I$90,3,0),0)</f>
        <v>70.62</v>
      </c>
      <c r="T47" s="61">
        <f>Table2[[#This Row],[cost per piece]]*Table2[[#This Row],[Total Rej. qty]]</f>
        <v>635.58000000000004</v>
      </c>
      <c r="U47" s="61">
        <f>IFERROR(VLOOKUP(Table2[[#This Row],[Non Conformance]],'[2]New defect code '!$B$2:$C$129,2,0),0)</f>
        <v>3243</v>
      </c>
      <c r="V47" s="61">
        <v>70</v>
      </c>
      <c r="W47" s="61" t="str">
        <f>IFERROR(VLOOKUP(Table2[[#This Row],[Code4]],'[2]New Reason code'!$A$2:$D$77,2,0),0)</f>
        <v>Insert Wear Out</v>
      </c>
      <c r="X47" s="61" t="str">
        <f>IFERROR(VLOOKUP(Table2[[#This Row],[Reason]],'[2]New Reason code'!$B$2:$D$77,2,0),0)</f>
        <v>Line audit</v>
      </c>
      <c r="Y47" s="61" t="str">
        <f>IFERROR(VLOOKUP(Table2[[#This Row],[Rejection Identified at]],'[2]New Reason code'!$C$2:$D$77,2,0),0)</f>
        <v>Process Issue</v>
      </c>
    </row>
    <row r="48" spans="1:25" ht="20.25" customHeight="1">
      <c r="A48" s="60">
        <v>44</v>
      </c>
      <c r="B48" s="61">
        <v>6</v>
      </c>
      <c r="C48" s="61" t="str">
        <f>IFERROR(VLOOKUP(Table2[[#This Row],[Code]],'[2]New Machine sheet'!$A$1:$D$101,2,0),0)</f>
        <v>282-06</v>
      </c>
      <c r="D48" s="61" t="str">
        <f>IFERROR(VLOOKUP(Table2[[#This Row],[M/c No]],'[2]New Machine sheet'!$B$1:$D$101,2,0),0)</f>
        <v>Mazak</v>
      </c>
      <c r="E48" s="61" t="str">
        <f>IFERROR(VLOOKUP(Table2[[#This Row],[M/c Name]],'[2]New Machine sheet'!$C$1:$D$101,2,0),0)</f>
        <v>Turning</v>
      </c>
      <c r="F48" s="61">
        <v>178</v>
      </c>
      <c r="G48" s="61">
        <f>IFERROR(VLOOKUP(Table2[[#This Row],[Code2]],'[2]New Machine sheet'!$F$2:$I$64,2,),0)</f>
        <v>24178</v>
      </c>
      <c r="H48" s="61" t="str">
        <f>IFERROR(VLOOKUP(Table2[[#This Row],[Code2]],'[2]New Machine sheet'!$F$2:$I$64,3,0),0)</f>
        <v>RE J1</v>
      </c>
      <c r="I48" s="61"/>
      <c r="J48" s="61">
        <v>80</v>
      </c>
      <c r="K48" s="61" t="str">
        <f>IFERROR(VLOOKUP(Table2[[#This Row],[Code3]],'[2]New defect code '!$A$2:$D$129,2,0),0)</f>
        <v xml:space="preserve">Rust </v>
      </c>
      <c r="L48" s="45" t="s">
        <v>114</v>
      </c>
      <c r="M48" s="56">
        <v>46266</v>
      </c>
      <c r="N48" s="61"/>
      <c r="O48" s="61"/>
      <c r="P48" s="61">
        <v>5</v>
      </c>
      <c r="Q48" s="61"/>
      <c r="R48" s="61">
        <f>SUBTOTAL(9,Table2[[#This Row],[1st]:[FQC]])</f>
        <v>5</v>
      </c>
      <c r="S48" s="61">
        <f>IFERROR(VLOOKUP(Table2[[#This Row],[Part No.]],'[2]New Machine sheet'!$G$2:$I$90,3,0),0)</f>
        <v>70.62</v>
      </c>
      <c r="T48" s="61">
        <f>Table2[[#This Row],[cost per piece]]*Table2[[#This Row],[Total Rej. qty]]</f>
        <v>353.1</v>
      </c>
      <c r="U48" s="61">
        <f>IFERROR(VLOOKUP(Table2[[#This Row],[Non Conformance]],'[2]New defect code '!$B$2:$C$129,2,0),0)</f>
        <v>0</v>
      </c>
      <c r="V48" s="61">
        <v>15</v>
      </c>
      <c r="W48" s="61" t="str">
        <f>IFERROR(VLOOKUP(Table2[[#This Row],[Code4]],'[2]New Reason code'!$A$2:$D$77,2,0),0)</f>
        <v>During ACMA (5S) time</v>
      </c>
      <c r="X48" s="61" t="str">
        <f>IFERROR(VLOOKUP(Table2[[#This Row],[Reason]],'[2]New Reason code'!$B$2:$D$77,2,0),0)</f>
        <v>Prod Declared</v>
      </c>
      <c r="Y48" s="61" t="str">
        <f>IFERROR(VLOOKUP(Table2[[#This Row],[Rejection Identified at]],'[2]New Reason code'!$C$2:$D$77,2,0),0)</f>
        <v>Process Issue</v>
      </c>
    </row>
    <row r="49" spans="1:25" ht="20.25" customHeight="1">
      <c r="A49" s="60">
        <v>45</v>
      </c>
      <c r="B49" s="61">
        <v>25</v>
      </c>
      <c r="C49" s="61" t="str">
        <f>IFERROR(VLOOKUP(Table2[[#This Row],[Code]],'[2]New Machine sheet'!$A$1:$D$101,2,0),0)</f>
        <v>ACE-05</v>
      </c>
      <c r="D49" s="61" t="str">
        <f>IFERROR(VLOOKUP(Table2[[#This Row],[M/c No]],'[2]New Machine sheet'!$B$1:$D$101,2,0),0)</f>
        <v>Micromatic</v>
      </c>
      <c r="E49" s="61" t="str">
        <f>IFERROR(VLOOKUP(Table2[[#This Row],[M/c Name]],'[2]New Machine sheet'!$C$1:$D$101,2,0),0)</f>
        <v>Turning</v>
      </c>
      <c r="F49" s="61">
        <v>122</v>
      </c>
      <c r="G49" s="61">
        <f>IFERROR(VLOOKUP(Table2[[#This Row],[Code2]],'[2]New Machine sheet'!$F$2:$I$64,2,),0)</f>
        <v>24122</v>
      </c>
      <c r="H49" s="61" t="str">
        <f>IFERROR(VLOOKUP(Table2[[#This Row],[Code2]],'[2]New Machine sheet'!$F$2:$I$64,3,0),0)</f>
        <v>RE J1</v>
      </c>
      <c r="I49" s="61" t="s">
        <v>151</v>
      </c>
      <c r="J49" s="61">
        <v>5</v>
      </c>
      <c r="K49" s="61" t="str">
        <f>IFERROR(VLOOKUP(Table2[[#This Row],[Code3]],'[2]New defect code '!$A$2:$D$129,2,0),0)</f>
        <v>Bore Over size</v>
      </c>
      <c r="L49" s="61" t="s">
        <v>149</v>
      </c>
      <c r="M49" s="56">
        <v>46266</v>
      </c>
      <c r="N49" s="61">
        <v>4</v>
      </c>
      <c r="O49" s="61"/>
      <c r="P49" s="61"/>
      <c r="Q49" s="61"/>
      <c r="R49" s="61">
        <f>SUBTOTAL(9,Table2[[#This Row],[1st]:[FQC]])</f>
        <v>4</v>
      </c>
      <c r="S49" s="61">
        <f>IFERROR(VLOOKUP(Table2[[#This Row],[Part No.]],'[2]New Machine sheet'!$G$2:$I$90,3,0),0)</f>
        <v>335.39977528089889</v>
      </c>
      <c r="T49" s="61">
        <f>Table2[[#This Row],[cost per piece]]*Table2[[#This Row],[Total Rej. qty]]</f>
        <v>1341.5991011235956</v>
      </c>
      <c r="U49" s="61">
        <f>IFERROR(VLOOKUP(Table2[[#This Row],[Non Conformance]],'[2]New defect code '!$B$2:$C$129,2,0),0)</f>
        <v>3243</v>
      </c>
      <c r="V49" s="61">
        <v>12</v>
      </c>
      <c r="W49" s="61" t="str">
        <f>IFERROR(VLOOKUP(Table2[[#This Row],[Code4]],'[2]New Reason code'!$A$2:$D$77,2,0),0)</f>
        <v>Double loading</v>
      </c>
      <c r="X49" s="61" t="str">
        <f>IFERROR(VLOOKUP(Table2[[#This Row],[Reason]],'[2]New Reason code'!$B$2:$D$77,2,0),0)</f>
        <v>Due to operator</v>
      </c>
      <c r="Y49" s="61" t="str">
        <f>IFERROR(VLOOKUP(Table2[[#This Row],[Rejection Identified at]],'[2]New Reason code'!$C$2:$D$77,2,0),0)</f>
        <v xml:space="preserve">infrastructure </v>
      </c>
    </row>
    <row r="50" spans="1:25" ht="20.25" customHeight="1">
      <c r="A50" s="50">
        <v>46</v>
      </c>
      <c r="B50" s="61"/>
      <c r="C50" s="61" t="s">
        <v>116</v>
      </c>
      <c r="D50" s="61" t="s">
        <v>117</v>
      </c>
      <c r="E50" s="61" t="str">
        <f>IFERROR(VLOOKUP(Table2[[#This Row],[M/c Name]],'[2]New Machine sheet'!$C$1:$D$101,2,0),0)</f>
        <v>Turning</v>
      </c>
      <c r="F50" s="61">
        <v>127</v>
      </c>
      <c r="G50" s="61">
        <f>IFERROR(VLOOKUP(Table2[[#This Row],[Code2]],'[2]New Machine sheet'!$F$2:$I$64,2,),0)</f>
        <v>24127</v>
      </c>
      <c r="H50" s="61" t="str">
        <f>IFERROR(VLOOKUP(Table2[[#This Row],[Code2]],'[2]New Machine sheet'!$F$2:$I$64,3,0),0)</f>
        <v>RE J1</v>
      </c>
      <c r="I50" s="61" t="s">
        <v>121</v>
      </c>
      <c r="J50" s="61">
        <v>40</v>
      </c>
      <c r="K50" s="61" t="str">
        <f>IFERROR(VLOOKUP(Table2[[#This Row],[Code3]],'[2]New defect code '!$A$2:$D$129,2,0),0)</f>
        <v>FACE Damage</v>
      </c>
      <c r="L50" s="61" t="s">
        <v>149</v>
      </c>
      <c r="M50" s="56">
        <v>46266</v>
      </c>
      <c r="N50" s="61">
        <v>5</v>
      </c>
      <c r="O50" s="61"/>
      <c r="P50" s="61"/>
      <c r="Q50" s="61"/>
      <c r="R50" s="61">
        <f>SUBTOTAL(9,Table2[[#This Row],[1st]:[FQC]])</f>
        <v>5</v>
      </c>
      <c r="S50" s="61">
        <f>IFERROR(VLOOKUP(Table2[[#This Row],[Part No.]],'[2]New Machine sheet'!$G$2:$I$90,3,0),0)</f>
        <v>262.81200000000001</v>
      </c>
      <c r="T50" s="61">
        <f>Table2[[#This Row],[cost per piece]]*Table2[[#This Row],[Total Rej. qty]]</f>
        <v>1314.06</v>
      </c>
      <c r="U50" s="61">
        <f>IFERROR(VLOOKUP(Table2[[#This Row],[Non Conformance]],'[2]New defect code '!$B$2:$C$129,2,0),0)</f>
        <v>3229</v>
      </c>
      <c r="V50" s="61">
        <v>42</v>
      </c>
      <c r="W50" s="61" t="str">
        <f>IFERROR(VLOOKUP(Table2[[#This Row],[Code4]],'[2]New Reason code'!$A$2:$D$77,2,0),0)</f>
        <v>part not checked by operator</v>
      </c>
      <c r="X50" s="61" t="str">
        <f>IFERROR(VLOOKUP(Table2[[#This Row],[Reason]],'[2]New Reason code'!$B$2:$D$77,2,0),0)</f>
        <v>Line audit</v>
      </c>
      <c r="Y50" s="61" t="str">
        <f>IFERROR(VLOOKUP(Table2[[#This Row],[Rejection Identified at]],'[2]New Reason code'!$C$2:$D$77,2,0),0)</f>
        <v>Process Issue</v>
      </c>
    </row>
    <row r="51" spans="1:25" ht="20.25" customHeight="1">
      <c r="A51" s="60">
        <v>47</v>
      </c>
      <c r="B51" s="61"/>
      <c r="C51" s="61" t="s">
        <v>150</v>
      </c>
      <c r="D51" s="61" t="s">
        <v>117</v>
      </c>
      <c r="E51" s="61" t="str">
        <f>IFERROR(VLOOKUP(Table2[[#This Row],[M/c Name]],'[2]New Machine sheet'!$C$1:$D$101,2,0),0)</f>
        <v>Turning</v>
      </c>
      <c r="F51" s="61">
        <v>122</v>
      </c>
      <c r="G51" s="61">
        <f>IFERROR(VLOOKUP(Table2[[#This Row],[Code2]],'[2]New Machine sheet'!$F$2:$I$64,2,),0)</f>
        <v>24122</v>
      </c>
      <c r="H51" s="61" t="str">
        <f>IFERROR(VLOOKUP(Table2[[#This Row],[Code2]],'[2]New Machine sheet'!$F$2:$I$64,3,0),0)</f>
        <v>RE J1</v>
      </c>
      <c r="I51" s="61" t="s">
        <v>121</v>
      </c>
      <c r="J51" s="61">
        <v>93</v>
      </c>
      <c r="K51" s="61" t="str">
        <f>IFERROR(VLOOKUP(Table2[[#This Row],[Code3]],'[2]New defect code '!$A$2:$D$129,2,0),0)</f>
        <v>Thickness Under size</v>
      </c>
      <c r="L51" s="61" t="s">
        <v>149</v>
      </c>
      <c r="M51" s="56">
        <v>46266</v>
      </c>
      <c r="N51" s="61">
        <v>1</v>
      </c>
      <c r="O51" s="61"/>
      <c r="P51" s="61"/>
      <c r="Q51" s="61"/>
      <c r="R51" s="61">
        <f>SUBTOTAL(9,Table2[[#This Row],[1st]:[FQC]])</f>
        <v>1</v>
      </c>
      <c r="S51" s="61">
        <f>IFERROR(VLOOKUP(Table2[[#This Row],[Part No.]],'[2]New Machine sheet'!$G$2:$I$90,3,0),0)</f>
        <v>335.39977528089889</v>
      </c>
      <c r="T51" s="61">
        <f>Table2[[#This Row],[cost per piece]]*Table2[[#This Row],[Total Rej. qty]]</f>
        <v>335.39977528089889</v>
      </c>
      <c r="U51" s="61">
        <f>IFERROR(VLOOKUP(Table2[[#This Row],[Non Conformance]],'[2]New defect code '!$B$2:$C$129,2,0),0)</f>
        <v>3258</v>
      </c>
      <c r="V51" s="61">
        <v>18</v>
      </c>
      <c r="W51" s="61" t="str">
        <f>IFERROR(VLOOKUP(Table2[[#This Row],[Code4]],'[2]New Reason code'!$A$2:$D$77,2,0),0)</f>
        <v>During insert change</v>
      </c>
      <c r="X51" s="61" t="str">
        <f>IFERROR(VLOOKUP(Table2[[#This Row],[Reason]],'[2]New Reason code'!$B$2:$D$77,2,0),0)</f>
        <v xml:space="preserve">Due to Settup  </v>
      </c>
      <c r="Y51" s="61" t="str">
        <f>IFERROR(VLOOKUP(Table2[[#This Row],[Rejection Identified at]],'[2]New Reason code'!$C$2:$D$77,2,0),0)</f>
        <v>skill</v>
      </c>
    </row>
    <row r="52" spans="1:25" ht="20.25" customHeight="1">
      <c r="A52" s="60">
        <v>48</v>
      </c>
      <c r="B52" s="61"/>
      <c r="C52" s="61" t="s">
        <v>150</v>
      </c>
      <c r="D52" s="61" t="s">
        <v>117</v>
      </c>
      <c r="E52" s="61" t="str">
        <f>IFERROR(VLOOKUP(Table2[[#This Row],[M/c Name]],'[2]New Machine sheet'!$C$1:$D$101,2,0),0)</f>
        <v>Turning</v>
      </c>
      <c r="F52" s="61">
        <v>185</v>
      </c>
      <c r="G52" s="61">
        <f>IFERROR(VLOOKUP(Table2[[#This Row],[Code2]],'[2]New Machine sheet'!$F$2:$I$64,2,),0)</f>
        <v>24185</v>
      </c>
      <c r="H52" s="61" t="str">
        <f>IFERROR(VLOOKUP(Table2[[#This Row],[Code2]],'[2]New Machine sheet'!$F$2:$I$64,3,0),0)</f>
        <v>RE Bush</v>
      </c>
      <c r="I52" s="61" t="s">
        <v>121</v>
      </c>
      <c r="J52" s="61">
        <v>21</v>
      </c>
      <c r="K52" s="61" t="str">
        <f>IFERROR(VLOOKUP(Table2[[#This Row],[Code3]],'[2]New defect code '!$A$2:$D$129,2,0),0)</f>
        <v>Bush Reject of defective part</v>
      </c>
      <c r="L52" s="61" t="s">
        <v>149</v>
      </c>
      <c r="M52" s="56">
        <v>46266</v>
      </c>
      <c r="N52" s="61">
        <v>1</v>
      </c>
      <c r="O52" s="61"/>
      <c r="P52" s="61"/>
      <c r="Q52" s="61"/>
      <c r="R52" s="61">
        <f>SUBTOTAL(9,Table2[[#This Row],[1st]:[FQC]])</f>
        <v>1</v>
      </c>
      <c r="S52" s="61">
        <f>IFERROR(VLOOKUP(Table2[[#This Row],[Part No.]],'[2]New Machine sheet'!$G$2:$I$90,3,0),0)</f>
        <v>25.53</v>
      </c>
      <c r="T52" s="61">
        <f>Table2[[#This Row],[cost per piece]]*Table2[[#This Row],[Total Rej. qty]]</f>
        <v>25.53</v>
      </c>
      <c r="U52" s="61">
        <f>IFERROR(VLOOKUP(Table2[[#This Row],[Non Conformance]],'[2]New defect code '!$B$2:$C$129,2,0),0)</f>
        <v>0</v>
      </c>
      <c r="V52" s="61">
        <v>6</v>
      </c>
      <c r="W52" s="61" t="str">
        <f>IFERROR(VLOOKUP(Table2[[#This Row],[Code4]],'[2]New Reason code'!$A$2:$D$77,2,0),0)</f>
        <v>bush will not use again</v>
      </c>
      <c r="X52" s="61" t="str">
        <f>IFERROR(VLOOKUP(Table2[[#This Row],[Reason]],'[2]New Reason code'!$B$2:$D$77,2,0),0)</f>
        <v>Prod Declared</v>
      </c>
      <c r="Y52" s="61" t="str">
        <f>IFERROR(VLOOKUP(Table2[[#This Row],[Rejection Identified at]],'[2]New Reason code'!$C$2:$D$77,2,0),0)</f>
        <v>Process Issue</v>
      </c>
    </row>
    <row r="53" spans="1:25" ht="20.25" customHeight="1">
      <c r="A53" s="50">
        <v>49</v>
      </c>
      <c r="B53" s="61">
        <v>43</v>
      </c>
      <c r="C53" s="61" t="str">
        <f>IFERROR(VLOOKUP(Table2[[#This Row],[Code]],'[2]New Machine sheet'!$A$1:$D$101,2,0),0)</f>
        <v>252-05</v>
      </c>
      <c r="D53" s="61" t="str">
        <f>IFERROR(VLOOKUP(Table2[[#This Row],[M/c No]],'[2]New Machine sheet'!$B$1:$D$101,2,0),0)</f>
        <v>VMC</v>
      </c>
      <c r="E53" s="61" t="str">
        <f>IFERROR(VLOOKUP(Table2[[#This Row],[M/c Name]],'[2]New Machine sheet'!$C$1:$D$101,2,0),0)</f>
        <v>VMC</v>
      </c>
      <c r="F53" s="61">
        <v>155</v>
      </c>
      <c r="G53" s="61">
        <f>IFERROR(VLOOKUP(Table2[[#This Row],[Code2]],'[2]New Machine sheet'!$F$2:$I$64,2,),0)</f>
        <v>24155</v>
      </c>
      <c r="H53" s="61" t="str">
        <f>IFERROR(VLOOKUP(Table2[[#This Row],[Code2]],'[2]New Machine sheet'!$F$2:$I$64,3,0),0)</f>
        <v>RE J1</v>
      </c>
      <c r="I53" s="61" t="s">
        <v>152</v>
      </c>
      <c r="J53" s="61">
        <v>32</v>
      </c>
      <c r="K53" s="61" t="str">
        <f>IFERROR(VLOOKUP(Table2[[#This Row],[Code3]],'[2]New defect code '!$A$2:$D$129,2,0),0)</f>
        <v>Double Dot Punching</v>
      </c>
      <c r="L53" s="61" t="s">
        <v>149</v>
      </c>
      <c r="M53" s="56">
        <v>46266</v>
      </c>
      <c r="N53" s="61">
        <v>12</v>
      </c>
      <c r="O53" s="61"/>
      <c r="P53" s="61"/>
      <c r="Q53" s="61"/>
      <c r="R53" s="61">
        <f>SUBTOTAL(9,Table2[[#This Row],[1st]:[FQC]])</f>
        <v>12</v>
      </c>
      <c r="S53" s="61">
        <f>IFERROR(VLOOKUP(Table2[[#This Row],[Part No.]],'[2]New Machine sheet'!$G$2:$I$90,3,0),0)</f>
        <v>107.67</v>
      </c>
      <c r="T53" s="61">
        <f>Table2[[#This Row],[cost per piece]]*Table2[[#This Row],[Total Rej. qty]]</f>
        <v>1292.04</v>
      </c>
      <c r="U53" s="61">
        <f>IFERROR(VLOOKUP(Table2[[#This Row],[Non Conformance]],'[2]New defect code '!$B$2:$C$129,2,0),0)</f>
        <v>0</v>
      </c>
      <c r="V53" s="61">
        <v>66</v>
      </c>
      <c r="W53" s="61" t="str">
        <f>IFERROR(VLOOKUP(Table2[[#This Row],[Code4]],'[2]New Reason code'!$A$2:$D$77,2,0),0)</f>
        <v>Wrong Loading</v>
      </c>
      <c r="X53" s="61" t="str">
        <f>IFERROR(VLOOKUP(Table2[[#This Row],[Reason]],'[2]New Reason code'!$B$2:$D$77,2,0),0)</f>
        <v>Due to operator</v>
      </c>
      <c r="Y53" s="61" t="str">
        <f>IFERROR(VLOOKUP(Table2[[#This Row],[Rejection Identified at]],'[2]New Reason code'!$C$2:$D$77,2,0),0)</f>
        <v xml:space="preserve">infrastructure </v>
      </c>
    </row>
    <row r="54" spans="1:25" ht="20.25" customHeight="1">
      <c r="A54" s="60">
        <v>50</v>
      </c>
      <c r="B54" s="61">
        <v>10</v>
      </c>
      <c r="C54" s="61" t="str">
        <f>IFERROR(VLOOKUP(Table2[[#This Row],[Code]],'[2]New Machine sheet'!$A$1:$D$101,2,0),0)</f>
        <v>282-10</v>
      </c>
      <c r="D54" s="61" t="str">
        <f>IFERROR(VLOOKUP(Table2[[#This Row],[M/c No]],'[2]New Machine sheet'!$B$1:$D$101,2,0),0)</f>
        <v>Mazak</v>
      </c>
      <c r="E54" s="61" t="str">
        <f>IFERROR(VLOOKUP(Table2[[#This Row],[M/c Name]],'[2]New Machine sheet'!$C$1:$D$101,2,0),0)</f>
        <v>Turning</v>
      </c>
      <c r="F54" s="61">
        <v>155</v>
      </c>
      <c r="G54" s="61">
        <f>IFERROR(VLOOKUP(Table2[[#This Row],[Code2]],'[2]New Machine sheet'!$F$2:$I$64,2,),0)</f>
        <v>24155</v>
      </c>
      <c r="H54" s="61" t="str">
        <f>IFERROR(VLOOKUP(Table2[[#This Row],[Code2]],'[2]New Machine sheet'!$F$2:$I$64,3,0),0)</f>
        <v>RE J1</v>
      </c>
      <c r="I54" s="61" t="s">
        <v>127</v>
      </c>
      <c r="J54" s="61">
        <v>93</v>
      </c>
      <c r="K54" s="61" t="str">
        <f>IFERROR(VLOOKUP(Table2[[#This Row],[Code3]],'[2]New defect code '!$A$2:$D$129,2,0),0)</f>
        <v>Thickness Under size</v>
      </c>
      <c r="L54" s="61" t="s">
        <v>149</v>
      </c>
      <c r="M54" s="56">
        <v>46266</v>
      </c>
      <c r="N54" s="61">
        <v>2</v>
      </c>
      <c r="O54" s="61"/>
      <c r="P54" s="61"/>
      <c r="Q54" s="61"/>
      <c r="R54" s="61">
        <f>SUBTOTAL(9,Table2[[#This Row],[1st]:[FQC]])</f>
        <v>2</v>
      </c>
      <c r="S54" s="61">
        <f>IFERROR(VLOOKUP(Table2[[#This Row],[Part No.]],'[2]New Machine sheet'!$G$2:$I$90,3,0),0)</f>
        <v>107.67</v>
      </c>
      <c r="T54" s="61">
        <f>Table2[[#This Row],[cost per piece]]*Table2[[#This Row],[Total Rej. qty]]</f>
        <v>215.34</v>
      </c>
      <c r="U54" s="61">
        <f>IFERROR(VLOOKUP(Table2[[#This Row],[Non Conformance]],'[2]New defect code '!$B$2:$C$129,2,0),0)</f>
        <v>3258</v>
      </c>
      <c r="V54" s="61">
        <v>19</v>
      </c>
      <c r="W54" s="61" t="str">
        <f>IFERROR(VLOOKUP(Table2[[#This Row],[Code4]],'[2]New Reason code'!$A$2:$D$77,2,0),0)</f>
        <v>During Rework time</v>
      </c>
      <c r="X54" s="61" t="str">
        <f>IFERROR(VLOOKUP(Table2[[#This Row],[Reason]],'[2]New Reason code'!$B$2:$D$77,2,0),0)</f>
        <v>Due to operator</v>
      </c>
      <c r="Y54" s="61" t="str">
        <f>IFERROR(VLOOKUP(Table2[[#This Row],[Rejection Identified at]],'[2]New Reason code'!$C$2:$D$77,2,0),0)</f>
        <v xml:space="preserve">infrastructure </v>
      </c>
    </row>
    <row r="55" spans="1:25" ht="20.25" customHeight="1">
      <c r="A55" s="60">
        <v>51</v>
      </c>
      <c r="B55" s="61">
        <v>13</v>
      </c>
      <c r="C55" s="61" t="str">
        <f>IFERROR(VLOOKUP(Table2[[#This Row],[Code]],'[2]New Machine sheet'!$A$1:$D$101,2,0),0)</f>
        <v>282-13</v>
      </c>
      <c r="D55" s="61" t="str">
        <f>IFERROR(VLOOKUP(Table2[[#This Row],[M/c No]],'[2]New Machine sheet'!$B$1:$D$101,2,0),0)</f>
        <v>Mazak</v>
      </c>
      <c r="E55" s="61" t="str">
        <f>IFERROR(VLOOKUP(Table2[[#This Row],[M/c Name]],'[2]New Machine sheet'!$C$1:$D$101,2,0),0)</f>
        <v>Turning</v>
      </c>
      <c r="F55" s="61">
        <v>119</v>
      </c>
      <c r="G55" s="61">
        <f>IFERROR(VLOOKUP(Table2[[#This Row],[Code2]],'[2]New Machine sheet'!$F$2:$I$64,2,),0)</f>
        <v>24119</v>
      </c>
      <c r="H55" s="61" t="str">
        <f>IFERROR(VLOOKUP(Table2[[#This Row],[Code2]],'[2]New Machine sheet'!$F$2:$I$64,3,0),0)</f>
        <v>RE J1</v>
      </c>
      <c r="I55" s="61" t="s">
        <v>129</v>
      </c>
      <c r="J55" s="61">
        <v>5</v>
      </c>
      <c r="K55" s="61" t="str">
        <f>IFERROR(VLOOKUP(Table2[[#This Row],[Code3]],'[2]New defect code '!$A$2:$D$129,2,0),0)</f>
        <v>Bore Over size</v>
      </c>
      <c r="L55" s="61" t="s">
        <v>149</v>
      </c>
      <c r="M55" s="56">
        <v>46266</v>
      </c>
      <c r="N55" s="61">
        <v>9</v>
      </c>
      <c r="O55" s="61"/>
      <c r="P55" s="61"/>
      <c r="Q55" s="61"/>
      <c r="R55" s="61">
        <f>SUBTOTAL(9,Table2[[#This Row],[1st]:[FQC]])</f>
        <v>9</v>
      </c>
      <c r="S55" s="61">
        <f>IFERROR(VLOOKUP(Table2[[#This Row],[Part No.]],'[2]New Machine sheet'!$G$2:$I$90,3,0),0)</f>
        <v>103.2</v>
      </c>
      <c r="T55" s="61">
        <f>Table2[[#This Row],[cost per piece]]*Table2[[#This Row],[Total Rej. qty]]</f>
        <v>928.80000000000007</v>
      </c>
      <c r="U55" s="61">
        <f>IFERROR(VLOOKUP(Table2[[#This Row],[Non Conformance]],'[2]New defect code '!$B$2:$C$129,2,0),0)</f>
        <v>3243</v>
      </c>
      <c r="V55" s="61">
        <v>19</v>
      </c>
      <c r="W55" s="61" t="str">
        <f>IFERROR(VLOOKUP(Table2[[#This Row],[Code4]],'[2]New Reason code'!$A$2:$D$77,2,0),0)</f>
        <v>During Rework time</v>
      </c>
      <c r="X55" s="61" t="str">
        <f>IFERROR(VLOOKUP(Table2[[#This Row],[Reason]],'[2]New Reason code'!$B$2:$D$77,2,0),0)</f>
        <v>Due to operator</v>
      </c>
      <c r="Y55" s="61" t="str">
        <f>IFERROR(VLOOKUP(Table2[[#This Row],[Rejection Identified at]],'[2]New Reason code'!$C$2:$D$77,2,0),0)</f>
        <v xml:space="preserve">infrastructure </v>
      </c>
    </row>
    <row r="56" spans="1:25" ht="20.25" customHeight="1">
      <c r="A56" s="50">
        <v>52</v>
      </c>
      <c r="B56" s="61">
        <v>22</v>
      </c>
      <c r="C56" s="61" t="str">
        <f>IFERROR(VLOOKUP(Table2[[#This Row],[Code]],'[2]New Machine sheet'!$A$1:$D$101,2,0),0)</f>
        <v>ACE-02</v>
      </c>
      <c r="D56" s="61" t="str">
        <f>IFERROR(VLOOKUP(Table2[[#This Row],[M/c No]],'[2]New Machine sheet'!$B$1:$D$101,2,0),0)</f>
        <v>Micromatic</v>
      </c>
      <c r="E56" s="61" t="str">
        <f>IFERROR(VLOOKUP(Table2[[#This Row],[M/c Name]],'[2]New Machine sheet'!$C$1:$D$101,2,0),0)</f>
        <v>Turning</v>
      </c>
      <c r="F56" s="61">
        <v>115</v>
      </c>
      <c r="G56" s="61">
        <f>IFERROR(VLOOKUP(Table2[[#This Row],[Code2]],'[2]New Machine sheet'!$F$2:$I$64,2,),0)</f>
        <v>24115</v>
      </c>
      <c r="H56" s="61" t="str">
        <f>IFERROR(VLOOKUP(Table2[[#This Row],[Code2]],'[2]New Machine sheet'!$F$2:$I$64,3,0),0)</f>
        <v>RE J1</v>
      </c>
      <c r="I56" s="61" t="s">
        <v>153</v>
      </c>
      <c r="J56" s="61">
        <v>5</v>
      </c>
      <c r="K56" s="61" t="str">
        <f>IFERROR(VLOOKUP(Table2[[#This Row],[Code3]],'[2]New defect code '!$A$2:$D$129,2,0),0)</f>
        <v>Bore Over size</v>
      </c>
      <c r="L56" s="61" t="s">
        <v>149</v>
      </c>
      <c r="M56" s="56">
        <v>46266</v>
      </c>
      <c r="N56" s="61">
        <v>1</v>
      </c>
      <c r="O56" s="61"/>
      <c r="P56" s="61"/>
      <c r="Q56" s="61"/>
      <c r="R56" s="61">
        <f>SUBTOTAL(9,Table2[[#This Row],[1st]:[FQC]])</f>
        <v>1</v>
      </c>
      <c r="S56" s="61">
        <f>IFERROR(VLOOKUP(Table2[[#This Row],[Part No.]],'[2]New Machine sheet'!$G$2:$I$90,3,0),0)</f>
        <v>66.900000000000006</v>
      </c>
      <c r="T56" s="61">
        <f>Table2[[#This Row],[cost per piece]]*Table2[[#This Row],[Total Rej. qty]]</f>
        <v>66.900000000000006</v>
      </c>
      <c r="U56" s="61">
        <f>IFERROR(VLOOKUP(Table2[[#This Row],[Non Conformance]],'[2]New defect code '!$B$2:$C$129,2,0),0)</f>
        <v>3243</v>
      </c>
      <c r="V56" s="61">
        <v>18</v>
      </c>
      <c r="W56" s="61" t="str">
        <f>IFERROR(VLOOKUP(Table2[[#This Row],[Code4]],'[2]New Reason code'!$A$2:$D$77,2,0),0)</f>
        <v>During insert change</v>
      </c>
      <c r="X56" s="61" t="str">
        <f>IFERROR(VLOOKUP(Table2[[#This Row],[Reason]],'[2]New Reason code'!$B$2:$D$77,2,0),0)</f>
        <v xml:space="preserve">Due to Settup  </v>
      </c>
      <c r="Y56" s="61" t="str">
        <f>IFERROR(VLOOKUP(Table2[[#This Row],[Rejection Identified at]],'[2]New Reason code'!$C$2:$D$77,2,0),0)</f>
        <v>skill</v>
      </c>
    </row>
    <row r="57" spans="1:25" ht="20.25" customHeight="1">
      <c r="A57" s="60">
        <v>53</v>
      </c>
      <c r="B57" s="61">
        <v>20</v>
      </c>
      <c r="C57" s="61" t="str">
        <f>IFERROR(VLOOKUP(Table2[[#This Row],[Code]],'[2]New Machine sheet'!$A$1:$D$101,2,0),0)</f>
        <v>282-20</v>
      </c>
      <c r="D57" s="61" t="str">
        <f>IFERROR(VLOOKUP(Table2[[#This Row],[M/c No]],'[2]New Machine sheet'!$B$1:$D$101,2,0),0)</f>
        <v>Mazak</v>
      </c>
      <c r="E57" s="61" t="str">
        <f>IFERROR(VLOOKUP(Table2[[#This Row],[M/c Name]],'[2]New Machine sheet'!$C$1:$D$101,2,0),0)</f>
        <v>Turning</v>
      </c>
      <c r="F57" s="61">
        <v>115</v>
      </c>
      <c r="G57" s="61">
        <f>IFERROR(VLOOKUP(Table2[[#This Row],[Code2]],'[2]New Machine sheet'!$F$2:$I$64,2,),0)</f>
        <v>24115</v>
      </c>
      <c r="H57" s="61" t="str">
        <f>IFERROR(VLOOKUP(Table2[[#This Row],[Code2]],'[2]New Machine sheet'!$F$2:$I$64,3,0),0)</f>
        <v>RE J1</v>
      </c>
      <c r="I57" s="61" t="s">
        <v>153</v>
      </c>
      <c r="J57" s="61">
        <v>5</v>
      </c>
      <c r="K57" s="61" t="str">
        <f>IFERROR(VLOOKUP(Table2[[#This Row],[Code3]],'[2]New defect code '!$A$2:$D$129,2,0),0)</f>
        <v>Bore Over size</v>
      </c>
      <c r="L57" s="61" t="s">
        <v>149</v>
      </c>
      <c r="M57" s="56">
        <v>46266</v>
      </c>
      <c r="N57" s="61">
        <v>1</v>
      </c>
      <c r="O57" s="61"/>
      <c r="P57" s="61"/>
      <c r="Q57" s="61"/>
      <c r="R57" s="61">
        <f>SUBTOTAL(9,Table2[[#This Row],[1st]:[FQC]])</f>
        <v>1</v>
      </c>
      <c r="S57" s="61">
        <f>IFERROR(VLOOKUP(Table2[[#This Row],[Part No.]],'[2]New Machine sheet'!$G$2:$I$90,3,0),0)</f>
        <v>66.900000000000006</v>
      </c>
      <c r="T57" s="61">
        <f>Table2[[#This Row],[cost per piece]]*Table2[[#This Row],[Total Rej. qty]]</f>
        <v>66.900000000000006</v>
      </c>
      <c r="U57" s="61">
        <f>IFERROR(VLOOKUP(Table2[[#This Row],[Non Conformance]],'[2]New defect code '!$B$2:$C$129,2,0),0)</f>
        <v>3243</v>
      </c>
      <c r="V57" s="61">
        <v>18</v>
      </c>
      <c r="W57" s="61" t="str">
        <f>IFERROR(VLOOKUP(Table2[[#This Row],[Code4]],'[2]New Reason code'!$A$2:$D$77,2,0),0)</f>
        <v>During insert change</v>
      </c>
      <c r="X57" s="61" t="str">
        <f>IFERROR(VLOOKUP(Table2[[#This Row],[Reason]],'[2]New Reason code'!$B$2:$D$77,2,0),0)</f>
        <v xml:space="preserve">Due to Settup  </v>
      </c>
      <c r="Y57" s="61" t="str">
        <f>IFERROR(VLOOKUP(Table2[[#This Row],[Rejection Identified at]],'[2]New Reason code'!$C$2:$D$77,2,0),0)</f>
        <v>skill</v>
      </c>
    </row>
    <row r="58" spans="1:25" ht="20.25" customHeight="1">
      <c r="A58" s="60">
        <v>54</v>
      </c>
      <c r="B58" s="61">
        <v>42</v>
      </c>
      <c r="C58" s="61" t="str">
        <f>IFERROR(VLOOKUP(Table2[[#This Row],[Code]],'[2]New Machine sheet'!$A$1:$D$101,2,0),0)</f>
        <v>252-04</v>
      </c>
      <c r="D58" s="61" t="str">
        <f>IFERROR(VLOOKUP(Table2[[#This Row],[M/c No]],'[2]New Machine sheet'!$B$1:$D$101,2,0),0)</f>
        <v>VMC</v>
      </c>
      <c r="E58" s="61" t="str">
        <f>IFERROR(VLOOKUP(Table2[[#This Row],[M/c Name]],'[2]New Machine sheet'!$C$1:$D$101,2,0),0)</f>
        <v>VMC</v>
      </c>
      <c r="F58" s="61">
        <v>154</v>
      </c>
      <c r="G58" s="61">
        <f>IFERROR(VLOOKUP(Table2[[#This Row],[Code2]],'[2]New Machine sheet'!$F$2:$I$64,2,),0)</f>
        <v>24154</v>
      </c>
      <c r="H58" s="61" t="str">
        <f>IFERROR(VLOOKUP(Table2[[#This Row],[Code2]],'[2]New Machine sheet'!$F$2:$I$64,3,0),0)</f>
        <v>RE J1</v>
      </c>
      <c r="I58" s="61"/>
      <c r="J58" s="61">
        <v>32</v>
      </c>
      <c r="K58" s="61" t="str">
        <f>IFERROR(VLOOKUP(Table2[[#This Row],[Code3]],'[2]New defect code '!$A$2:$D$129,2,0),0)</f>
        <v>Double Dot Punching</v>
      </c>
      <c r="L58" s="61" t="s">
        <v>149</v>
      </c>
      <c r="M58" s="56">
        <v>46266</v>
      </c>
      <c r="N58" s="61">
        <v>3</v>
      </c>
      <c r="O58" s="61"/>
      <c r="P58" s="61"/>
      <c r="Q58" s="61"/>
      <c r="R58" s="61">
        <f>SUBTOTAL(9,Table2[[#This Row],[1st]:[FQC]])</f>
        <v>3</v>
      </c>
      <c r="S58" s="61">
        <f>IFERROR(VLOOKUP(Table2[[#This Row],[Part No.]],'[2]New Machine sheet'!$G$2:$I$90,3,0),0)</f>
        <v>82.64</v>
      </c>
      <c r="T58" s="61">
        <f>Table2[[#This Row],[cost per piece]]*Table2[[#This Row],[Total Rej. qty]]</f>
        <v>247.92000000000002</v>
      </c>
      <c r="U58" s="61">
        <f>IFERROR(VLOOKUP(Table2[[#This Row],[Non Conformance]],'[2]New defect code '!$B$2:$C$129,2,0),0)</f>
        <v>0</v>
      </c>
      <c r="V58" s="61">
        <v>12</v>
      </c>
      <c r="W58" s="61" t="str">
        <f>IFERROR(VLOOKUP(Table2[[#This Row],[Code4]],'[2]New Reason code'!$A$2:$D$77,2,0),0)</f>
        <v>Double loading</v>
      </c>
      <c r="X58" s="61" t="str">
        <f>IFERROR(VLOOKUP(Table2[[#This Row],[Reason]],'[2]New Reason code'!$B$2:$D$77,2,0),0)</f>
        <v>Due to operator</v>
      </c>
      <c r="Y58" s="61" t="str">
        <f>IFERROR(VLOOKUP(Table2[[#This Row],[Rejection Identified at]],'[2]New Reason code'!$C$2:$D$77,2,0),0)</f>
        <v xml:space="preserve">infrastructure </v>
      </c>
    </row>
    <row r="59" spans="1:25" ht="20.25" customHeight="1">
      <c r="A59" s="50">
        <v>55</v>
      </c>
      <c r="B59" s="61">
        <v>4</v>
      </c>
      <c r="C59" s="61" t="str">
        <f>IFERROR(VLOOKUP(Table2[[#This Row],[Code]],'[2]New Machine sheet'!$A$1:$D$101,2,0),0)</f>
        <v>282-04</v>
      </c>
      <c r="D59" s="61" t="str">
        <f>IFERROR(VLOOKUP(Table2[[#This Row],[M/c No]],'[2]New Machine sheet'!$B$1:$D$101,2,0),0)</f>
        <v>Mazak</v>
      </c>
      <c r="E59" s="61" t="str">
        <f>IFERROR(VLOOKUP(Table2[[#This Row],[M/c Name]],'[2]New Machine sheet'!$C$1:$D$101,2,0),0)</f>
        <v>Turning</v>
      </c>
      <c r="F59" s="61">
        <v>155</v>
      </c>
      <c r="G59" s="61">
        <f>IFERROR(VLOOKUP(Table2[[#This Row],[Code2]],'[2]New Machine sheet'!$F$2:$I$64,2,),0)</f>
        <v>24155</v>
      </c>
      <c r="H59" s="61" t="str">
        <f>IFERROR(VLOOKUP(Table2[[#This Row],[Code2]],'[2]New Machine sheet'!$F$2:$I$64,3,0),0)</f>
        <v>RE J1</v>
      </c>
      <c r="I59" s="61" t="s">
        <v>141</v>
      </c>
      <c r="J59" s="61">
        <v>5</v>
      </c>
      <c r="K59" s="61" t="str">
        <f>IFERROR(VLOOKUP(Table2[[#This Row],[Code3]],'[2]New defect code '!$A$2:$D$129,2,0),0)</f>
        <v>Bore Over size</v>
      </c>
      <c r="L59" s="61" t="s">
        <v>149</v>
      </c>
      <c r="M59" s="56">
        <v>46266</v>
      </c>
      <c r="N59" s="61">
        <v>1</v>
      </c>
      <c r="O59" s="61"/>
      <c r="P59" s="61"/>
      <c r="Q59" s="61"/>
      <c r="R59" s="61">
        <f>SUBTOTAL(9,Table2[[#This Row],[1st]:[FQC]])</f>
        <v>1</v>
      </c>
      <c r="S59" s="61">
        <f>IFERROR(VLOOKUP(Table2[[#This Row],[Part No.]],'[2]New Machine sheet'!$G$2:$I$90,3,0),0)</f>
        <v>107.67</v>
      </c>
      <c r="T59" s="61">
        <f>Table2[[#This Row],[cost per piece]]*Table2[[#This Row],[Total Rej. qty]]</f>
        <v>107.67</v>
      </c>
      <c r="U59" s="61">
        <f>IFERROR(VLOOKUP(Table2[[#This Row],[Non Conformance]],'[2]New defect code '!$B$2:$C$129,2,0),0)</f>
        <v>3243</v>
      </c>
      <c r="V59" s="61">
        <v>45</v>
      </c>
      <c r="W59" s="61" t="str">
        <f>IFERROR(VLOOKUP(Table2[[#This Row],[Code4]],'[2]New Reason code'!$A$2:$D$77,2,0),0)</f>
        <v>Running m/c</v>
      </c>
      <c r="X59" s="61" t="str">
        <f>IFERROR(VLOOKUP(Table2[[#This Row],[Reason]],'[2]New Reason code'!$B$2:$D$77,2,0),0)</f>
        <v xml:space="preserve">Due to machine </v>
      </c>
      <c r="Y59" s="61" t="str">
        <f>IFERROR(VLOOKUP(Table2[[#This Row],[Rejection Identified at]],'[2]New Reason code'!$C$2:$D$77,2,0),0)</f>
        <v>process</v>
      </c>
    </row>
    <row r="60" spans="1:25" ht="20.25" customHeight="1">
      <c r="A60" s="60">
        <v>56</v>
      </c>
      <c r="B60" s="61">
        <v>46</v>
      </c>
      <c r="C60" s="61" t="str">
        <f>IFERROR(VLOOKUP(Table2[[#This Row],[Code]],'[2]New Machine sheet'!$A$1:$D$101,2,0),0)</f>
        <v>MURATEC-02</v>
      </c>
      <c r="D60" s="61" t="str">
        <f>IFERROR(VLOOKUP(Table2[[#This Row],[M/c No]],'[2]New Machine sheet'!$B$1:$D$101,2,0),0)</f>
        <v>MURATEC</v>
      </c>
      <c r="E60" s="61" t="str">
        <f>IFERROR(VLOOKUP(Table2[[#This Row],[M/c Name]],'[2]New Machine sheet'!$C$1:$D$101,2,0),0)</f>
        <v xml:space="preserve">turning </v>
      </c>
      <c r="F60" s="61">
        <v>127</v>
      </c>
      <c r="G60" s="61">
        <f>IFERROR(VLOOKUP(Table2[[#This Row],[Code2]],'[2]New Machine sheet'!$F$2:$I$64,2,),0)</f>
        <v>24127</v>
      </c>
      <c r="H60" s="61" t="str">
        <f>IFERROR(VLOOKUP(Table2[[#This Row],[Code2]],'[2]New Machine sheet'!$F$2:$I$64,3,0),0)</f>
        <v>RE J1</v>
      </c>
      <c r="I60" s="61" t="s">
        <v>130</v>
      </c>
      <c r="J60" s="61">
        <v>5</v>
      </c>
      <c r="K60" s="61" t="str">
        <f>IFERROR(VLOOKUP(Table2[[#This Row],[Code3]],'[2]New defect code '!$A$2:$D$129,2,0),0)</f>
        <v>Bore Over size</v>
      </c>
      <c r="L60" s="61" t="s">
        <v>149</v>
      </c>
      <c r="M60" s="56">
        <v>46266</v>
      </c>
      <c r="N60" s="61">
        <v>1</v>
      </c>
      <c r="O60" s="61"/>
      <c r="P60" s="61"/>
      <c r="Q60" s="61"/>
      <c r="R60" s="61">
        <f>SUBTOTAL(9,Table2[[#This Row],[1st]:[FQC]])</f>
        <v>1</v>
      </c>
      <c r="S60" s="61">
        <f>IFERROR(VLOOKUP(Table2[[#This Row],[Part No.]],'[2]New Machine sheet'!$G$2:$I$90,3,0),0)</f>
        <v>262.81200000000001</v>
      </c>
      <c r="T60" s="61">
        <f>Table2[[#This Row],[cost per piece]]*Table2[[#This Row],[Total Rej. qty]]</f>
        <v>262.81200000000001</v>
      </c>
      <c r="U60" s="61">
        <f>IFERROR(VLOOKUP(Table2[[#This Row],[Non Conformance]],'[2]New defect code '!$B$2:$C$129,2,0),0)</f>
        <v>3243</v>
      </c>
      <c r="V60" s="61">
        <v>18</v>
      </c>
      <c r="W60" s="61" t="str">
        <f>IFERROR(VLOOKUP(Table2[[#This Row],[Code4]],'[2]New Reason code'!$A$2:$D$77,2,0),0)</f>
        <v>During insert change</v>
      </c>
      <c r="X60" s="61" t="str">
        <f>IFERROR(VLOOKUP(Table2[[#This Row],[Reason]],'[2]New Reason code'!$B$2:$D$77,2,0),0)</f>
        <v xml:space="preserve">Due to Settup  </v>
      </c>
      <c r="Y60" s="61" t="str">
        <f>IFERROR(VLOOKUP(Table2[[#This Row],[Rejection Identified at]],'[2]New Reason code'!$C$2:$D$77,2,0),0)</f>
        <v>skill</v>
      </c>
    </row>
    <row r="61" spans="1:25" ht="20.25" customHeight="1">
      <c r="A61" s="60">
        <v>57</v>
      </c>
      <c r="B61" s="61">
        <v>17</v>
      </c>
      <c r="C61" s="61" t="str">
        <f>IFERROR(VLOOKUP(Table2[[#This Row],[Code]],'[2]New Machine sheet'!$A$1:$D$101,2,0),0)</f>
        <v>282-17</v>
      </c>
      <c r="D61" s="61" t="str">
        <f>IFERROR(VLOOKUP(Table2[[#This Row],[M/c No]],'[2]New Machine sheet'!$B$1:$D$101,2,0),0)</f>
        <v>Mazak</v>
      </c>
      <c r="E61" s="61" t="str">
        <f>IFERROR(VLOOKUP(Table2[[#This Row],[M/c Name]],'[2]New Machine sheet'!$C$1:$D$101,2,0),0)</f>
        <v>Turning</v>
      </c>
      <c r="F61" s="61">
        <v>113</v>
      </c>
      <c r="G61" s="61">
        <f>IFERROR(VLOOKUP(Table2[[#This Row],[Code2]],'[2]New Machine sheet'!$F$2:$I$64,2,),0)</f>
        <v>24113</v>
      </c>
      <c r="H61" s="61" t="str">
        <f>IFERROR(VLOOKUP(Table2[[#This Row],[Code2]],'[2]New Machine sheet'!$F$2:$I$64,3,0),0)</f>
        <v>RE J1</v>
      </c>
      <c r="I61" s="61" t="s">
        <v>154</v>
      </c>
      <c r="J61" s="61">
        <v>5</v>
      </c>
      <c r="K61" s="61" t="str">
        <f>IFERROR(VLOOKUP(Table2[[#This Row],[Code3]],'[2]New defect code '!$A$2:$D$129,2,0),0)</f>
        <v>Bore Over size</v>
      </c>
      <c r="L61" s="61" t="s">
        <v>149</v>
      </c>
      <c r="M61" s="56">
        <v>46266</v>
      </c>
      <c r="N61" s="61">
        <v>17</v>
      </c>
      <c r="O61" s="61"/>
      <c r="P61" s="61"/>
      <c r="Q61" s="61"/>
      <c r="R61" s="61">
        <f>SUBTOTAL(9,Table2[[#This Row],[1st]:[FQC]])</f>
        <v>17</v>
      </c>
      <c r="S61" s="61">
        <f>IFERROR(VLOOKUP(Table2[[#This Row],[Part No.]],'[2]New Machine sheet'!$G$2:$I$90,3,0),0)</f>
        <v>90</v>
      </c>
      <c r="T61" s="61">
        <f>Table2[[#This Row],[cost per piece]]*Table2[[#This Row],[Total Rej. qty]]</f>
        <v>1530</v>
      </c>
      <c r="U61" s="61">
        <f>IFERROR(VLOOKUP(Table2[[#This Row],[Non Conformance]],'[2]New defect code '!$B$2:$C$129,2,0),0)</f>
        <v>3243</v>
      </c>
      <c r="V61" s="61">
        <v>19</v>
      </c>
      <c r="W61" s="61" t="str">
        <f>IFERROR(VLOOKUP(Table2[[#This Row],[Code4]],'[2]New Reason code'!$A$2:$D$77,2,0),0)</f>
        <v>During Rework time</v>
      </c>
      <c r="X61" s="61" t="str">
        <f>IFERROR(VLOOKUP(Table2[[#This Row],[Reason]],'[2]New Reason code'!$B$2:$D$77,2,0),0)</f>
        <v>Due to operator</v>
      </c>
      <c r="Y61" s="61" t="str">
        <f>IFERROR(VLOOKUP(Table2[[#This Row],[Rejection Identified at]],'[2]New Reason code'!$C$2:$D$77,2,0),0)</f>
        <v xml:space="preserve">infrastructure </v>
      </c>
    </row>
    <row r="62" spans="1:25" ht="20.25" customHeight="1">
      <c r="A62" s="50">
        <v>58</v>
      </c>
      <c r="B62" s="61">
        <v>45</v>
      </c>
      <c r="C62" s="61" t="str">
        <f>IFERROR(VLOOKUP(Table2[[#This Row],[Code]],'[2]New Machine sheet'!$A$1:$D$101,2,0),0)</f>
        <v>MURATEC-01</v>
      </c>
      <c r="D62" s="61" t="str">
        <f>IFERROR(VLOOKUP(Table2[[#This Row],[M/c No]],'[2]New Machine sheet'!$B$1:$D$101,2,0),0)</f>
        <v>MURATEC</v>
      </c>
      <c r="E62" s="61" t="str">
        <f>IFERROR(VLOOKUP(Table2[[#This Row],[M/c Name]],'[2]New Machine sheet'!$C$1:$D$101,2,0),0)</f>
        <v xml:space="preserve">turning </v>
      </c>
      <c r="F62" s="61">
        <v>172</v>
      </c>
      <c r="G62" s="61">
        <f>IFERROR(VLOOKUP(Table2[[#This Row],[Code2]],'[2]New Machine sheet'!$F$2:$I$64,2,),0)</f>
        <v>24172</v>
      </c>
      <c r="H62" s="61" t="str">
        <f>IFERROR(VLOOKUP(Table2[[#This Row],[Code2]],'[2]New Machine sheet'!$F$2:$I$64,3,0),0)</f>
        <v>RE J1</v>
      </c>
      <c r="I62" s="61" t="s">
        <v>130</v>
      </c>
      <c r="J62" s="61">
        <v>66</v>
      </c>
      <c r="K62" s="61" t="str">
        <f>IFERROR(VLOOKUP(Table2[[#This Row],[Code3]],'[2]New defect code '!$A$2:$D$129,2,0),0)</f>
        <v>OD Under Size</v>
      </c>
      <c r="L62" s="61" t="s">
        <v>149</v>
      </c>
      <c r="M62" s="56">
        <v>46266</v>
      </c>
      <c r="N62" s="61">
        <v>2</v>
      </c>
      <c r="O62" s="61"/>
      <c r="P62" s="61"/>
      <c r="Q62" s="61"/>
      <c r="R62" s="61">
        <f>SUBTOTAL(9,Table2[[#This Row],[1st]:[FQC]])</f>
        <v>2</v>
      </c>
      <c r="S62" s="61">
        <f>IFERROR(VLOOKUP(Table2[[#This Row],[Part No.]],'[2]New Machine sheet'!$G$2:$I$90,3,0),0)</f>
        <v>348.33</v>
      </c>
      <c r="T62" s="61">
        <f>Table2[[#This Row],[cost per piece]]*Table2[[#This Row],[Total Rej. qty]]</f>
        <v>696.66</v>
      </c>
      <c r="U62" s="61">
        <f>IFERROR(VLOOKUP(Table2[[#This Row],[Non Conformance]],'[2]New defect code '!$B$2:$C$129,2,0),0)</f>
        <v>3242</v>
      </c>
      <c r="V62" s="61">
        <v>18</v>
      </c>
      <c r="W62" s="61" t="str">
        <f>IFERROR(VLOOKUP(Table2[[#This Row],[Code4]],'[2]New Reason code'!$A$2:$D$77,2,0),0)</f>
        <v>During insert change</v>
      </c>
      <c r="X62" s="61" t="str">
        <f>IFERROR(VLOOKUP(Table2[[#This Row],[Reason]],'[2]New Reason code'!$B$2:$D$77,2,0),0)</f>
        <v xml:space="preserve">Due to Settup  </v>
      </c>
      <c r="Y62" s="61" t="str">
        <f>IFERROR(VLOOKUP(Table2[[#This Row],[Rejection Identified at]],'[2]New Reason code'!$C$2:$D$77,2,0),0)</f>
        <v>skill</v>
      </c>
    </row>
    <row r="63" spans="1:25" ht="20.25" customHeight="1">
      <c r="A63" s="60">
        <v>59</v>
      </c>
      <c r="B63" s="61">
        <v>15</v>
      </c>
      <c r="C63" s="61" t="str">
        <f>IFERROR(VLOOKUP(Table2[[#This Row],[Code]],'[2]New Machine sheet'!$A$1:$D$101,2,0),0)</f>
        <v>282-15</v>
      </c>
      <c r="D63" s="61" t="str">
        <f>IFERROR(VLOOKUP(Table2[[#This Row],[M/c No]],'[2]New Machine sheet'!$B$1:$D$101,2,0),0)</f>
        <v>Mazak</v>
      </c>
      <c r="E63" s="61" t="str">
        <f>IFERROR(VLOOKUP(Table2[[#This Row],[M/c Name]],'[2]New Machine sheet'!$C$1:$D$101,2,0),0)</f>
        <v>Turning</v>
      </c>
      <c r="F63" s="61">
        <v>127</v>
      </c>
      <c r="G63" s="61">
        <f>IFERROR(VLOOKUP(Table2[[#This Row],[Code2]],'[2]New Machine sheet'!$F$2:$I$64,2,),0)</f>
        <v>24127</v>
      </c>
      <c r="H63" s="61" t="str">
        <f>IFERROR(VLOOKUP(Table2[[#This Row],[Code2]],'[2]New Machine sheet'!$F$2:$I$64,3,0),0)</f>
        <v>RE J1</v>
      </c>
      <c r="I63" s="61" t="s">
        <v>155</v>
      </c>
      <c r="J63" s="61">
        <v>66</v>
      </c>
      <c r="K63" s="61" t="str">
        <f>IFERROR(VLOOKUP(Table2[[#This Row],[Code3]],'[2]New defect code '!$A$2:$D$129,2,0),0)</f>
        <v>OD Under Size</v>
      </c>
      <c r="L63" s="61" t="s">
        <v>149</v>
      </c>
      <c r="M63" s="56">
        <v>46266</v>
      </c>
      <c r="N63" s="61">
        <v>4</v>
      </c>
      <c r="O63" s="61"/>
      <c r="P63" s="61"/>
      <c r="Q63" s="61"/>
      <c r="R63" s="61">
        <f>SUBTOTAL(9,Table2[[#This Row],[1st]:[FQC]])</f>
        <v>4</v>
      </c>
      <c r="S63" s="61">
        <f>IFERROR(VLOOKUP(Table2[[#This Row],[Part No.]],'[2]New Machine sheet'!$G$2:$I$90,3,0),0)</f>
        <v>262.81200000000001</v>
      </c>
      <c r="T63" s="61">
        <f>Table2[[#This Row],[cost per piece]]*Table2[[#This Row],[Total Rej. qty]]</f>
        <v>1051.248</v>
      </c>
      <c r="U63" s="61">
        <f>IFERROR(VLOOKUP(Table2[[#This Row],[Non Conformance]],'[2]New defect code '!$B$2:$C$129,2,0),0)</f>
        <v>3242</v>
      </c>
      <c r="V63" s="61">
        <v>45</v>
      </c>
      <c r="W63" s="61" t="str">
        <f>IFERROR(VLOOKUP(Table2[[#This Row],[Code4]],'[2]New Reason code'!$A$2:$D$77,2,0),0)</f>
        <v>Running m/c</v>
      </c>
      <c r="X63" s="61" t="str">
        <f>IFERROR(VLOOKUP(Table2[[#This Row],[Reason]],'[2]New Reason code'!$B$2:$D$77,2,0),0)</f>
        <v xml:space="preserve">Due to machine </v>
      </c>
      <c r="Y63" s="61" t="str">
        <f>IFERROR(VLOOKUP(Table2[[#This Row],[Rejection Identified at]],'[2]New Reason code'!$C$2:$D$77,2,0),0)</f>
        <v>process</v>
      </c>
    </row>
    <row r="64" spans="1:25" ht="20.25" customHeight="1">
      <c r="A64" s="60">
        <v>60</v>
      </c>
      <c r="B64" s="61">
        <v>9</v>
      </c>
      <c r="C64" s="61" t="str">
        <f>IFERROR(VLOOKUP(Table2[[#This Row],[Code]],'[2]New Machine sheet'!$A$1:$D$101,2,0),0)</f>
        <v>282-09</v>
      </c>
      <c r="D64" s="61" t="str">
        <f>IFERROR(VLOOKUP(Table2[[#This Row],[M/c No]],'[2]New Machine sheet'!$B$1:$D$101,2,0),0)</f>
        <v>Mazak</v>
      </c>
      <c r="E64" s="61" t="str">
        <f>IFERROR(VLOOKUP(Table2[[#This Row],[M/c Name]],'[2]New Machine sheet'!$C$1:$D$101,2,0),0)</f>
        <v>Turning</v>
      </c>
      <c r="F64" s="61">
        <v>125</v>
      </c>
      <c r="G64" s="61">
        <f>IFERROR(VLOOKUP(Table2[[#This Row],[Code2]],'[2]New Machine sheet'!$F$2:$I$64,2,),0)</f>
        <v>24125</v>
      </c>
      <c r="H64" s="61" t="str">
        <f>IFERROR(VLOOKUP(Table2[[#This Row],[Code2]],'[2]New Machine sheet'!$F$2:$I$64,3,0),0)</f>
        <v>RE J1</v>
      </c>
      <c r="I64" s="61" t="s">
        <v>153</v>
      </c>
      <c r="J64" s="61">
        <v>5</v>
      </c>
      <c r="K64" s="61" t="str">
        <f>IFERROR(VLOOKUP(Table2[[#This Row],[Code3]],'[2]New defect code '!$A$2:$D$129,2,0),0)</f>
        <v>Bore Over size</v>
      </c>
      <c r="L64" s="61" t="s">
        <v>149</v>
      </c>
      <c r="M64" s="56">
        <v>46266</v>
      </c>
      <c r="N64" s="61">
        <v>2</v>
      </c>
      <c r="O64" s="61"/>
      <c r="P64" s="61"/>
      <c r="Q64" s="61"/>
      <c r="R64" s="61">
        <f>SUBTOTAL(9,Table2[[#This Row],[1st]:[FQC]])</f>
        <v>2</v>
      </c>
      <c r="S64" s="61">
        <f>IFERROR(VLOOKUP(Table2[[#This Row],[Part No.]],'[2]New Machine sheet'!$G$2:$I$90,3,0),0)</f>
        <v>65.17</v>
      </c>
      <c r="T64" s="61">
        <f>Table2[[#This Row],[cost per piece]]*Table2[[#This Row],[Total Rej. qty]]</f>
        <v>130.34</v>
      </c>
      <c r="U64" s="61">
        <f>IFERROR(VLOOKUP(Table2[[#This Row],[Non Conformance]],'[2]New defect code '!$B$2:$C$129,2,0),0)</f>
        <v>3243</v>
      </c>
      <c r="V64" s="61">
        <v>45</v>
      </c>
      <c r="W64" s="61" t="str">
        <f>IFERROR(VLOOKUP(Table2[[#This Row],[Code4]],'[2]New Reason code'!$A$2:$D$77,2,0),0)</f>
        <v>Running m/c</v>
      </c>
      <c r="X64" s="61" t="str">
        <f>IFERROR(VLOOKUP(Table2[[#This Row],[Reason]],'[2]New Reason code'!$B$2:$D$77,2,0),0)</f>
        <v xml:space="preserve">Due to machine </v>
      </c>
      <c r="Y64" s="61" t="str">
        <f>IFERROR(VLOOKUP(Table2[[#This Row],[Rejection Identified at]],'[2]New Reason code'!$C$2:$D$77,2,0),0)</f>
        <v>process</v>
      </c>
    </row>
    <row r="65" spans="1:25" ht="20.25" customHeight="1">
      <c r="A65" s="50">
        <v>61</v>
      </c>
      <c r="B65" s="61">
        <v>6</v>
      </c>
      <c r="C65" s="61" t="str">
        <f>IFERROR(VLOOKUP(Table2[[#This Row],[Code]],'[2]New Machine sheet'!$A$1:$D$101,2,0),0)</f>
        <v>282-06</v>
      </c>
      <c r="D65" s="61" t="str">
        <f>IFERROR(VLOOKUP(Table2[[#This Row],[M/c No]],'[2]New Machine sheet'!$B$1:$D$101,2,0),0)</f>
        <v>Mazak</v>
      </c>
      <c r="E65" s="61" t="str">
        <f>IFERROR(VLOOKUP(Table2[[#This Row],[M/c Name]],'[2]New Machine sheet'!$C$1:$D$101,2,0),0)</f>
        <v>Turning</v>
      </c>
      <c r="F65" s="61">
        <v>178</v>
      </c>
      <c r="G65" s="61">
        <f>IFERROR(VLOOKUP(Table2[[#This Row],[Code2]],'[2]New Machine sheet'!$F$2:$I$64,2,),0)</f>
        <v>24178</v>
      </c>
      <c r="H65" s="61" t="str">
        <f>IFERROR(VLOOKUP(Table2[[#This Row],[Code2]],'[2]New Machine sheet'!$F$2:$I$64,3,0),0)</f>
        <v>RE J1</v>
      </c>
      <c r="I65" s="61"/>
      <c r="J65" s="61">
        <v>5</v>
      </c>
      <c r="K65" s="61" t="str">
        <f>IFERROR(VLOOKUP(Table2[[#This Row],[Code3]],'[2]New defect code '!$A$2:$D$129,2,0),0)</f>
        <v>Bore Over size</v>
      </c>
      <c r="L65" s="61" t="s">
        <v>149</v>
      </c>
      <c r="M65" s="56">
        <v>46266</v>
      </c>
      <c r="N65" s="61">
        <v>9</v>
      </c>
      <c r="O65" s="61"/>
      <c r="P65" s="61"/>
      <c r="Q65" s="61"/>
      <c r="R65" s="61">
        <f>SUBTOTAL(9,Table2[[#This Row],[1st]:[FQC]])</f>
        <v>9</v>
      </c>
      <c r="S65" s="61">
        <f>IFERROR(VLOOKUP(Table2[[#This Row],[Part No.]],'[2]New Machine sheet'!$G$2:$I$90,3,0),0)</f>
        <v>70.62</v>
      </c>
      <c r="T65" s="61">
        <f>Table2[[#This Row],[cost per piece]]*Table2[[#This Row],[Total Rej. qty]]</f>
        <v>635.58000000000004</v>
      </c>
      <c r="U65" s="61">
        <f>IFERROR(VLOOKUP(Table2[[#This Row],[Non Conformance]],'[2]New defect code '!$B$2:$C$129,2,0),0)</f>
        <v>3243</v>
      </c>
      <c r="V65" s="61">
        <v>19</v>
      </c>
      <c r="W65" s="61" t="str">
        <f>IFERROR(VLOOKUP(Table2[[#This Row],[Code4]],'[2]New Reason code'!$A$2:$D$77,2,0),0)</f>
        <v>During Rework time</v>
      </c>
      <c r="X65" s="61" t="str">
        <f>IFERROR(VLOOKUP(Table2[[#This Row],[Reason]],'[2]New Reason code'!$B$2:$D$77,2,0),0)</f>
        <v>Due to operator</v>
      </c>
      <c r="Y65" s="61" t="str">
        <f>IFERROR(VLOOKUP(Table2[[#This Row],[Rejection Identified at]],'[2]New Reason code'!$C$2:$D$77,2,0),0)</f>
        <v xml:space="preserve">infrastructure </v>
      </c>
    </row>
    <row r="66" spans="1:25" ht="20.25" customHeight="1">
      <c r="A66" s="60">
        <v>62</v>
      </c>
      <c r="B66" s="61">
        <v>18</v>
      </c>
      <c r="C66" s="61" t="str">
        <f>IFERROR(VLOOKUP(Table2[[#This Row],[Code]],'[2]New Machine sheet'!$A$1:$D$101,2,0),0)</f>
        <v>282-18</v>
      </c>
      <c r="D66" s="61" t="str">
        <f>IFERROR(VLOOKUP(Table2[[#This Row],[M/c No]],'[2]New Machine sheet'!$B$1:$D$101,2,0),0)</f>
        <v>Mazak</v>
      </c>
      <c r="E66" s="61" t="str">
        <f>IFERROR(VLOOKUP(Table2[[#This Row],[M/c Name]],'[2]New Machine sheet'!$C$1:$D$101,2,0),0)</f>
        <v>Turning</v>
      </c>
      <c r="F66" s="61">
        <v>178</v>
      </c>
      <c r="G66" s="61">
        <f>IFERROR(VLOOKUP(Table2[[#This Row],[Code2]],'[2]New Machine sheet'!$F$2:$I$64,2,),0)</f>
        <v>24178</v>
      </c>
      <c r="H66" s="61" t="str">
        <f>IFERROR(VLOOKUP(Table2[[#This Row],[Code2]],'[2]New Machine sheet'!$F$2:$I$64,3,0),0)</f>
        <v>RE J1</v>
      </c>
      <c r="I66" s="61"/>
      <c r="J66" s="61">
        <v>80</v>
      </c>
      <c r="K66" s="61" t="str">
        <f>IFERROR(VLOOKUP(Table2[[#This Row],[Code3]],'[2]New defect code '!$A$2:$D$129,2,0),0)</f>
        <v xml:space="preserve">Rust </v>
      </c>
      <c r="L66" s="61" t="s">
        <v>149</v>
      </c>
      <c r="M66" s="56">
        <v>46266</v>
      </c>
      <c r="N66" s="61">
        <v>6</v>
      </c>
      <c r="O66" s="61"/>
      <c r="P66" s="61"/>
      <c r="Q66" s="61"/>
      <c r="R66" s="61">
        <f>SUBTOTAL(9,Table2[[#This Row],[1st]:[FQC]])</f>
        <v>6</v>
      </c>
      <c r="S66" s="61">
        <f>IFERROR(VLOOKUP(Table2[[#This Row],[Part No.]],'[2]New Machine sheet'!$G$2:$I$90,3,0),0)</f>
        <v>70.62</v>
      </c>
      <c r="T66" s="61">
        <f>Table2[[#This Row],[cost per piece]]*Table2[[#This Row],[Total Rej. qty]]</f>
        <v>423.72</v>
      </c>
      <c r="U66" s="61">
        <f>IFERROR(VLOOKUP(Table2[[#This Row],[Non Conformance]],'[2]New defect code '!$B$2:$C$129,2,0),0)</f>
        <v>0</v>
      </c>
      <c r="V66" s="61">
        <v>15</v>
      </c>
      <c r="W66" s="61" t="str">
        <f>IFERROR(VLOOKUP(Table2[[#This Row],[Code4]],'[2]New Reason code'!$A$2:$D$77,2,0),0)</f>
        <v>During ACMA (5S) time</v>
      </c>
      <c r="X66" s="61" t="str">
        <f>IFERROR(VLOOKUP(Table2[[#This Row],[Reason]],'[2]New Reason code'!$B$2:$D$77,2,0),0)</f>
        <v>Prod Declared</v>
      </c>
      <c r="Y66" s="61" t="str">
        <f>IFERROR(VLOOKUP(Table2[[#This Row],[Rejection Identified at]],'[2]New Reason code'!$C$2:$D$77,2,0),0)</f>
        <v>Process Issue</v>
      </c>
    </row>
    <row r="67" spans="1:25" ht="20.25" customHeight="1">
      <c r="A67" s="60">
        <v>63</v>
      </c>
      <c r="B67" s="61">
        <v>6</v>
      </c>
      <c r="C67" s="61" t="str">
        <f>IFERROR(VLOOKUP(Table2[[#This Row],[Code]],'[2]New Machine sheet'!$A$1:$D$101,2,0),0)</f>
        <v>282-06</v>
      </c>
      <c r="D67" s="61" t="str">
        <f>IFERROR(VLOOKUP(Table2[[#This Row],[M/c No]],'[2]New Machine sheet'!$B$1:$D$101,2,0),0)</f>
        <v>Mazak</v>
      </c>
      <c r="E67" s="61" t="str">
        <f>IFERROR(VLOOKUP(Table2[[#This Row],[M/c Name]],'[2]New Machine sheet'!$C$1:$D$101,2,0),0)</f>
        <v>Turning</v>
      </c>
      <c r="F67" s="61">
        <v>178</v>
      </c>
      <c r="G67" s="61">
        <f>IFERROR(VLOOKUP(Table2[[#This Row],[Code2]],'[2]New Machine sheet'!$F$2:$I$64,2,),0)</f>
        <v>24178</v>
      </c>
      <c r="H67" s="61" t="str">
        <f>IFERROR(VLOOKUP(Table2[[#This Row],[Code2]],'[2]New Machine sheet'!$F$2:$I$64,3,0),0)</f>
        <v>RE J1</v>
      </c>
      <c r="I67" s="61"/>
      <c r="J67" s="61">
        <v>5</v>
      </c>
      <c r="K67" s="61" t="str">
        <f>IFERROR(VLOOKUP(Table2[[#This Row],[Code3]],'[2]New defect code '!$A$2:$D$129,2,0),0)</f>
        <v>Bore Over size</v>
      </c>
      <c r="L67" s="61" t="s">
        <v>149</v>
      </c>
      <c r="M67" s="56">
        <v>46266</v>
      </c>
      <c r="N67" s="61">
        <v>5</v>
      </c>
      <c r="O67" s="61"/>
      <c r="P67" s="61"/>
      <c r="Q67" s="61"/>
      <c r="R67" s="61">
        <f>SUBTOTAL(9,Table2[[#This Row],[1st]:[FQC]])</f>
        <v>5</v>
      </c>
      <c r="S67" s="61">
        <f>IFERROR(VLOOKUP(Table2[[#This Row],[Part No.]],'[2]New Machine sheet'!$G$2:$I$90,3,0),0)</f>
        <v>70.62</v>
      </c>
      <c r="T67" s="61">
        <f>Table2[[#This Row],[cost per piece]]*Table2[[#This Row],[Total Rej. qty]]</f>
        <v>353.1</v>
      </c>
      <c r="U67" s="61">
        <f>IFERROR(VLOOKUP(Table2[[#This Row],[Non Conformance]],'[2]New defect code '!$B$2:$C$129,2,0),0)</f>
        <v>3243</v>
      </c>
      <c r="V67" s="61">
        <v>12</v>
      </c>
      <c r="W67" s="61" t="str">
        <f>IFERROR(VLOOKUP(Table2[[#This Row],[Code4]],'[2]New Reason code'!$A$2:$D$77,2,0),0)</f>
        <v>Double loading</v>
      </c>
      <c r="X67" s="61" t="str">
        <f>IFERROR(VLOOKUP(Table2[[#This Row],[Reason]],'[2]New Reason code'!$B$2:$D$77,2,0),0)</f>
        <v>Due to operator</v>
      </c>
      <c r="Y67" s="61" t="str">
        <f>IFERROR(VLOOKUP(Table2[[#This Row],[Rejection Identified at]],'[2]New Reason code'!$C$2:$D$77,2,0),0)</f>
        <v xml:space="preserve">infrastructure </v>
      </c>
    </row>
    <row r="68" spans="1:25" ht="20.25" customHeight="1">
      <c r="A68" s="50">
        <v>64</v>
      </c>
      <c r="B68" s="61">
        <v>17</v>
      </c>
      <c r="C68" s="61" t="str">
        <f>IFERROR(VLOOKUP(Table2[[#This Row],[Code]],'[2]New Machine sheet'!$A$1:$D$101,2,0),0)</f>
        <v>282-17</v>
      </c>
      <c r="D68" s="61" t="str">
        <f>IFERROR(VLOOKUP(Table2[[#This Row],[M/c No]],'[2]New Machine sheet'!$B$1:$D$101,2,0),0)</f>
        <v>Mazak</v>
      </c>
      <c r="E68" s="61" t="str">
        <f>IFERROR(VLOOKUP(Table2[[#This Row],[M/c Name]],'[2]New Machine sheet'!$C$1:$D$101,2,0),0)</f>
        <v>Turning</v>
      </c>
      <c r="F68" s="61">
        <v>178</v>
      </c>
      <c r="G68" s="61">
        <f>IFERROR(VLOOKUP(Table2[[#This Row],[Code2]],'[2]New Machine sheet'!$F$2:$I$64,2,),0)</f>
        <v>24178</v>
      </c>
      <c r="H68" s="61" t="str">
        <f>IFERROR(VLOOKUP(Table2[[#This Row],[Code2]],'[2]New Machine sheet'!$F$2:$I$64,3,0),0)</f>
        <v>RE J1</v>
      </c>
      <c r="I68" s="61"/>
      <c r="J68" s="61">
        <v>5</v>
      </c>
      <c r="K68" s="61" t="str">
        <f>IFERROR(VLOOKUP(Table2[[#This Row],[Code3]],'[2]New defect code '!$A$2:$D$129,2,0),0)</f>
        <v>Bore Over size</v>
      </c>
      <c r="L68" s="61" t="s">
        <v>149</v>
      </c>
      <c r="M68" s="56">
        <v>46266</v>
      </c>
      <c r="N68" s="61">
        <v>5</v>
      </c>
      <c r="O68" s="61"/>
      <c r="P68" s="61"/>
      <c r="Q68" s="61"/>
      <c r="R68" s="61">
        <f>SUBTOTAL(9,Table2[[#This Row],[1st]:[FQC]])</f>
        <v>5</v>
      </c>
      <c r="S68" s="61">
        <f>IFERROR(VLOOKUP(Table2[[#This Row],[Part No.]],'[2]New Machine sheet'!$G$2:$I$90,3,0),0)</f>
        <v>70.62</v>
      </c>
      <c r="T68" s="61">
        <f>Table2[[#This Row],[cost per piece]]*Table2[[#This Row],[Total Rej. qty]]</f>
        <v>353.1</v>
      </c>
      <c r="U68" s="61">
        <f>IFERROR(VLOOKUP(Table2[[#This Row],[Non Conformance]],'[2]New defect code '!$B$2:$C$129,2,0),0)</f>
        <v>3243</v>
      </c>
      <c r="V68" s="61">
        <v>45</v>
      </c>
      <c r="W68" s="61" t="str">
        <f>IFERROR(VLOOKUP(Table2[[#This Row],[Code4]],'[2]New Reason code'!$A$2:$D$77,2,0),0)</f>
        <v>Running m/c</v>
      </c>
      <c r="X68" s="61" t="str">
        <f>IFERROR(VLOOKUP(Table2[[#This Row],[Reason]],'[2]New Reason code'!$B$2:$D$77,2,0),0)</f>
        <v xml:space="preserve">Due to machine </v>
      </c>
      <c r="Y68" s="61" t="str">
        <f>IFERROR(VLOOKUP(Table2[[#This Row],[Rejection Identified at]],'[2]New Reason code'!$C$2:$D$77,2,0),0)</f>
        <v>process</v>
      </c>
    </row>
    <row r="69" spans="1:25" ht="20.25" customHeight="1">
      <c r="A69" s="60">
        <v>65</v>
      </c>
      <c r="B69" s="61">
        <v>21</v>
      </c>
      <c r="C69" s="61" t="str">
        <f>IFERROR(VLOOKUP(Table2[[#This Row],[Code]],'[2]New Machine sheet'!$A$1:$D$101,2,0),0)</f>
        <v>ACE-01</v>
      </c>
      <c r="D69" s="61" t="str">
        <f>IFERROR(VLOOKUP(Table2[[#This Row],[M/c No]],'[2]New Machine sheet'!$B$1:$D$101,2,0),0)</f>
        <v>Micromatic</v>
      </c>
      <c r="E69" s="61" t="str">
        <f>IFERROR(VLOOKUP(Table2[[#This Row],[M/c Name]],'[2]New Machine sheet'!$C$1:$D$101,2,0),0)</f>
        <v>Turning</v>
      </c>
      <c r="F69" s="61">
        <v>121</v>
      </c>
      <c r="G69" s="61">
        <f>IFERROR(VLOOKUP(Table2[[#This Row],[Code2]],'[2]New Machine sheet'!$F$2:$I$64,2,),0)</f>
        <v>24121</v>
      </c>
      <c r="H69" s="61" t="str">
        <f>IFERROR(VLOOKUP(Table2[[#This Row],[Code2]],'[2]New Machine sheet'!$F$2:$I$64,3,0),0)</f>
        <v>RE J1</v>
      </c>
      <c r="I69" s="61" t="s">
        <v>115</v>
      </c>
      <c r="J69" s="61">
        <v>5</v>
      </c>
      <c r="K69" s="61" t="str">
        <f>IFERROR(VLOOKUP(Table2[[#This Row],[Code3]],'[2]New defect code '!$A$2:$D$129,2,0),0)</f>
        <v>Bore Over size</v>
      </c>
      <c r="L69" s="61" t="s">
        <v>149</v>
      </c>
      <c r="M69" s="56">
        <v>46266</v>
      </c>
      <c r="N69" s="61"/>
      <c r="O69" s="61">
        <v>3</v>
      </c>
      <c r="P69" s="61"/>
      <c r="Q69" s="61"/>
      <c r="R69" s="61">
        <f>SUBTOTAL(9,Table2[[#This Row],[1st]:[FQC]])</f>
        <v>3</v>
      </c>
      <c r="S69" s="61">
        <f>IFERROR(VLOOKUP(Table2[[#This Row],[Part No.]],'[2]New Machine sheet'!$G$2:$I$90,3,0),0)</f>
        <v>135.66999999999999</v>
      </c>
      <c r="T69" s="61">
        <f>Table2[[#This Row],[cost per piece]]*Table2[[#This Row],[Total Rej. qty]]</f>
        <v>407.01</v>
      </c>
      <c r="U69" s="61">
        <f>IFERROR(VLOOKUP(Table2[[#This Row],[Non Conformance]],'[2]New defect code '!$B$2:$C$129,2,0),0)</f>
        <v>3243</v>
      </c>
      <c r="V69" s="61">
        <v>20</v>
      </c>
      <c r="W69" s="61" t="str">
        <f>IFERROR(VLOOKUP(Table2[[#This Row],[Code4]],'[2]New Reason code'!$A$2:$D$77,2,0),0)</f>
        <v xml:space="preserve">During segrigetion </v>
      </c>
      <c r="X69" s="61" t="str">
        <f>IFERROR(VLOOKUP(Table2[[#This Row],[Reason]],'[2]New Reason code'!$B$2:$D$77,2,0),0)</f>
        <v xml:space="preserve">During segrigetion </v>
      </c>
      <c r="Y69" s="61" t="str">
        <f>IFERROR(VLOOKUP(Table2[[#This Row],[Rejection Identified at]],'[2]New Reason code'!$C$2:$D$77,2,0),0)</f>
        <v>Attitude</v>
      </c>
    </row>
    <row r="70" spans="1:25" ht="20.25" customHeight="1">
      <c r="A70" s="60">
        <v>66</v>
      </c>
      <c r="B70" s="61">
        <v>11</v>
      </c>
      <c r="C70" s="61" t="str">
        <f>IFERROR(VLOOKUP(Table2[[#This Row],[Code]],'[2]New Machine sheet'!$A$1:$D$101,2,0),0)</f>
        <v>282-11</v>
      </c>
      <c r="D70" s="61" t="str">
        <f>IFERROR(VLOOKUP(Table2[[#This Row],[M/c No]],'[2]New Machine sheet'!$B$1:$D$101,2,0),0)</f>
        <v>Mazak</v>
      </c>
      <c r="E70" s="61" t="str">
        <f>IFERROR(VLOOKUP(Table2[[#This Row],[M/c Name]],'[2]New Machine sheet'!$C$1:$D$101,2,0),0)</f>
        <v>Turning</v>
      </c>
      <c r="F70" s="61">
        <v>121</v>
      </c>
      <c r="G70" s="61">
        <f>IFERROR(VLOOKUP(Table2[[#This Row],[Code2]],'[2]New Machine sheet'!$F$2:$I$64,2,),0)</f>
        <v>24121</v>
      </c>
      <c r="H70" s="61" t="str">
        <f>IFERROR(VLOOKUP(Table2[[#This Row],[Code2]],'[2]New Machine sheet'!$F$2:$I$64,3,0),0)</f>
        <v>RE J1</v>
      </c>
      <c r="I70" s="61" t="s">
        <v>115</v>
      </c>
      <c r="J70" s="61">
        <v>93</v>
      </c>
      <c r="K70" s="61" t="str">
        <f>IFERROR(VLOOKUP(Table2[[#This Row],[Code3]],'[2]New defect code '!$A$2:$D$129,2,0),0)</f>
        <v>Thickness Under size</v>
      </c>
      <c r="L70" s="61" t="s">
        <v>149</v>
      </c>
      <c r="M70" s="56">
        <v>46266</v>
      </c>
      <c r="N70" s="61"/>
      <c r="O70" s="61">
        <v>17</v>
      </c>
      <c r="P70" s="61"/>
      <c r="Q70" s="61"/>
      <c r="R70" s="61">
        <f>SUBTOTAL(9,Table2[[#This Row],[1st]:[FQC]])</f>
        <v>17</v>
      </c>
      <c r="S70" s="61">
        <f>IFERROR(VLOOKUP(Table2[[#This Row],[Part No.]],'[2]New Machine sheet'!$G$2:$I$90,3,0),0)</f>
        <v>135.66999999999999</v>
      </c>
      <c r="T70" s="61">
        <f>Table2[[#This Row],[cost per piece]]*Table2[[#This Row],[Total Rej. qty]]</f>
        <v>2306.39</v>
      </c>
      <c r="U70" s="61">
        <f>IFERROR(VLOOKUP(Table2[[#This Row],[Non Conformance]],'[2]New defect code '!$B$2:$C$129,2,0),0)</f>
        <v>3258</v>
      </c>
      <c r="V70" s="61">
        <v>20</v>
      </c>
      <c r="W70" s="61" t="str">
        <f>IFERROR(VLOOKUP(Table2[[#This Row],[Code4]],'[2]New Reason code'!$A$2:$D$77,2,0),0)</f>
        <v xml:space="preserve">During segrigetion </v>
      </c>
      <c r="X70" s="61" t="str">
        <f>IFERROR(VLOOKUP(Table2[[#This Row],[Reason]],'[2]New Reason code'!$B$2:$D$77,2,0),0)</f>
        <v xml:space="preserve">During segrigetion </v>
      </c>
      <c r="Y70" s="61" t="str">
        <f>IFERROR(VLOOKUP(Table2[[#This Row],[Rejection Identified at]],'[2]New Reason code'!$C$2:$D$77,2,0),0)</f>
        <v>Attitude</v>
      </c>
    </row>
    <row r="71" spans="1:25" ht="20.25" customHeight="1">
      <c r="A71" s="50">
        <v>67</v>
      </c>
      <c r="B71" s="61">
        <v>11</v>
      </c>
      <c r="C71" s="61" t="str">
        <f>IFERROR(VLOOKUP(Table2[[#This Row],[Code]],'[2]New Machine sheet'!$A$1:$D$101,2,0),0)</f>
        <v>282-11</v>
      </c>
      <c r="D71" s="61" t="str">
        <f>IFERROR(VLOOKUP(Table2[[#This Row],[M/c No]],'[2]New Machine sheet'!$B$1:$D$101,2,0),0)</f>
        <v>Mazak</v>
      </c>
      <c r="E71" s="61" t="str">
        <f>IFERROR(VLOOKUP(Table2[[#This Row],[M/c Name]],'[2]New Machine sheet'!$C$1:$D$101,2,0),0)</f>
        <v>Turning</v>
      </c>
      <c r="F71" s="61">
        <v>195</v>
      </c>
      <c r="G71" s="61">
        <f>IFERROR(VLOOKUP(Table2[[#This Row],[Code2]],'[2]New Machine sheet'!$F$2:$I$64,2,),0)</f>
        <v>24195</v>
      </c>
      <c r="H71" s="61" t="str">
        <f>IFERROR(VLOOKUP(Table2[[#This Row],[Code2]],'[2]New Machine sheet'!$F$2:$I$64,3,0),0)</f>
        <v>RE Bush</v>
      </c>
      <c r="I71" s="61" t="s">
        <v>115</v>
      </c>
      <c r="J71" s="61">
        <v>21</v>
      </c>
      <c r="K71" s="61" t="str">
        <f>IFERROR(VLOOKUP(Table2[[#This Row],[Code3]],'[2]New defect code '!$A$2:$D$129,2,0),0)</f>
        <v>Bush Reject of defective part</v>
      </c>
      <c r="L71" s="61" t="s">
        <v>149</v>
      </c>
      <c r="M71" s="56">
        <v>46266</v>
      </c>
      <c r="N71" s="61"/>
      <c r="O71" s="61">
        <v>17</v>
      </c>
      <c r="P71" s="61"/>
      <c r="Q71" s="61"/>
      <c r="R71" s="61">
        <f>SUBTOTAL(9,Table2[[#This Row],[1st]:[FQC]])</f>
        <v>17</v>
      </c>
      <c r="S71" s="61">
        <f>IFERROR(VLOOKUP(Table2[[#This Row],[Part No.]],'[2]New Machine sheet'!$G$2:$I$90,3,0),0)</f>
        <v>16.39</v>
      </c>
      <c r="T71" s="61">
        <f>Table2[[#This Row],[cost per piece]]*Table2[[#This Row],[Total Rej. qty]]</f>
        <v>278.63</v>
      </c>
      <c r="U71" s="61">
        <f>IFERROR(VLOOKUP(Table2[[#This Row],[Non Conformance]],'[2]New defect code '!$B$2:$C$129,2,0),0)</f>
        <v>0</v>
      </c>
      <c r="V71" s="61">
        <v>6</v>
      </c>
      <c r="W71" s="61" t="str">
        <f>IFERROR(VLOOKUP(Table2[[#This Row],[Code4]],'[2]New Reason code'!$A$2:$D$77,2,0),0)</f>
        <v>bush will not use again</v>
      </c>
      <c r="X71" s="61" t="str">
        <f>IFERROR(VLOOKUP(Table2[[#This Row],[Reason]],'[2]New Reason code'!$B$2:$D$77,2,0),0)</f>
        <v>Prod Declared</v>
      </c>
      <c r="Y71" s="61" t="str">
        <f>IFERROR(VLOOKUP(Table2[[#This Row],[Rejection Identified at]],'[2]New Reason code'!$C$2:$D$77,2,0),0)</f>
        <v>Process Issue</v>
      </c>
    </row>
    <row r="72" spans="1:25" ht="20.25" customHeight="1">
      <c r="A72" s="60">
        <v>68</v>
      </c>
      <c r="B72" s="61">
        <v>35</v>
      </c>
      <c r="C72" s="61" t="str">
        <f>IFERROR(VLOOKUP(Table2[[#This Row],[Code]],'[2]New Machine sheet'!$A$1:$D$101,2,0),0)</f>
        <v>ACE-15</v>
      </c>
      <c r="D72" s="61" t="str">
        <f>IFERROR(VLOOKUP(Table2[[#This Row],[M/c No]],'[2]New Machine sheet'!$B$1:$D$101,2,0),0)</f>
        <v>Micromatic</v>
      </c>
      <c r="E72" s="61" t="str">
        <f>IFERROR(VLOOKUP(Table2[[#This Row],[M/c Name]],'[2]New Machine sheet'!$C$1:$D$101,2,0),0)</f>
        <v>Turning</v>
      </c>
      <c r="F72" s="61">
        <v>113</v>
      </c>
      <c r="G72" s="61">
        <f>IFERROR(VLOOKUP(Table2[[#This Row],[Code2]],'[2]New Machine sheet'!$F$2:$I$64,2,),0)</f>
        <v>24113</v>
      </c>
      <c r="H72" s="61" t="str">
        <f>IFERROR(VLOOKUP(Table2[[#This Row],[Code2]],'[2]New Machine sheet'!$F$2:$I$64,3,0),0)</f>
        <v>RE J1</v>
      </c>
      <c r="I72" s="61" t="s">
        <v>113</v>
      </c>
      <c r="J72" s="61">
        <v>5</v>
      </c>
      <c r="K72" s="61" t="str">
        <f>IFERROR(VLOOKUP(Table2[[#This Row],[Code3]],'[2]New defect code '!$A$2:$D$129,2,0),0)</f>
        <v>Bore Over size</v>
      </c>
      <c r="L72" s="61" t="s">
        <v>149</v>
      </c>
      <c r="M72" s="56">
        <v>46266</v>
      </c>
      <c r="N72" s="61"/>
      <c r="O72" s="61">
        <v>8</v>
      </c>
      <c r="P72" s="61"/>
      <c r="Q72" s="61"/>
      <c r="R72" s="61">
        <f>SUBTOTAL(9,Table2[[#This Row],[1st]:[FQC]])</f>
        <v>8</v>
      </c>
      <c r="S72" s="61">
        <f>IFERROR(VLOOKUP(Table2[[#This Row],[Part No.]],'[2]New Machine sheet'!$G$2:$I$90,3,0),0)</f>
        <v>90</v>
      </c>
      <c r="T72" s="61">
        <f>Table2[[#This Row],[cost per piece]]*Table2[[#This Row],[Total Rej. qty]]</f>
        <v>720</v>
      </c>
      <c r="U72" s="61">
        <f>IFERROR(VLOOKUP(Table2[[#This Row],[Non Conformance]],'[2]New defect code '!$B$2:$C$129,2,0),0)</f>
        <v>3243</v>
      </c>
      <c r="V72" s="61"/>
      <c r="W72" s="61" t="s">
        <v>157</v>
      </c>
      <c r="X72" s="61">
        <f>IFERROR(VLOOKUP(Table2[[#This Row],[Reason]],'[2]New Reason code'!$B$2:$D$77,2,0),0)</f>
        <v>0</v>
      </c>
      <c r="Y72" s="61">
        <f>IFERROR(VLOOKUP(Table2[[#This Row],[Rejection Identified at]],'[2]New Reason code'!$C$2:$D$77,2,0),0)</f>
        <v>0</v>
      </c>
    </row>
    <row r="73" spans="1:25" ht="20.25" customHeight="1">
      <c r="A73" s="60">
        <v>69</v>
      </c>
      <c r="B73" s="61">
        <v>25</v>
      </c>
      <c r="C73" s="61" t="str">
        <f>IFERROR(VLOOKUP(Table2[[#This Row],[Code]],'[2]New Machine sheet'!$A$1:$D$101,2,0),0)</f>
        <v>ACE-05</v>
      </c>
      <c r="D73" s="61" t="str">
        <f>IFERROR(VLOOKUP(Table2[[#This Row],[M/c No]],'[2]New Machine sheet'!$B$1:$D$101,2,0),0)</f>
        <v>Micromatic</v>
      </c>
      <c r="E73" s="61" t="str">
        <f>IFERROR(VLOOKUP(Table2[[#This Row],[M/c Name]],'[2]New Machine sheet'!$C$1:$D$101,2,0),0)</f>
        <v>Turning</v>
      </c>
      <c r="F73" s="61">
        <v>122</v>
      </c>
      <c r="G73" s="61">
        <f>IFERROR(VLOOKUP(Table2[[#This Row],[Code2]],'[2]New Machine sheet'!$F$2:$I$64,2,),0)</f>
        <v>24122</v>
      </c>
      <c r="H73" s="61" t="str">
        <f>IFERROR(VLOOKUP(Table2[[#This Row],[Code2]],'[2]New Machine sheet'!$F$2:$I$64,3,0),0)</f>
        <v>RE J1</v>
      </c>
      <c r="I73" s="61" t="s">
        <v>139</v>
      </c>
      <c r="J73" s="61">
        <v>5</v>
      </c>
      <c r="K73" s="61" t="str">
        <f>IFERROR(VLOOKUP(Table2[[#This Row],[Code3]],'[2]New defect code '!$A$2:$D$129,2,0),0)</f>
        <v>Bore Over size</v>
      </c>
      <c r="L73" s="61" t="s">
        <v>149</v>
      </c>
      <c r="M73" s="56">
        <v>46266</v>
      </c>
      <c r="N73" s="61"/>
      <c r="O73" s="61">
        <v>2</v>
      </c>
      <c r="P73" s="61"/>
      <c r="Q73" s="61"/>
      <c r="R73" s="61">
        <f>SUBTOTAL(9,Table2[[#This Row],[1st]:[FQC]])</f>
        <v>2</v>
      </c>
      <c r="S73" s="61">
        <f>IFERROR(VLOOKUP(Table2[[#This Row],[Part No.]],'[2]New Machine sheet'!$G$2:$I$90,3,0),0)</f>
        <v>335.39977528089889</v>
      </c>
      <c r="T73" s="61">
        <f>Table2[[#This Row],[cost per piece]]*Table2[[#This Row],[Total Rej. qty]]</f>
        <v>670.79955056179779</v>
      </c>
      <c r="U73" s="61">
        <f>IFERROR(VLOOKUP(Table2[[#This Row],[Non Conformance]],'[2]New defect code '!$B$2:$C$129,2,0),0)</f>
        <v>3243</v>
      </c>
      <c r="V73" s="61">
        <v>18</v>
      </c>
      <c r="W73" s="61" t="str">
        <f>IFERROR(VLOOKUP(Table2[[#This Row],[Code4]],'[2]New Reason code'!$A$2:$D$77,2,0),0)</f>
        <v>During insert change</v>
      </c>
      <c r="X73" s="61" t="str">
        <f>IFERROR(VLOOKUP(Table2[[#This Row],[Reason]],'[2]New Reason code'!$B$2:$D$77,2,0),0)</f>
        <v xml:space="preserve">Due to Settup  </v>
      </c>
      <c r="Y73" s="61" t="str">
        <f>IFERROR(VLOOKUP(Table2[[#This Row],[Rejection Identified at]],'[2]New Reason code'!$C$2:$D$77,2,0),0)</f>
        <v>skill</v>
      </c>
    </row>
    <row r="74" spans="1:25" ht="20.25" customHeight="1">
      <c r="A74" s="50">
        <v>70</v>
      </c>
      <c r="B74" s="61">
        <v>42</v>
      </c>
      <c r="C74" s="61" t="str">
        <f>IFERROR(VLOOKUP(Table2[[#This Row],[Code]],'[2]New Machine sheet'!$A$1:$D$101,2,0),0)</f>
        <v>252-04</v>
      </c>
      <c r="D74" s="61" t="str">
        <f>IFERROR(VLOOKUP(Table2[[#This Row],[M/c No]],'[2]New Machine sheet'!$B$1:$D$101,2,0),0)</f>
        <v>VMC</v>
      </c>
      <c r="E74" s="61" t="str">
        <f>IFERROR(VLOOKUP(Table2[[#This Row],[M/c Name]],'[2]New Machine sheet'!$C$1:$D$101,2,0),0)</f>
        <v>VMC</v>
      </c>
      <c r="F74" s="61">
        <v>154</v>
      </c>
      <c r="G74" s="61">
        <f>IFERROR(VLOOKUP(Table2[[#This Row],[Code2]],'[2]New Machine sheet'!$F$2:$I$64,2,),0)</f>
        <v>24154</v>
      </c>
      <c r="H74" s="61" t="str">
        <f>IFERROR(VLOOKUP(Table2[[#This Row],[Code2]],'[2]New Machine sheet'!$F$2:$I$64,3,0),0)</f>
        <v>RE J1</v>
      </c>
      <c r="I74" s="61" t="s">
        <v>133</v>
      </c>
      <c r="J74" s="61">
        <v>48</v>
      </c>
      <c r="K74" s="61" t="str">
        <f>IFERROR(VLOOKUP(Table2[[#This Row],[Code3]],'[2]New defect code '!$A$2:$D$129,2,0),0)</f>
        <v>Heavy Dot Punching</v>
      </c>
      <c r="L74" s="61" t="s">
        <v>149</v>
      </c>
      <c r="M74" s="56">
        <v>46266</v>
      </c>
      <c r="N74" s="61"/>
      <c r="O74" s="61">
        <v>8</v>
      </c>
      <c r="P74" s="61"/>
      <c r="Q74" s="61"/>
      <c r="R74" s="61">
        <f>SUBTOTAL(9,Table2[[#This Row],[1st]:[FQC]])</f>
        <v>8</v>
      </c>
      <c r="S74" s="61">
        <f>IFERROR(VLOOKUP(Table2[[#This Row],[Part No.]],'[2]New Machine sheet'!$G$2:$I$90,3,0),0)</f>
        <v>82.64</v>
      </c>
      <c r="T74" s="61">
        <f>Table2[[#This Row],[cost per piece]]*Table2[[#This Row],[Total Rej. qty]]</f>
        <v>661.12</v>
      </c>
      <c r="U74" s="61">
        <f>IFERROR(VLOOKUP(Table2[[#This Row],[Non Conformance]],'[2]New defect code '!$B$2:$C$129,2,0),0)</f>
        <v>3246</v>
      </c>
      <c r="V74" s="61">
        <v>19</v>
      </c>
      <c r="W74" s="61" t="str">
        <f>IFERROR(VLOOKUP(Table2[[#This Row],[Code4]],'[2]New Reason code'!$A$2:$D$77,2,0),0)</f>
        <v>During Rework time</v>
      </c>
      <c r="X74" s="61" t="str">
        <f>IFERROR(VLOOKUP(Table2[[#This Row],[Reason]],'[2]New Reason code'!$B$2:$D$77,2,0),0)</f>
        <v>Due to operator</v>
      </c>
      <c r="Y74" s="61" t="str">
        <f>IFERROR(VLOOKUP(Table2[[#This Row],[Rejection Identified at]],'[2]New Reason code'!$C$2:$D$77,2,0),0)</f>
        <v xml:space="preserve">infrastructure </v>
      </c>
    </row>
    <row r="75" spans="1:25" ht="20.25" customHeight="1">
      <c r="A75" s="60">
        <v>71</v>
      </c>
      <c r="B75" s="61">
        <v>2</v>
      </c>
      <c r="C75" s="61" t="str">
        <f>IFERROR(VLOOKUP(Table2[[#This Row],[Code]],'[2]New Machine sheet'!$A$1:$D$101,2,0),0)</f>
        <v>282-02</v>
      </c>
      <c r="D75" s="61" t="str">
        <f>IFERROR(VLOOKUP(Table2[[#This Row],[M/c No]],'[2]New Machine sheet'!$B$1:$D$101,2,0),0)</f>
        <v>Mazak</v>
      </c>
      <c r="E75" s="61" t="str">
        <f>IFERROR(VLOOKUP(Table2[[#This Row],[M/c Name]],'[2]New Machine sheet'!$C$1:$D$101,2,0),0)</f>
        <v>Turning</v>
      </c>
      <c r="F75" s="61">
        <v>77</v>
      </c>
      <c r="G75" s="61">
        <f>IFERROR(VLOOKUP(Table2[[#This Row],[Code2]],'[2]New Machine sheet'!$F$2:$I$64,2,),0)</f>
        <v>2477</v>
      </c>
      <c r="H75" s="61" t="str">
        <f>IFERROR(VLOOKUP(Table2[[#This Row],[Code2]],'[2]New Machine sheet'!$F$2:$I$64,3,0),0)</f>
        <v>RE P1</v>
      </c>
      <c r="I75" s="61" t="s">
        <v>133</v>
      </c>
      <c r="J75" s="61">
        <v>93</v>
      </c>
      <c r="K75" s="61" t="str">
        <f>IFERROR(VLOOKUP(Table2[[#This Row],[Code3]],'[2]New defect code '!$A$2:$D$129,2,0),0)</f>
        <v>Thickness Under size</v>
      </c>
      <c r="L75" s="61" t="s">
        <v>149</v>
      </c>
      <c r="M75" s="56">
        <v>46266</v>
      </c>
      <c r="N75" s="61"/>
      <c r="O75" s="61">
        <v>8</v>
      </c>
      <c r="P75" s="61"/>
      <c r="Q75" s="61"/>
      <c r="R75" s="61">
        <f>SUBTOTAL(9,Table2[[#This Row],[1st]:[FQC]])</f>
        <v>8</v>
      </c>
      <c r="S75" s="61">
        <f>IFERROR(VLOOKUP(Table2[[#This Row],[Part No.]],'[2]New Machine sheet'!$G$2:$I$90,3,0),0)</f>
        <v>79.064999999999998</v>
      </c>
      <c r="T75" s="61">
        <f>Table2[[#This Row],[cost per piece]]*Table2[[#This Row],[Total Rej. qty]]</f>
        <v>632.52</v>
      </c>
      <c r="U75" s="61">
        <f>IFERROR(VLOOKUP(Table2[[#This Row],[Non Conformance]],'[2]New defect code '!$B$2:$C$129,2,0),0)</f>
        <v>3258</v>
      </c>
      <c r="V75" s="61">
        <v>18</v>
      </c>
      <c r="W75" s="61" t="str">
        <f>IFERROR(VLOOKUP(Table2[[#This Row],[Code4]],'[2]New Reason code'!$A$2:$D$77,2,0),0)</f>
        <v>During insert change</v>
      </c>
      <c r="X75" s="61" t="str">
        <f>IFERROR(VLOOKUP(Table2[[#This Row],[Reason]],'[2]New Reason code'!$B$2:$D$77,2,0),0)</f>
        <v xml:space="preserve">Due to Settup  </v>
      </c>
      <c r="Y75" s="61" t="str">
        <f>IFERROR(VLOOKUP(Table2[[#This Row],[Rejection Identified at]],'[2]New Reason code'!$C$2:$D$77,2,0),0)</f>
        <v>skill</v>
      </c>
    </row>
    <row r="76" spans="1:25" ht="20.25" customHeight="1">
      <c r="A76" s="60">
        <v>72</v>
      </c>
      <c r="B76" s="61">
        <v>2</v>
      </c>
      <c r="C76" s="61" t="str">
        <f>IFERROR(VLOOKUP(Table2[[#This Row],[Code]],'[2]New Machine sheet'!$A$1:$D$101,2,0),0)</f>
        <v>282-02</v>
      </c>
      <c r="D76" s="61" t="str">
        <f>IFERROR(VLOOKUP(Table2[[#This Row],[M/c No]],'[2]New Machine sheet'!$B$1:$D$101,2,0),0)</f>
        <v>Mazak</v>
      </c>
      <c r="E76" s="61" t="str">
        <f>IFERROR(VLOOKUP(Table2[[#This Row],[M/c Name]],'[2]New Machine sheet'!$C$1:$D$101,2,0),0)</f>
        <v>Turning</v>
      </c>
      <c r="F76" s="61">
        <v>77</v>
      </c>
      <c r="G76" s="61">
        <f>IFERROR(VLOOKUP(Table2[[#This Row],[Code2]],'[2]New Machine sheet'!$F$2:$I$64,2,),0)</f>
        <v>2477</v>
      </c>
      <c r="H76" s="61" t="str">
        <f>IFERROR(VLOOKUP(Table2[[#This Row],[Code2]],'[2]New Machine sheet'!$F$2:$I$64,3,0),0)</f>
        <v>RE P1</v>
      </c>
      <c r="I76" s="61" t="s">
        <v>133</v>
      </c>
      <c r="J76" s="61">
        <v>5</v>
      </c>
      <c r="K76" s="61" t="str">
        <f>IFERROR(VLOOKUP(Table2[[#This Row],[Code3]],'[2]New defect code '!$A$2:$D$129,2,0),0)</f>
        <v>Bore Over size</v>
      </c>
      <c r="L76" s="61" t="s">
        <v>149</v>
      </c>
      <c r="M76" s="56">
        <v>46266</v>
      </c>
      <c r="N76" s="61"/>
      <c r="O76" s="61">
        <v>2</v>
      </c>
      <c r="P76" s="61"/>
      <c r="Q76" s="61"/>
      <c r="R76" s="61">
        <f>SUBTOTAL(9,Table2[[#This Row],[1st]:[FQC]])</f>
        <v>2</v>
      </c>
      <c r="S76" s="61">
        <f>IFERROR(VLOOKUP(Table2[[#This Row],[Part No.]],'[2]New Machine sheet'!$G$2:$I$90,3,0),0)</f>
        <v>79.064999999999998</v>
      </c>
      <c r="T76" s="61">
        <f>Table2[[#This Row],[cost per piece]]*Table2[[#This Row],[Total Rej. qty]]</f>
        <v>158.13</v>
      </c>
      <c r="U76" s="61">
        <f>IFERROR(VLOOKUP(Table2[[#This Row],[Non Conformance]],'[2]New defect code '!$B$2:$C$129,2,0),0)</f>
        <v>3243</v>
      </c>
      <c r="V76" s="61">
        <v>18</v>
      </c>
      <c r="W76" s="61" t="str">
        <f>IFERROR(VLOOKUP(Table2[[#This Row],[Code4]],'[2]New Reason code'!$A$2:$D$77,2,0),0)</f>
        <v>During insert change</v>
      </c>
      <c r="X76" s="61" t="str">
        <f>IFERROR(VLOOKUP(Table2[[#This Row],[Reason]],'[2]New Reason code'!$B$2:$D$77,2,0),0)</f>
        <v xml:space="preserve">Due to Settup  </v>
      </c>
      <c r="Y76" s="61" t="str">
        <f>IFERROR(VLOOKUP(Table2[[#This Row],[Rejection Identified at]],'[2]New Reason code'!$C$2:$D$77,2,0),0)</f>
        <v>skill</v>
      </c>
    </row>
    <row r="77" spans="1:25" ht="20.25" customHeight="1">
      <c r="A77" s="50">
        <v>73</v>
      </c>
      <c r="B77" s="61">
        <v>20</v>
      </c>
      <c r="C77" s="61" t="str">
        <f>IFERROR(VLOOKUP(Table2[[#This Row],[Code]],'[2]New Machine sheet'!$A$1:$D$101,2,0),0)</f>
        <v>282-20</v>
      </c>
      <c r="D77" s="61" t="str">
        <f>IFERROR(VLOOKUP(Table2[[#This Row],[M/c No]],'[2]New Machine sheet'!$B$1:$D$101,2,0),0)</f>
        <v>Mazak</v>
      </c>
      <c r="E77" s="61" t="str">
        <f>IFERROR(VLOOKUP(Table2[[#This Row],[M/c Name]],'[2]New Machine sheet'!$C$1:$D$101,2,0),0)</f>
        <v>Turning</v>
      </c>
      <c r="F77" s="61">
        <v>115</v>
      </c>
      <c r="G77" s="61">
        <f>IFERROR(VLOOKUP(Table2[[#This Row],[Code2]],'[2]New Machine sheet'!$F$2:$I$64,2,),0)</f>
        <v>24115</v>
      </c>
      <c r="H77" s="61" t="str">
        <f>IFERROR(VLOOKUP(Table2[[#This Row],[Code2]],'[2]New Machine sheet'!$F$2:$I$64,3,0),0)</f>
        <v>RE J1</v>
      </c>
      <c r="I77" s="61"/>
      <c r="J77" s="61">
        <v>5</v>
      </c>
      <c r="K77" s="61" t="str">
        <f>IFERROR(VLOOKUP(Table2[[#This Row],[Code3]],'[2]New defect code '!$A$2:$D$129,2,0),0)</f>
        <v>Bore Over size</v>
      </c>
      <c r="L77" s="61" t="s">
        <v>149</v>
      </c>
      <c r="M77" s="56">
        <v>46266</v>
      </c>
      <c r="N77" s="61"/>
      <c r="O77" s="61">
        <v>1</v>
      </c>
      <c r="P77" s="61"/>
      <c r="Q77" s="61"/>
      <c r="R77" s="61">
        <f>SUBTOTAL(9,Table2[[#This Row],[1st]:[FQC]])</f>
        <v>1</v>
      </c>
      <c r="S77" s="61">
        <f>IFERROR(VLOOKUP(Table2[[#This Row],[Part No.]],'[2]New Machine sheet'!$G$2:$I$90,3,0),0)</f>
        <v>66.900000000000006</v>
      </c>
      <c r="T77" s="61">
        <f>Table2[[#This Row],[cost per piece]]*Table2[[#This Row],[Total Rej. qty]]</f>
        <v>66.900000000000006</v>
      </c>
      <c r="U77" s="61">
        <f>IFERROR(VLOOKUP(Table2[[#This Row],[Non Conformance]],'[2]New defect code '!$B$2:$C$129,2,0),0)</f>
        <v>3243</v>
      </c>
      <c r="V77" s="61">
        <v>21</v>
      </c>
      <c r="W77" s="61" t="str">
        <f>IFERROR(VLOOKUP(Table2[[#This Row],[Code4]],'[2]New Reason code'!$A$2:$D$77,2,0),0)</f>
        <v>During setup time</v>
      </c>
      <c r="X77" s="61" t="str">
        <f>IFERROR(VLOOKUP(Table2[[#This Row],[Reason]],'[2]New Reason code'!$B$2:$D$77,2,0),0)</f>
        <v xml:space="preserve">Due to Settup  </v>
      </c>
      <c r="Y77" s="61" t="str">
        <f>IFERROR(VLOOKUP(Table2[[#This Row],[Rejection Identified at]],'[2]New Reason code'!$C$2:$D$77,2,0),0)</f>
        <v>skill</v>
      </c>
    </row>
    <row r="78" spans="1:25" ht="20.25" customHeight="1">
      <c r="A78" s="60">
        <v>74</v>
      </c>
      <c r="B78" s="61"/>
      <c r="C78" s="61" t="s">
        <v>156</v>
      </c>
      <c r="D78" s="61" t="str">
        <f>IFERROR(VLOOKUP(Table2[[#This Row],[M/c No]],'[2]New Machine sheet'!$B$1:$D$101,2,0),0)</f>
        <v>VMC</v>
      </c>
      <c r="E78" s="61" t="str">
        <f>IFERROR(VLOOKUP(Table2[[#This Row],[M/c Name]],'[2]New Machine sheet'!$C$1:$D$101,2,0),0)</f>
        <v>VMC</v>
      </c>
      <c r="F78" s="61">
        <v>155</v>
      </c>
      <c r="G78" s="61">
        <f>IFERROR(VLOOKUP(Table2[[#This Row],[Code2]],'[2]New Machine sheet'!$F$2:$I$64,2,),0)</f>
        <v>24155</v>
      </c>
      <c r="H78" s="61" t="str">
        <f>IFERROR(VLOOKUP(Table2[[#This Row],[Code2]],'[2]New Machine sheet'!$F$2:$I$64,3,0),0)</f>
        <v>RE J1</v>
      </c>
      <c r="I78" s="61" t="s">
        <v>133</v>
      </c>
      <c r="J78" s="61">
        <v>72</v>
      </c>
      <c r="K78" s="61" t="str">
        <f>IFERROR(VLOOKUP(Table2[[#This Row],[Code3]],'[2]New defect code '!$A$2:$D$129,2,0),0)</f>
        <v xml:space="preserve">PG No Go pass </v>
      </c>
      <c r="L78" s="61" t="s">
        <v>149</v>
      </c>
      <c r="M78" s="56">
        <v>46266</v>
      </c>
      <c r="N78" s="61"/>
      <c r="O78" s="61">
        <v>2</v>
      </c>
      <c r="P78" s="61"/>
      <c r="Q78" s="61"/>
      <c r="R78" s="61">
        <f>SUBTOTAL(9,Table2[[#This Row],[1st]:[FQC]])</f>
        <v>2</v>
      </c>
      <c r="S78" s="61">
        <f>IFERROR(VLOOKUP(Table2[[#This Row],[Part No.]],'[2]New Machine sheet'!$G$2:$I$90,3,0),0)</f>
        <v>107.67</v>
      </c>
      <c r="T78" s="61">
        <f>Table2[[#This Row],[cost per piece]]*Table2[[#This Row],[Total Rej. qty]]</f>
        <v>215.34</v>
      </c>
      <c r="U78" s="61">
        <f>IFERROR(VLOOKUP(Table2[[#This Row],[Non Conformance]],'[2]New defect code '!$B$2:$C$129,2,0),0)</f>
        <v>0</v>
      </c>
      <c r="V78" s="61">
        <v>19</v>
      </c>
      <c r="W78" s="61" t="str">
        <f>IFERROR(VLOOKUP(Table2[[#This Row],[Code4]],'[2]New Reason code'!$A$2:$D$77,2,0),0)</f>
        <v>During Rework time</v>
      </c>
      <c r="X78" s="61" t="str">
        <f>IFERROR(VLOOKUP(Table2[[#This Row],[Reason]],'[2]New Reason code'!$B$2:$D$77,2,0),0)</f>
        <v>Due to operator</v>
      </c>
      <c r="Y78" s="61" t="str">
        <f>IFERROR(VLOOKUP(Table2[[#This Row],[Rejection Identified at]],'[2]New Reason code'!$C$2:$D$77,2,0),0)</f>
        <v xml:space="preserve">infrastructure </v>
      </c>
    </row>
    <row r="79" spans="1:25" ht="20.25" customHeight="1">
      <c r="A79" s="60">
        <v>75</v>
      </c>
      <c r="B79" s="61">
        <v>22</v>
      </c>
      <c r="C79" s="61" t="str">
        <f>IFERROR(VLOOKUP(Table2[[#This Row],[Code]],'[2]New Machine sheet'!$A$1:$D$101,2,0),0)</f>
        <v>ACE-02</v>
      </c>
      <c r="D79" s="61" t="str">
        <f>IFERROR(VLOOKUP(Table2[[#This Row],[M/c No]],'[2]New Machine sheet'!$B$1:$D$101,2,0),0)</f>
        <v>Micromatic</v>
      </c>
      <c r="E79" s="61" t="str">
        <f>IFERROR(VLOOKUP(Table2[[#This Row],[M/c Name]],'[2]New Machine sheet'!$C$1:$D$101,2,0),0)</f>
        <v>Turning</v>
      </c>
      <c r="F79" s="61">
        <v>115</v>
      </c>
      <c r="G79" s="61">
        <f>IFERROR(VLOOKUP(Table2[[#This Row],[Code2]],'[2]New Machine sheet'!$F$2:$I$64,2,),0)</f>
        <v>24115</v>
      </c>
      <c r="H79" s="61" t="str">
        <f>IFERROR(VLOOKUP(Table2[[#This Row],[Code2]],'[2]New Machine sheet'!$F$2:$I$64,3,0),0)</f>
        <v>RE J1</v>
      </c>
      <c r="I79" s="61" t="s">
        <v>129</v>
      </c>
      <c r="J79" s="61">
        <v>5</v>
      </c>
      <c r="K79" s="61" t="str">
        <f>IFERROR(VLOOKUP(Table2[[#This Row],[Code3]],'[2]New defect code '!$A$2:$D$129,2,0),0)</f>
        <v>Bore Over size</v>
      </c>
      <c r="L79" s="61" t="s">
        <v>149</v>
      </c>
      <c r="M79" s="56">
        <v>46266</v>
      </c>
      <c r="N79" s="61"/>
      <c r="O79" s="61">
        <v>8</v>
      </c>
      <c r="P79" s="61"/>
      <c r="Q79" s="61"/>
      <c r="R79" s="61">
        <f>SUBTOTAL(9,Table2[[#This Row],[1st]:[FQC]])</f>
        <v>8</v>
      </c>
      <c r="S79" s="61">
        <f>IFERROR(VLOOKUP(Table2[[#This Row],[Part No.]],'[2]New Machine sheet'!$G$2:$I$90,3,0),0)</f>
        <v>66.900000000000006</v>
      </c>
      <c r="T79" s="61">
        <f>Table2[[#This Row],[cost per piece]]*Table2[[#This Row],[Total Rej. qty]]</f>
        <v>535.20000000000005</v>
      </c>
      <c r="U79" s="61">
        <f>IFERROR(VLOOKUP(Table2[[#This Row],[Non Conformance]],'[2]New defect code '!$B$2:$C$129,2,0),0)</f>
        <v>3243</v>
      </c>
      <c r="V79" s="61">
        <v>19</v>
      </c>
      <c r="W79" s="61" t="str">
        <f>IFERROR(VLOOKUP(Table2[[#This Row],[Code4]],'[2]New Reason code'!$A$2:$D$77,2,0),0)</f>
        <v>During Rework time</v>
      </c>
      <c r="X79" s="61" t="str">
        <f>IFERROR(VLOOKUP(Table2[[#This Row],[Reason]],'[2]New Reason code'!$B$2:$D$77,2,0),0)</f>
        <v>Due to operator</v>
      </c>
      <c r="Y79" s="61" t="str">
        <f>IFERROR(VLOOKUP(Table2[[#This Row],[Rejection Identified at]],'[2]New Reason code'!$C$2:$D$77,2,0),0)</f>
        <v xml:space="preserve">infrastructure </v>
      </c>
    </row>
    <row r="80" spans="1:25" ht="20.25" customHeight="1">
      <c r="A80" s="50">
        <v>76</v>
      </c>
      <c r="B80" s="61">
        <v>38</v>
      </c>
      <c r="C80" s="61" t="str">
        <f>IFERROR(VLOOKUP(Table2[[#This Row],[Code]],'[2]New Machine sheet'!$A$1:$D$101,2,0),0)</f>
        <v>ACE-18</v>
      </c>
      <c r="D80" s="61" t="str">
        <f>IFERROR(VLOOKUP(Table2[[#This Row],[M/c No]],'[2]New Machine sheet'!$B$1:$D$101,2,0),0)</f>
        <v>Micromatic</v>
      </c>
      <c r="E80" s="61" t="str">
        <f>IFERROR(VLOOKUP(Table2[[#This Row],[M/c Name]],'[2]New Machine sheet'!$C$1:$D$101,2,0),0)</f>
        <v>Turning</v>
      </c>
      <c r="F80" s="61">
        <v>127</v>
      </c>
      <c r="G80" s="61">
        <f>IFERROR(VLOOKUP(Table2[[#This Row],[Code2]],'[2]New Machine sheet'!$F$2:$I$64,2,),0)</f>
        <v>24127</v>
      </c>
      <c r="H80" s="61" t="str">
        <f>IFERROR(VLOOKUP(Table2[[#This Row],[Code2]],'[2]New Machine sheet'!$F$2:$I$64,3,0),0)</f>
        <v>RE J1</v>
      </c>
      <c r="I80" s="61" t="s">
        <v>146</v>
      </c>
      <c r="J80" s="61">
        <v>5</v>
      </c>
      <c r="K80" s="61" t="str">
        <f>IFERROR(VLOOKUP(Table2[[#This Row],[Code3]],'[2]New defect code '!$A$2:$D$129,2,0),0)</f>
        <v>Bore Over size</v>
      </c>
      <c r="L80" s="61" t="s">
        <v>149</v>
      </c>
      <c r="M80" s="56">
        <v>46266</v>
      </c>
      <c r="N80" s="61"/>
      <c r="O80" s="61">
        <v>1</v>
      </c>
      <c r="P80" s="61"/>
      <c r="Q80" s="61"/>
      <c r="R80" s="61">
        <f>SUBTOTAL(9,Table2[[#This Row],[1st]:[FQC]])</f>
        <v>1</v>
      </c>
      <c r="S80" s="61">
        <f>IFERROR(VLOOKUP(Table2[[#This Row],[Part No.]],'[2]New Machine sheet'!$G$2:$I$90,3,0),0)</f>
        <v>262.81200000000001</v>
      </c>
      <c r="T80" s="61">
        <f>Table2[[#This Row],[cost per piece]]*Table2[[#This Row],[Total Rej. qty]]</f>
        <v>262.81200000000001</v>
      </c>
      <c r="U80" s="61">
        <f>IFERROR(VLOOKUP(Table2[[#This Row],[Non Conformance]],'[2]New defect code '!$B$2:$C$129,2,0),0)</f>
        <v>3243</v>
      </c>
      <c r="V80" s="61">
        <v>51</v>
      </c>
      <c r="W80" s="61" t="str">
        <f>IFERROR(VLOOKUP(Table2[[#This Row],[Code4]],'[2]New Reason code'!$A$2:$D$77,2,0),0)</f>
        <v>Size veriation on m/c</v>
      </c>
      <c r="X80" s="61" t="str">
        <f>IFERROR(VLOOKUP(Table2[[#This Row],[Reason]],'[2]New Reason code'!$B$2:$D$77,2,0),0)</f>
        <v xml:space="preserve">Due to machine </v>
      </c>
      <c r="Y80" s="61" t="str">
        <f>IFERROR(VLOOKUP(Table2[[#This Row],[Rejection Identified at]],'[2]New Reason code'!$C$2:$D$77,2,0),0)</f>
        <v>process</v>
      </c>
    </row>
    <row r="81" spans="1:25" ht="20.25" customHeight="1">
      <c r="A81" s="60">
        <v>77</v>
      </c>
      <c r="B81" s="61">
        <v>24</v>
      </c>
      <c r="C81" s="61" t="str">
        <f>IFERROR(VLOOKUP(Table2[[#This Row],[Code]],'[2]New Machine sheet'!$A$1:$D$101,2,0),0)</f>
        <v>ACE-04</v>
      </c>
      <c r="D81" s="61" t="str">
        <f>IFERROR(VLOOKUP(Table2[[#This Row],[M/c No]],'[2]New Machine sheet'!$B$1:$D$101,2,0),0)</f>
        <v>Micromatic</v>
      </c>
      <c r="E81" s="61" t="str">
        <f>IFERROR(VLOOKUP(Table2[[#This Row],[M/c Name]],'[2]New Machine sheet'!$C$1:$D$101,2,0),0)</f>
        <v>Turning</v>
      </c>
      <c r="F81" s="61">
        <v>125</v>
      </c>
      <c r="G81" s="61">
        <f>IFERROR(VLOOKUP(Table2[[#This Row],[Code2]],'[2]New Machine sheet'!$F$2:$I$64,2,),0)</f>
        <v>24125</v>
      </c>
      <c r="H81" s="61" t="str">
        <f>IFERROR(VLOOKUP(Table2[[#This Row],[Code2]],'[2]New Machine sheet'!$F$2:$I$64,3,0),0)</f>
        <v>RE J1</v>
      </c>
      <c r="I81" s="61" t="s">
        <v>141</v>
      </c>
      <c r="J81" s="61">
        <v>5</v>
      </c>
      <c r="K81" s="61" t="str">
        <f>IFERROR(VLOOKUP(Table2[[#This Row],[Code3]],'[2]New defect code '!$A$2:$D$129,2,0),0)</f>
        <v>Bore Over size</v>
      </c>
      <c r="L81" s="61" t="s">
        <v>149</v>
      </c>
      <c r="M81" s="56">
        <v>46266</v>
      </c>
      <c r="N81" s="61"/>
      <c r="O81" s="61">
        <v>1</v>
      </c>
      <c r="P81" s="61"/>
      <c r="Q81" s="61"/>
      <c r="R81" s="61">
        <f>SUBTOTAL(9,Table2[[#This Row],[1st]:[FQC]])</f>
        <v>1</v>
      </c>
      <c r="S81" s="61">
        <f>IFERROR(VLOOKUP(Table2[[#This Row],[Part No.]],'[2]New Machine sheet'!$G$2:$I$90,3,0),0)</f>
        <v>65.17</v>
      </c>
      <c r="T81" s="61">
        <f>Table2[[#This Row],[cost per piece]]*Table2[[#This Row],[Total Rej. qty]]</f>
        <v>65.17</v>
      </c>
      <c r="U81" s="61">
        <f>IFERROR(VLOOKUP(Table2[[#This Row],[Non Conformance]],'[2]New defect code '!$B$2:$C$129,2,0),0)</f>
        <v>3243</v>
      </c>
      <c r="V81" s="61">
        <v>18</v>
      </c>
      <c r="W81" s="61" t="str">
        <f>IFERROR(VLOOKUP(Table2[[#This Row],[Code4]],'[2]New Reason code'!$A$2:$D$77,2,0),0)</f>
        <v>During insert change</v>
      </c>
      <c r="X81" s="61" t="str">
        <f>IFERROR(VLOOKUP(Table2[[#This Row],[Reason]],'[2]New Reason code'!$B$2:$D$77,2,0),0)</f>
        <v xml:space="preserve">Due to Settup  </v>
      </c>
      <c r="Y81" s="61" t="str">
        <f>IFERROR(VLOOKUP(Table2[[#This Row],[Rejection Identified at]],'[2]New Reason code'!$C$2:$D$77,2,0),0)</f>
        <v>skill</v>
      </c>
    </row>
    <row r="82" spans="1:25" ht="20.25" customHeight="1">
      <c r="A82" s="60">
        <v>78</v>
      </c>
      <c r="B82" s="61">
        <v>6</v>
      </c>
      <c r="C82" s="61" t="str">
        <f>IFERROR(VLOOKUP(Table2[[#This Row],[Code]],'[2]New Machine sheet'!$A$1:$D$101,2,0),0)</f>
        <v>282-06</v>
      </c>
      <c r="D82" s="61" t="str">
        <f>IFERROR(VLOOKUP(Table2[[#This Row],[M/c No]],'[2]New Machine sheet'!$B$1:$D$101,2,0),0)</f>
        <v>Mazak</v>
      </c>
      <c r="E82" s="61" t="str">
        <f>IFERROR(VLOOKUP(Table2[[#This Row],[M/c Name]],'[2]New Machine sheet'!$C$1:$D$101,2,0),0)</f>
        <v>Turning</v>
      </c>
      <c r="F82" s="61">
        <v>178</v>
      </c>
      <c r="G82" s="61">
        <f>IFERROR(VLOOKUP(Table2[[#This Row],[Code2]],'[2]New Machine sheet'!$F$2:$I$64,2,),0)</f>
        <v>24178</v>
      </c>
      <c r="H82" s="61" t="str">
        <f>IFERROR(VLOOKUP(Table2[[#This Row],[Code2]],'[2]New Machine sheet'!$F$2:$I$64,3,0),0)</f>
        <v>RE J1</v>
      </c>
      <c r="I82" s="61" t="s">
        <v>122</v>
      </c>
      <c r="J82" s="61">
        <v>5</v>
      </c>
      <c r="K82" s="61" t="str">
        <f>IFERROR(VLOOKUP(Table2[[#This Row],[Code3]],'[2]New defect code '!$A$2:$D$129,2,0),0)</f>
        <v>Bore Over size</v>
      </c>
      <c r="L82" s="61" t="s">
        <v>149</v>
      </c>
      <c r="M82" s="56">
        <v>46266</v>
      </c>
      <c r="N82" s="61"/>
      <c r="O82" s="61">
        <v>15</v>
      </c>
      <c r="P82" s="61"/>
      <c r="Q82" s="61"/>
      <c r="R82" s="61">
        <f>SUBTOTAL(9,Table2[[#This Row],[1st]:[FQC]])</f>
        <v>15</v>
      </c>
      <c r="S82" s="61">
        <f>IFERROR(VLOOKUP(Table2[[#This Row],[Part No.]],'[2]New Machine sheet'!$G$2:$I$90,3,0),0)</f>
        <v>70.62</v>
      </c>
      <c r="T82" s="61">
        <f>Table2[[#This Row],[cost per piece]]*Table2[[#This Row],[Total Rej. qty]]</f>
        <v>1059.3000000000002</v>
      </c>
      <c r="U82" s="61">
        <f>IFERROR(VLOOKUP(Table2[[#This Row],[Non Conformance]],'[2]New defect code '!$B$2:$C$129,2,0),0)</f>
        <v>3243</v>
      </c>
      <c r="V82" s="61">
        <v>19</v>
      </c>
      <c r="W82" s="61" t="str">
        <f>IFERROR(VLOOKUP(Table2[[#This Row],[Code4]],'[2]New Reason code'!$A$2:$D$77,2,0),0)</f>
        <v>During Rework time</v>
      </c>
      <c r="X82" s="61" t="str">
        <f>IFERROR(VLOOKUP(Table2[[#This Row],[Reason]],'[2]New Reason code'!$B$2:$D$77,2,0),0)</f>
        <v>Due to operator</v>
      </c>
      <c r="Y82" s="61" t="str">
        <f>IFERROR(VLOOKUP(Table2[[#This Row],[Rejection Identified at]],'[2]New Reason code'!$C$2:$D$77,2,0),0)</f>
        <v xml:space="preserve">infrastructure </v>
      </c>
    </row>
    <row r="83" spans="1:25" ht="20.25" customHeight="1">
      <c r="A83" s="50">
        <v>79</v>
      </c>
      <c r="B83" s="61">
        <v>15</v>
      </c>
      <c r="C83" s="61" t="str">
        <f>IFERROR(VLOOKUP(Table2[[#This Row],[Code]],'[2]New Machine sheet'!$A$1:$D$101,2,0),0)</f>
        <v>282-15</v>
      </c>
      <c r="D83" s="61" t="str">
        <f>IFERROR(VLOOKUP(Table2[[#This Row],[M/c No]],'[2]New Machine sheet'!$B$1:$D$101,2,0),0)</f>
        <v>Mazak</v>
      </c>
      <c r="E83" s="61" t="str">
        <f>IFERROR(VLOOKUP(Table2[[#This Row],[M/c Name]],'[2]New Machine sheet'!$C$1:$D$101,2,0),0)</f>
        <v>Turning</v>
      </c>
      <c r="F83" s="61">
        <v>127</v>
      </c>
      <c r="G83" s="61">
        <f>IFERROR(VLOOKUP(Table2[[#This Row],[Code2]],'[2]New Machine sheet'!$F$2:$I$64,2,),0)</f>
        <v>24127</v>
      </c>
      <c r="H83" s="61" t="str">
        <f>IFERROR(VLOOKUP(Table2[[#This Row],[Code2]],'[2]New Machine sheet'!$F$2:$I$64,3,0),0)</f>
        <v>RE J1</v>
      </c>
      <c r="I83" s="61"/>
      <c r="J83" s="61">
        <v>66</v>
      </c>
      <c r="K83" s="61" t="str">
        <f>IFERROR(VLOOKUP(Table2[[#This Row],[Code3]],'[2]New defect code '!$A$2:$D$129,2,0),0)</f>
        <v>OD Under Size</v>
      </c>
      <c r="L83" s="61" t="s">
        <v>149</v>
      </c>
      <c r="M83" s="56">
        <v>46266</v>
      </c>
      <c r="N83" s="61"/>
      <c r="O83" s="61">
        <v>3</v>
      </c>
      <c r="P83" s="61"/>
      <c r="Q83" s="61"/>
      <c r="R83" s="61">
        <f>SUBTOTAL(9,Table2[[#This Row],[1st]:[FQC]])</f>
        <v>3</v>
      </c>
      <c r="S83" s="61">
        <f>IFERROR(VLOOKUP(Table2[[#This Row],[Part No.]],'[2]New Machine sheet'!$G$2:$I$90,3,0),0)</f>
        <v>262.81200000000001</v>
      </c>
      <c r="T83" s="61">
        <f>Table2[[#This Row],[cost per piece]]*Table2[[#This Row],[Total Rej. qty]]</f>
        <v>788.43600000000004</v>
      </c>
      <c r="U83" s="61">
        <f>IFERROR(VLOOKUP(Table2[[#This Row],[Non Conformance]],'[2]New defect code '!$B$2:$C$129,2,0),0)</f>
        <v>3242</v>
      </c>
      <c r="V83" s="61">
        <v>2</v>
      </c>
      <c r="W83" s="61" t="str">
        <f>IFERROR(VLOOKUP(Table2[[#This Row],[Code4]],'[2]New Reason code'!$A$2:$D$77,2,0),0)</f>
        <v>APG unit disturb</v>
      </c>
      <c r="X83" s="61" t="str">
        <f>IFERROR(VLOOKUP(Table2[[#This Row],[Reason]],'[2]New Reason code'!$B$2:$D$77,2,0),0)</f>
        <v>Line audit</v>
      </c>
      <c r="Y83" s="61" t="str">
        <f>IFERROR(VLOOKUP(Table2[[#This Row],[Rejection Identified at]],'[2]New Reason code'!$C$2:$D$77,2,0),0)</f>
        <v>Process Issue</v>
      </c>
    </row>
    <row r="84" spans="1:25" ht="20.25" customHeight="1">
      <c r="A84" s="60">
        <v>80</v>
      </c>
      <c r="B84" s="61">
        <v>6</v>
      </c>
      <c r="C84" s="61" t="str">
        <f>IFERROR(VLOOKUP(Table2[[#This Row],[Code]],'[2]New Machine sheet'!$A$1:$D$101,2,0),0)</f>
        <v>282-06</v>
      </c>
      <c r="D84" s="61" t="str">
        <f>IFERROR(VLOOKUP(Table2[[#This Row],[M/c No]],'[2]New Machine sheet'!$B$1:$D$101,2,0),0)</f>
        <v>Mazak</v>
      </c>
      <c r="E84" s="61" t="str">
        <f>IFERROR(VLOOKUP(Table2[[#This Row],[M/c Name]],'[2]New Machine sheet'!$C$1:$D$101,2,0),0)</f>
        <v>Turning</v>
      </c>
      <c r="F84" s="61">
        <v>178</v>
      </c>
      <c r="G84" s="61">
        <f>IFERROR(VLOOKUP(Table2[[#This Row],[Code2]],'[2]New Machine sheet'!$F$2:$I$64,2,),0)</f>
        <v>24178</v>
      </c>
      <c r="H84" s="61" t="str">
        <f>IFERROR(VLOOKUP(Table2[[#This Row],[Code2]],'[2]New Machine sheet'!$F$2:$I$64,3,0),0)</f>
        <v>RE J1</v>
      </c>
      <c r="I84" s="61"/>
      <c r="J84" s="61">
        <v>5</v>
      </c>
      <c r="K84" s="61" t="str">
        <f>IFERROR(VLOOKUP(Table2[[#This Row],[Code3]],'[2]New defect code '!$A$2:$D$129,2,0),0)</f>
        <v>Bore Over size</v>
      </c>
      <c r="L84" s="61" t="s">
        <v>149</v>
      </c>
      <c r="M84" s="56">
        <v>46266</v>
      </c>
      <c r="N84" s="61"/>
      <c r="O84" s="61">
        <v>5</v>
      </c>
      <c r="P84" s="61"/>
      <c r="Q84" s="61"/>
      <c r="R84" s="61">
        <f>SUBTOTAL(9,Table2[[#This Row],[1st]:[FQC]])</f>
        <v>5</v>
      </c>
      <c r="S84" s="61">
        <f>IFERROR(VLOOKUP(Table2[[#This Row],[Part No.]],'[2]New Machine sheet'!$G$2:$I$90,3,0),0)</f>
        <v>70.62</v>
      </c>
      <c r="T84" s="61">
        <f>Table2[[#This Row],[cost per piece]]*Table2[[#This Row],[Total Rej. qty]]</f>
        <v>353.1</v>
      </c>
      <c r="U84" s="61">
        <f>IFERROR(VLOOKUP(Table2[[#This Row],[Non Conformance]],'[2]New defect code '!$B$2:$C$129,2,0),0)</f>
        <v>3243</v>
      </c>
      <c r="V84" s="61">
        <v>70</v>
      </c>
      <c r="W84" s="61" t="str">
        <f>IFERROR(VLOOKUP(Table2[[#This Row],[Code4]],'[2]New Reason code'!$A$2:$D$77,2,0),0)</f>
        <v>Insert Wear Out</v>
      </c>
      <c r="X84" s="61" t="str">
        <f>IFERROR(VLOOKUP(Table2[[#This Row],[Reason]],'[2]New Reason code'!$B$2:$D$77,2,0),0)</f>
        <v>Line audit</v>
      </c>
      <c r="Y84" s="61" t="str">
        <f>IFERROR(VLOOKUP(Table2[[#This Row],[Rejection Identified at]],'[2]New Reason code'!$C$2:$D$77,2,0),0)</f>
        <v>Process Issue</v>
      </c>
    </row>
    <row r="85" spans="1:25" ht="20.25" customHeight="1">
      <c r="A85" s="60">
        <v>81</v>
      </c>
      <c r="B85" s="61">
        <v>24</v>
      </c>
      <c r="C85" s="61" t="str">
        <f>IFERROR(VLOOKUP(Table2[[#This Row],[Code]],'[2]New Machine sheet'!$A$1:$D$101,2,0),0)</f>
        <v>ACE-04</v>
      </c>
      <c r="D85" s="61" t="str">
        <f>IFERROR(VLOOKUP(Table2[[#This Row],[M/c No]],'[2]New Machine sheet'!$B$1:$D$101,2,0),0)</f>
        <v>Micromatic</v>
      </c>
      <c r="E85" s="61" t="str">
        <f>IFERROR(VLOOKUP(Table2[[#This Row],[M/c Name]],'[2]New Machine sheet'!$C$1:$D$101,2,0),0)</f>
        <v>Turning</v>
      </c>
      <c r="F85" s="61">
        <v>125</v>
      </c>
      <c r="G85" s="61">
        <f>IFERROR(VLOOKUP(Table2[[#This Row],[Code2]],'[2]New Machine sheet'!$F$2:$I$64,2,),0)</f>
        <v>24125</v>
      </c>
      <c r="H85" s="61" t="str">
        <f>IFERROR(VLOOKUP(Table2[[#This Row],[Code2]],'[2]New Machine sheet'!$F$2:$I$64,3,0),0)</f>
        <v>RE J1</v>
      </c>
      <c r="I85" s="61" t="s">
        <v>158</v>
      </c>
      <c r="J85" s="61">
        <v>93</v>
      </c>
      <c r="K85" s="61" t="str">
        <f>IFERROR(VLOOKUP(Table2[[#This Row],[Code3]],'[2]New defect code '!$A$2:$D$129,2,0),0)</f>
        <v>Thickness Under size</v>
      </c>
      <c r="L85" s="61" t="s">
        <v>149</v>
      </c>
      <c r="M85" s="56">
        <v>46266</v>
      </c>
      <c r="N85" s="61"/>
      <c r="O85" s="61"/>
      <c r="P85" s="61">
        <v>2</v>
      </c>
      <c r="Q85" s="61"/>
      <c r="R85" s="61">
        <f>SUBTOTAL(9,Table2[[#This Row],[1st]:[FQC]])</f>
        <v>2</v>
      </c>
      <c r="S85" s="61">
        <f>IFERROR(VLOOKUP(Table2[[#This Row],[Part No.]],'[2]New Machine sheet'!$G$2:$I$90,3,0),0)</f>
        <v>65.17</v>
      </c>
      <c r="T85" s="61">
        <f>Table2[[#This Row],[cost per piece]]*Table2[[#This Row],[Total Rej. qty]]</f>
        <v>130.34</v>
      </c>
      <c r="U85" s="61">
        <f>IFERROR(VLOOKUP(Table2[[#This Row],[Non Conformance]],'[2]New defect code '!$B$2:$C$129,2,0),0)</f>
        <v>3258</v>
      </c>
      <c r="V85" s="61"/>
      <c r="W85" s="61" t="s">
        <v>160</v>
      </c>
      <c r="X85" s="61">
        <f>IFERROR(VLOOKUP(Table2[[#This Row],[Reason]],'[2]New Reason code'!$B$2:$D$77,2,0),0)</f>
        <v>0</v>
      </c>
      <c r="Y85" s="61">
        <f>IFERROR(VLOOKUP(Table2[[#This Row],[Rejection Identified at]],'[2]New Reason code'!$C$2:$D$77,2,0),0)</f>
        <v>0</v>
      </c>
    </row>
    <row r="86" spans="1:25" ht="20.25" customHeight="1">
      <c r="A86" s="50">
        <v>82</v>
      </c>
      <c r="B86" s="61">
        <v>46</v>
      </c>
      <c r="C86" s="61" t="str">
        <f>IFERROR(VLOOKUP(Table2[[#This Row],[Code]],'[2]New Machine sheet'!$A$1:$D$101,2,0),0)</f>
        <v>MURATEC-02</v>
      </c>
      <c r="D86" s="61" t="str">
        <f>IFERROR(VLOOKUP(Table2[[#This Row],[M/c No]],'[2]New Machine sheet'!$B$1:$D$101,2,0),0)</f>
        <v>MURATEC</v>
      </c>
      <c r="E86" s="61" t="str">
        <f>IFERROR(VLOOKUP(Table2[[#This Row],[M/c Name]],'[2]New Machine sheet'!$C$1:$D$101,2,0),0)</f>
        <v xml:space="preserve">turning </v>
      </c>
      <c r="F86" s="61">
        <v>127</v>
      </c>
      <c r="G86" s="61">
        <f>IFERROR(VLOOKUP(Table2[[#This Row],[Code2]],'[2]New Machine sheet'!$F$2:$I$64,2,),0)</f>
        <v>24127</v>
      </c>
      <c r="H86" s="61" t="str">
        <f>IFERROR(VLOOKUP(Table2[[#This Row],[Code2]],'[2]New Machine sheet'!$F$2:$I$64,3,0),0)</f>
        <v>RE J1</v>
      </c>
      <c r="I86" s="61" t="s">
        <v>141</v>
      </c>
      <c r="J86" s="61">
        <v>5</v>
      </c>
      <c r="K86" s="61" t="str">
        <f>IFERROR(VLOOKUP(Table2[[#This Row],[Code3]],'[2]New defect code '!$A$2:$D$129,2,0),0)</f>
        <v>Bore Over size</v>
      </c>
      <c r="L86" s="61" t="s">
        <v>149</v>
      </c>
      <c r="M86" s="56">
        <v>46266</v>
      </c>
      <c r="N86" s="61"/>
      <c r="O86" s="61"/>
      <c r="P86" s="61">
        <v>1</v>
      </c>
      <c r="Q86" s="61"/>
      <c r="R86" s="61">
        <f>SUBTOTAL(9,Table2[[#This Row],[1st]:[FQC]])</f>
        <v>1</v>
      </c>
      <c r="S86" s="61">
        <f>IFERROR(VLOOKUP(Table2[[#This Row],[Part No.]],'[2]New Machine sheet'!$G$2:$I$90,3,0),0)</f>
        <v>262.81200000000001</v>
      </c>
      <c r="T86" s="61">
        <f>Table2[[#This Row],[cost per piece]]*Table2[[#This Row],[Total Rej. qty]]</f>
        <v>262.81200000000001</v>
      </c>
      <c r="U86" s="61">
        <f>IFERROR(VLOOKUP(Table2[[#This Row],[Non Conformance]],'[2]New defect code '!$B$2:$C$129,2,0),0)</f>
        <v>3243</v>
      </c>
      <c r="V86" s="61">
        <v>12</v>
      </c>
      <c r="W86" s="61" t="str">
        <f>IFERROR(VLOOKUP(Table2[[#This Row],[Code4]],'[2]New Reason code'!$A$2:$D$77,2,0),0)</f>
        <v>Double loading</v>
      </c>
      <c r="X86" s="61" t="str">
        <f>IFERROR(VLOOKUP(Table2[[#This Row],[Reason]],'[2]New Reason code'!$B$2:$D$77,2,0),0)</f>
        <v>Due to operator</v>
      </c>
      <c r="Y86" s="61" t="str">
        <f>IFERROR(VLOOKUP(Table2[[#This Row],[Rejection Identified at]],'[2]New Reason code'!$C$2:$D$77,2,0),0)</f>
        <v xml:space="preserve">infrastructure </v>
      </c>
    </row>
    <row r="87" spans="1:25" ht="20.25" customHeight="1">
      <c r="A87" s="60">
        <v>83</v>
      </c>
      <c r="B87" s="61">
        <v>22</v>
      </c>
      <c r="C87" s="61" t="str">
        <f>IFERROR(VLOOKUP(Table2[[#This Row],[Code]],'[2]New Machine sheet'!$A$1:$D$101,2,0),0)</f>
        <v>ACE-02</v>
      </c>
      <c r="D87" s="61" t="str">
        <f>IFERROR(VLOOKUP(Table2[[#This Row],[M/c No]],'[2]New Machine sheet'!$B$1:$D$101,2,0),0)</f>
        <v>Micromatic</v>
      </c>
      <c r="E87" s="61" t="str">
        <f>IFERROR(VLOOKUP(Table2[[#This Row],[M/c Name]],'[2]New Machine sheet'!$C$1:$D$101,2,0),0)</f>
        <v>Turning</v>
      </c>
      <c r="F87" s="61">
        <v>115</v>
      </c>
      <c r="G87" s="61">
        <f>IFERROR(VLOOKUP(Table2[[#This Row],[Code2]],'[2]New Machine sheet'!$F$2:$I$64,2,),0)</f>
        <v>24115</v>
      </c>
      <c r="H87" s="61" t="str">
        <f>IFERROR(VLOOKUP(Table2[[#This Row],[Code2]],'[2]New Machine sheet'!$F$2:$I$64,3,0),0)</f>
        <v>RE J1</v>
      </c>
      <c r="I87" s="61" t="s">
        <v>134</v>
      </c>
      <c r="J87" s="61">
        <v>5</v>
      </c>
      <c r="K87" s="61" t="str">
        <f>IFERROR(VLOOKUP(Table2[[#This Row],[Code3]],'[2]New defect code '!$A$2:$D$129,2,0),0)</f>
        <v>Bore Over size</v>
      </c>
      <c r="L87" s="61" t="s">
        <v>149</v>
      </c>
      <c r="M87" s="56">
        <v>46266</v>
      </c>
      <c r="N87" s="61"/>
      <c r="O87" s="61"/>
      <c r="P87" s="61">
        <v>19</v>
      </c>
      <c r="Q87" s="61"/>
      <c r="R87" s="61">
        <f>SUBTOTAL(9,Table2[[#This Row],[1st]:[FQC]])</f>
        <v>19</v>
      </c>
      <c r="S87" s="61">
        <f>IFERROR(VLOOKUP(Table2[[#This Row],[Part No.]],'[2]New Machine sheet'!$G$2:$I$90,3,0),0)</f>
        <v>66.900000000000006</v>
      </c>
      <c r="T87" s="61">
        <f>Table2[[#This Row],[cost per piece]]*Table2[[#This Row],[Total Rej. qty]]</f>
        <v>1271.1000000000001</v>
      </c>
      <c r="U87" s="61">
        <f>IFERROR(VLOOKUP(Table2[[#This Row],[Non Conformance]],'[2]New defect code '!$B$2:$C$129,2,0),0)</f>
        <v>3243</v>
      </c>
      <c r="V87" s="61">
        <v>19</v>
      </c>
      <c r="W87" s="61" t="str">
        <f>IFERROR(VLOOKUP(Table2[[#This Row],[Code4]],'[2]New Reason code'!$A$2:$D$77,2,0),0)</f>
        <v>During Rework time</v>
      </c>
      <c r="X87" s="61" t="str">
        <f>IFERROR(VLOOKUP(Table2[[#This Row],[Reason]],'[2]New Reason code'!$B$2:$D$77,2,0),0)</f>
        <v>Due to operator</v>
      </c>
      <c r="Y87" s="61" t="str">
        <f>IFERROR(VLOOKUP(Table2[[#This Row],[Rejection Identified at]],'[2]New Reason code'!$C$2:$D$77,2,0),0)</f>
        <v xml:space="preserve">infrastructure </v>
      </c>
    </row>
    <row r="88" spans="1:25" ht="20.25" customHeight="1">
      <c r="A88" s="60">
        <v>84</v>
      </c>
      <c r="B88" s="61">
        <v>21</v>
      </c>
      <c r="C88" s="61" t="str">
        <f>IFERROR(VLOOKUP(Table2[[#This Row],[Code]],'[2]New Machine sheet'!$A$1:$D$101,2,0),0)</f>
        <v>ACE-01</v>
      </c>
      <c r="D88" s="61" t="str">
        <f>IFERROR(VLOOKUP(Table2[[#This Row],[M/c No]],'[2]New Machine sheet'!$B$1:$D$101,2,0),0)</f>
        <v>Micromatic</v>
      </c>
      <c r="E88" s="61" t="str">
        <f>IFERROR(VLOOKUP(Table2[[#This Row],[M/c Name]],'[2]New Machine sheet'!$C$1:$D$101,2,0),0)</f>
        <v>Turning</v>
      </c>
      <c r="F88" s="61">
        <v>121</v>
      </c>
      <c r="G88" s="61">
        <f>IFERROR(VLOOKUP(Table2[[#This Row],[Code2]],'[2]New Machine sheet'!$F$2:$I$64,2,),0)</f>
        <v>24121</v>
      </c>
      <c r="H88" s="61" t="str">
        <f>IFERROR(VLOOKUP(Table2[[#This Row],[Code2]],'[2]New Machine sheet'!$F$2:$I$64,3,0),0)</f>
        <v>RE J1</v>
      </c>
      <c r="I88" s="61" t="s">
        <v>159</v>
      </c>
      <c r="J88" s="61">
        <v>5</v>
      </c>
      <c r="K88" s="61" t="str">
        <f>IFERROR(VLOOKUP(Table2[[#This Row],[Code3]],'[2]New defect code '!$A$2:$D$129,2,0),0)</f>
        <v>Bore Over size</v>
      </c>
      <c r="L88" s="61" t="s">
        <v>149</v>
      </c>
      <c r="M88" s="56">
        <v>46266</v>
      </c>
      <c r="N88" s="61"/>
      <c r="O88" s="61"/>
      <c r="P88" s="61">
        <v>2</v>
      </c>
      <c r="Q88" s="61"/>
      <c r="R88" s="61">
        <f>SUBTOTAL(9,Table2[[#This Row],[1st]:[FQC]])</f>
        <v>2</v>
      </c>
      <c r="S88" s="61">
        <f>IFERROR(VLOOKUP(Table2[[#This Row],[Part No.]],'[2]New Machine sheet'!$G$2:$I$90,3,0),0)</f>
        <v>135.66999999999999</v>
      </c>
      <c r="T88" s="61">
        <f>Table2[[#This Row],[cost per piece]]*Table2[[#This Row],[Total Rej. qty]]</f>
        <v>271.33999999999997</v>
      </c>
      <c r="U88" s="61">
        <f>IFERROR(VLOOKUP(Table2[[#This Row],[Non Conformance]],'[2]New defect code '!$B$2:$C$129,2,0),0)</f>
        <v>3243</v>
      </c>
      <c r="V88" s="61">
        <v>12</v>
      </c>
      <c r="W88" s="61" t="str">
        <f>IFERROR(VLOOKUP(Table2[[#This Row],[Code4]],'[2]New Reason code'!$A$2:$D$77,2,0),0)</f>
        <v>Double loading</v>
      </c>
      <c r="X88" s="61" t="str">
        <f>IFERROR(VLOOKUP(Table2[[#This Row],[Reason]],'[2]New Reason code'!$B$2:$D$77,2,0),0)</f>
        <v>Due to operator</v>
      </c>
      <c r="Y88" s="61" t="str">
        <f>IFERROR(VLOOKUP(Table2[[#This Row],[Rejection Identified at]],'[2]New Reason code'!$C$2:$D$77,2,0),0)</f>
        <v xml:space="preserve">infrastructure </v>
      </c>
    </row>
    <row r="89" spans="1:25" ht="20.25" customHeight="1">
      <c r="A89" s="50">
        <v>85</v>
      </c>
      <c r="B89" s="61"/>
      <c r="C89" s="61" t="s">
        <v>118</v>
      </c>
      <c r="D89" s="61" t="s">
        <v>117</v>
      </c>
      <c r="E89" s="61" t="str">
        <f>IFERROR(VLOOKUP(Table2[[#This Row],[M/c Name]],'[2]New Machine sheet'!$C$1:$D$101,2,0),0)</f>
        <v>Turning</v>
      </c>
      <c r="F89" s="61">
        <v>82</v>
      </c>
      <c r="G89" s="61">
        <f>IFERROR(VLOOKUP(Table2[[#This Row],[Code2]],'[2]New Machine sheet'!$F$2:$I$64,2,),0)</f>
        <v>2482</v>
      </c>
      <c r="H89" s="61" t="str">
        <f>IFERROR(VLOOKUP(Table2[[#This Row],[Code2]],'[2]New Machine sheet'!$F$2:$I$64,3,0),0)</f>
        <v>RE P1</v>
      </c>
      <c r="I89" s="61" t="s">
        <v>129</v>
      </c>
      <c r="J89" s="61">
        <v>93</v>
      </c>
      <c r="K89" s="61" t="str">
        <f>IFERROR(VLOOKUP(Table2[[#This Row],[Code3]],'[2]New defect code '!$A$2:$D$129,2,0),0)</f>
        <v>Thickness Under size</v>
      </c>
      <c r="L89" s="61" t="s">
        <v>149</v>
      </c>
      <c r="M89" s="56">
        <v>46266</v>
      </c>
      <c r="N89" s="61"/>
      <c r="O89" s="61"/>
      <c r="P89" s="61">
        <v>1</v>
      </c>
      <c r="Q89" s="61"/>
      <c r="R89" s="61">
        <f>SUBTOTAL(9,Table2[[#This Row],[1st]:[FQC]])</f>
        <v>1</v>
      </c>
      <c r="S89" s="61">
        <f>IFERROR(VLOOKUP(Table2[[#This Row],[Part No.]],'[2]New Machine sheet'!$G$2:$I$90,3,0),0)</f>
        <v>303.45333333333332</v>
      </c>
      <c r="T89" s="61">
        <f>Table2[[#This Row],[cost per piece]]*Table2[[#This Row],[Total Rej. qty]]</f>
        <v>303.45333333333332</v>
      </c>
      <c r="U89" s="61">
        <f>IFERROR(VLOOKUP(Table2[[#This Row],[Non Conformance]],'[2]New defect code '!$B$2:$C$129,2,0),0)</f>
        <v>3258</v>
      </c>
      <c r="V89" s="61">
        <v>64</v>
      </c>
      <c r="W89" s="61" t="str">
        <f>IFERROR(VLOOKUP(Table2[[#This Row],[Code4]],'[2]New Reason code'!$A$2:$D$77,2,0),0)</f>
        <v>Wrong correction</v>
      </c>
      <c r="X89" s="61" t="str">
        <f>IFERROR(VLOOKUP(Table2[[#This Row],[Reason]],'[2]New Reason code'!$B$2:$D$77,2,0),0)</f>
        <v>Due to operator</v>
      </c>
      <c r="Y89" s="61" t="str">
        <f>IFERROR(VLOOKUP(Table2[[#This Row],[Rejection Identified at]],'[2]New Reason code'!$C$2:$D$77,2,0),0)</f>
        <v xml:space="preserve">infrastructure </v>
      </c>
    </row>
    <row r="90" spans="1:25" ht="20.25" customHeight="1">
      <c r="A90" s="60">
        <v>86</v>
      </c>
      <c r="B90" s="61">
        <v>15</v>
      </c>
      <c r="C90" s="61" t="str">
        <f>IFERROR(VLOOKUP(Table2[[#This Row],[Code]],'[2]New Machine sheet'!$A$1:$D$101,2,0),0)</f>
        <v>282-15</v>
      </c>
      <c r="D90" s="61" t="str">
        <f>IFERROR(VLOOKUP(Table2[[#This Row],[M/c No]],'[2]New Machine sheet'!$B$1:$D$101,2,0),0)</f>
        <v>Mazak</v>
      </c>
      <c r="E90" s="61" t="str">
        <f>IFERROR(VLOOKUP(Table2[[#This Row],[M/c Name]],'[2]New Machine sheet'!$C$1:$D$101,2,0),0)</f>
        <v>Turning</v>
      </c>
      <c r="F90" s="61">
        <v>127</v>
      </c>
      <c r="G90" s="61">
        <f>IFERROR(VLOOKUP(Table2[[#This Row],[Code2]],'[2]New Machine sheet'!$F$2:$I$64,2,),0)</f>
        <v>24127</v>
      </c>
      <c r="H90" s="61" t="str">
        <f>IFERROR(VLOOKUP(Table2[[#This Row],[Code2]],'[2]New Machine sheet'!$F$2:$I$64,3,0),0)</f>
        <v>RE J1</v>
      </c>
      <c r="I90" s="61"/>
      <c r="J90" s="61">
        <v>66</v>
      </c>
      <c r="K90" s="61" t="str">
        <f>IFERROR(VLOOKUP(Table2[[#This Row],[Code3]],'[2]New defect code '!$A$2:$D$129,2,0),0)</f>
        <v>OD Under Size</v>
      </c>
      <c r="L90" s="61" t="s">
        <v>149</v>
      </c>
      <c r="M90" s="56">
        <v>46266</v>
      </c>
      <c r="N90" s="61"/>
      <c r="O90" s="61"/>
      <c r="P90" s="61">
        <v>9</v>
      </c>
      <c r="Q90" s="61"/>
      <c r="R90" s="61">
        <f>SUBTOTAL(9,Table2[[#This Row],[1st]:[FQC]])</f>
        <v>9</v>
      </c>
      <c r="S90" s="61">
        <f>IFERROR(VLOOKUP(Table2[[#This Row],[Part No.]],'[2]New Machine sheet'!$G$2:$I$90,3,0),0)</f>
        <v>262.81200000000001</v>
      </c>
      <c r="T90" s="61">
        <f>Table2[[#This Row],[cost per piece]]*Table2[[#This Row],[Total Rej. qty]]</f>
        <v>2365.308</v>
      </c>
      <c r="U90" s="61">
        <f>IFERROR(VLOOKUP(Table2[[#This Row],[Non Conformance]],'[2]New defect code '!$B$2:$C$129,2,0),0)</f>
        <v>3242</v>
      </c>
      <c r="V90" s="61">
        <v>42</v>
      </c>
      <c r="W90" s="61" t="str">
        <f>IFERROR(VLOOKUP(Table2[[#This Row],[Code4]],'[2]New Reason code'!$A$2:$D$77,2,0),0)</f>
        <v>part not checked by operator</v>
      </c>
      <c r="X90" s="61" t="str">
        <f>IFERROR(VLOOKUP(Table2[[#This Row],[Reason]],'[2]New Reason code'!$B$2:$D$77,2,0),0)</f>
        <v>Line audit</v>
      </c>
      <c r="Y90" s="61" t="str">
        <f>IFERROR(VLOOKUP(Table2[[#This Row],[Rejection Identified at]],'[2]New Reason code'!$C$2:$D$77,2,0),0)</f>
        <v>Process Issue</v>
      </c>
    </row>
    <row r="91" spans="1:25" ht="20.25" customHeight="1">
      <c r="A91" s="60">
        <v>87</v>
      </c>
      <c r="B91" s="61">
        <v>18</v>
      </c>
      <c r="C91" s="61" t="str">
        <f>IFERROR(VLOOKUP(Table2[[#This Row],[Code]],'[2]New Machine sheet'!$A$1:$D$101,2,0),0)</f>
        <v>282-18</v>
      </c>
      <c r="D91" s="61" t="str">
        <f>IFERROR(VLOOKUP(Table2[[#This Row],[M/c No]],'[2]New Machine sheet'!$B$1:$D$101,2,0),0)</f>
        <v>Mazak</v>
      </c>
      <c r="E91" s="61" t="str">
        <f>IFERROR(VLOOKUP(Table2[[#This Row],[M/c Name]],'[2]New Machine sheet'!$C$1:$D$101,2,0),0)</f>
        <v>Turning</v>
      </c>
      <c r="F91" s="61">
        <v>178</v>
      </c>
      <c r="G91" s="61">
        <f>IFERROR(VLOOKUP(Table2[[#This Row],[Code2]],'[2]New Machine sheet'!$F$2:$I$64,2,),0)</f>
        <v>24178</v>
      </c>
      <c r="H91" s="61" t="str">
        <f>IFERROR(VLOOKUP(Table2[[#This Row],[Code2]],'[2]New Machine sheet'!$F$2:$I$64,3,0),0)</f>
        <v>RE J1</v>
      </c>
      <c r="I91" s="61"/>
      <c r="J91" s="61">
        <v>5</v>
      </c>
      <c r="K91" s="61" t="str">
        <f>IFERROR(VLOOKUP(Table2[[#This Row],[Code3]],'[2]New defect code '!$A$2:$D$129,2,0),0)</f>
        <v>Bore Over size</v>
      </c>
      <c r="L91" s="61" t="s">
        <v>149</v>
      </c>
      <c r="M91" s="56">
        <v>46266</v>
      </c>
      <c r="N91" s="61"/>
      <c r="O91" s="61"/>
      <c r="P91" s="61">
        <v>5</v>
      </c>
      <c r="Q91" s="61"/>
      <c r="R91" s="61">
        <f>SUBTOTAL(9,Table2[[#This Row],[1st]:[FQC]])</f>
        <v>5</v>
      </c>
      <c r="S91" s="61">
        <f>IFERROR(VLOOKUP(Table2[[#This Row],[Part No.]],'[2]New Machine sheet'!$G$2:$I$90,3,0),0)</f>
        <v>70.62</v>
      </c>
      <c r="T91" s="61">
        <f>Table2[[#This Row],[cost per piece]]*Table2[[#This Row],[Total Rej. qty]]</f>
        <v>353.1</v>
      </c>
      <c r="U91" s="61">
        <f>IFERROR(VLOOKUP(Table2[[#This Row],[Non Conformance]],'[2]New defect code '!$B$2:$C$129,2,0),0)</f>
        <v>3243</v>
      </c>
      <c r="V91" s="61">
        <v>70</v>
      </c>
      <c r="W91" s="61" t="str">
        <f>IFERROR(VLOOKUP(Table2[[#This Row],[Code4]],'[2]New Reason code'!$A$2:$D$77,2,0),0)</f>
        <v>Insert Wear Out</v>
      </c>
      <c r="X91" s="61" t="str">
        <f>IFERROR(VLOOKUP(Table2[[#This Row],[Reason]],'[2]New Reason code'!$B$2:$D$77,2,0),0)</f>
        <v>Line audit</v>
      </c>
      <c r="Y91" s="61" t="str">
        <f>IFERROR(VLOOKUP(Table2[[#This Row],[Rejection Identified at]],'[2]New Reason code'!$C$2:$D$77,2,0),0)</f>
        <v>Process Issue</v>
      </c>
    </row>
    <row r="92" spans="1:25" ht="20.25" customHeight="1">
      <c r="A92" s="50">
        <v>88</v>
      </c>
      <c r="B92" s="61">
        <v>13</v>
      </c>
      <c r="C92" s="61" t="str">
        <f>IFERROR(VLOOKUP(Table2[[#This Row],[Code]],'[2]New Machine sheet'!$A$1:$D$101,2,0),0)</f>
        <v>282-13</v>
      </c>
      <c r="D92" s="61" t="str">
        <f>IFERROR(VLOOKUP(Table2[[#This Row],[M/c No]],'[2]New Machine sheet'!$B$1:$D$101,2,0),0)</f>
        <v>Mazak</v>
      </c>
      <c r="E92" s="61" t="str">
        <f>IFERROR(VLOOKUP(Table2[[#This Row],[M/c Name]],'[2]New Machine sheet'!$C$1:$D$101,2,0),0)</f>
        <v>Turning</v>
      </c>
      <c r="F92" s="61">
        <v>32</v>
      </c>
      <c r="G92" s="61">
        <f>IFERROR(VLOOKUP(Table2[[#This Row],[Code2]],'[2]New Machine sheet'!$F$2:$I$64,2,),0)</f>
        <v>2432</v>
      </c>
      <c r="H92" s="61" t="str">
        <f>IFERROR(VLOOKUP(Table2[[#This Row],[Code2]],'[2]New Machine sheet'!$F$2:$I$64,3,0),0)</f>
        <v>RE P1</v>
      </c>
      <c r="I92" s="61" t="s">
        <v>125</v>
      </c>
      <c r="J92" s="61">
        <v>5</v>
      </c>
      <c r="K92" s="61" t="str">
        <f>IFERROR(VLOOKUP(Table2[[#This Row],[Code3]],'[2]New defect code '!$A$2:$D$129,2,0),0)</f>
        <v>Bore Over size</v>
      </c>
      <c r="L92" s="61" t="s">
        <v>163</v>
      </c>
      <c r="M92" s="56">
        <v>46266</v>
      </c>
      <c r="N92" s="61">
        <v>7</v>
      </c>
      <c r="O92" s="61"/>
      <c r="P92" s="61"/>
      <c r="Q92" s="61"/>
      <c r="R92" s="61">
        <f>SUBTOTAL(9,Table2[[#This Row],[1st]:[FQC]])</f>
        <v>7</v>
      </c>
      <c r="S92" s="61">
        <f>IFERROR(VLOOKUP(Table2[[#This Row],[Part No.]],'[2]New Machine sheet'!$G$2:$I$90,3,0),0)</f>
        <v>168.54</v>
      </c>
      <c r="T92" s="61">
        <f>Table2[[#This Row],[cost per piece]]*Table2[[#This Row],[Total Rej. qty]]</f>
        <v>1179.78</v>
      </c>
      <c r="U92" s="61">
        <f>IFERROR(VLOOKUP(Table2[[#This Row],[Non Conformance]],'[2]New defect code '!$B$2:$C$129,2,0),0)</f>
        <v>3243</v>
      </c>
      <c r="V92" s="61">
        <v>64</v>
      </c>
      <c r="W92" s="61" t="str">
        <f>IFERROR(VLOOKUP(Table2[[#This Row],[Code4]],'[2]New Reason code'!$A$2:$D$77,2,0),0)</f>
        <v>Wrong correction</v>
      </c>
      <c r="X92" s="61" t="str">
        <f>IFERROR(VLOOKUP(Table2[[#This Row],[Reason]],'[2]New Reason code'!$B$2:$D$77,2,0),0)</f>
        <v>Due to operator</v>
      </c>
      <c r="Y92" s="61" t="str">
        <f>IFERROR(VLOOKUP(Table2[[#This Row],[Rejection Identified at]],'[2]New Reason code'!$C$2:$D$77,2,0),0)</f>
        <v xml:space="preserve">infrastructure </v>
      </c>
    </row>
    <row r="93" spans="1:25" ht="20.25" customHeight="1">
      <c r="A93" s="60">
        <v>89</v>
      </c>
      <c r="B93" s="61">
        <v>14</v>
      </c>
      <c r="C93" s="61" t="str">
        <f>IFERROR(VLOOKUP(Table2[[#This Row],[Code]],'[2]New Machine sheet'!$A$1:$D$101,2,0),0)</f>
        <v>282-14</v>
      </c>
      <c r="D93" s="61" t="str">
        <f>IFERROR(VLOOKUP(Table2[[#This Row],[M/c No]],'[2]New Machine sheet'!$B$1:$D$101,2,0),0)</f>
        <v>Mazak</v>
      </c>
      <c r="E93" s="61" t="str">
        <f>IFERROR(VLOOKUP(Table2[[#This Row],[M/c Name]],'[2]New Machine sheet'!$C$1:$D$101,2,0),0)</f>
        <v>Turning</v>
      </c>
      <c r="F93" s="61">
        <v>155</v>
      </c>
      <c r="G93" s="61">
        <f>IFERROR(VLOOKUP(Table2[[#This Row],[Code2]],'[2]New Machine sheet'!$F$2:$I$64,2,),0)</f>
        <v>24155</v>
      </c>
      <c r="H93" s="61" t="str">
        <f>IFERROR(VLOOKUP(Table2[[#This Row],[Code2]],'[2]New Machine sheet'!$F$2:$I$64,3,0),0)</f>
        <v>RE J1</v>
      </c>
      <c r="I93" s="61" t="s">
        <v>127</v>
      </c>
      <c r="J93" s="61">
        <v>93</v>
      </c>
      <c r="K93" s="61" t="str">
        <f>IFERROR(VLOOKUP(Table2[[#This Row],[Code3]],'[2]New defect code '!$A$2:$D$129,2,0),0)</f>
        <v>Thickness Under size</v>
      </c>
      <c r="L93" s="61" t="s">
        <v>163</v>
      </c>
      <c r="M93" s="56">
        <v>46266</v>
      </c>
      <c r="N93" s="61">
        <v>1</v>
      </c>
      <c r="O93" s="61"/>
      <c r="P93" s="61"/>
      <c r="Q93" s="61"/>
      <c r="R93" s="61">
        <f>SUBTOTAL(9,Table2[[#This Row],[1st]:[FQC]])</f>
        <v>1</v>
      </c>
      <c r="S93" s="61">
        <f>IFERROR(VLOOKUP(Table2[[#This Row],[Part No.]],'[2]New Machine sheet'!$G$2:$I$90,3,0),0)</f>
        <v>107.67</v>
      </c>
      <c r="T93" s="61">
        <f>Table2[[#This Row],[cost per piece]]*Table2[[#This Row],[Total Rej. qty]]</f>
        <v>107.67</v>
      </c>
      <c r="U93" s="61">
        <f>IFERROR(VLOOKUP(Table2[[#This Row],[Non Conformance]],'[2]New defect code '!$B$2:$C$129,2,0),0)</f>
        <v>3258</v>
      </c>
      <c r="V93" s="61">
        <v>66</v>
      </c>
      <c r="W93" s="61" t="str">
        <f>IFERROR(VLOOKUP(Table2[[#This Row],[Code4]],'[2]New Reason code'!$A$2:$D$77,2,0),0)</f>
        <v>Wrong Loading</v>
      </c>
      <c r="X93" s="61" t="str">
        <f>IFERROR(VLOOKUP(Table2[[#This Row],[Reason]],'[2]New Reason code'!$B$2:$D$77,2,0),0)</f>
        <v>Due to operator</v>
      </c>
      <c r="Y93" s="61" t="str">
        <f>IFERROR(VLOOKUP(Table2[[#This Row],[Rejection Identified at]],'[2]New Reason code'!$C$2:$D$77,2,0),0)</f>
        <v xml:space="preserve">infrastructure </v>
      </c>
    </row>
    <row r="94" spans="1:25" ht="20.25" customHeight="1">
      <c r="A94" s="60">
        <v>90</v>
      </c>
      <c r="B94" s="61">
        <v>21</v>
      </c>
      <c r="C94" s="61" t="str">
        <f>IFERROR(VLOOKUP(Table2[[#This Row],[Code]],'[2]New Machine sheet'!$A$1:$D$101,2,0),0)</f>
        <v>ACE-01</v>
      </c>
      <c r="D94" s="61" t="str">
        <f>IFERROR(VLOOKUP(Table2[[#This Row],[M/c No]],'[2]New Machine sheet'!$B$1:$D$101,2,0),0)</f>
        <v>Micromatic</v>
      </c>
      <c r="E94" s="61" t="str">
        <f>IFERROR(VLOOKUP(Table2[[#This Row],[M/c Name]],'[2]New Machine sheet'!$C$1:$D$101,2,0),0)</f>
        <v>Turning</v>
      </c>
      <c r="F94" s="61">
        <v>121</v>
      </c>
      <c r="G94" s="61">
        <f>IFERROR(VLOOKUP(Table2[[#This Row],[Code2]],'[2]New Machine sheet'!$F$2:$I$64,2,),0)</f>
        <v>24121</v>
      </c>
      <c r="H94" s="61" t="str">
        <f>IFERROR(VLOOKUP(Table2[[#This Row],[Code2]],'[2]New Machine sheet'!$F$2:$I$64,3,0),0)</f>
        <v>RE J1</v>
      </c>
      <c r="I94" s="61" t="s">
        <v>128</v>
      </c>
      <c r="J94" s="61">
        <v>5</v>
      </c>
      <c r="K94" s="61" t="str">
        <f>IFERROR(VLOOKUP(Table2[[#This Row],[Code3]],'[2]New defect code '!$A$2:$D$129,2,0),0)</f>
        <v>Bore Over size</v>
      </c>
      <c r="L94" s="61" t="s">
        <v>163</v>
      </c>
      <c r="M94" s="56">
        <v>46266</v>
      </c>
      <c r="N94" s="61">
        <v>6</v>
      </c>
      <c r="O94" s="61"/>
      <c r="P94" s="61"/>
      <c r="Q94" s="61"/>
      <c r="R94" s="61">
        <f>SUBTOTAL(9,Table2[[#This Row],[1st]:[FQC]])</f>
        <v>6</v>
      </c>
      <c r="S94" s="61">
        <f>IFERROR(VLOOKUP(Table2[[#This Row],[Part No.]],'[2]New Machine sheet'!$G$2:$I$90,3,0),0)</f>
        <v>135.66999999999999</v>
      </c>
      <c r="T94" s="61">
        <f>Table2[[#This Row],[cost per piece]]*Table2[[#This Row],[Total Rej. qty]]</f>
        <v>814.02</v>
      </c>
      <c r="U94" s="61">
        <f>IFERROR(VLOOKUP(Table2[[#This Row],[Non Conformance]],'[2]New defect code '!$B$2:$C$129,2,0),0)</f>
        <v>3243</v>
      </c>
      <c r="V94" s="61">
        <v>12</v>
      </c>
      <c r="W94" s="61" t="str">
        <f>IFERROR(VLOOKUP(Table2[[#This Row],[Code4]],'[2]New Reason code'!$A$2:$D$77,2,0),0)</f>
        <v>Double loading</v>
      </c>
      <c r="X94" s="61" t="str">
        <f>IFERROR(VLOOKUP(Table2[[#This Row],[Reason]],'[2]New Reason code'!$B$2:$D$77,2,0),0)</f>
        <v>Due to operator</v>
      </c>
      <c r="Y94" s="61" t="str">
        <f>IFERROR(VLOOKUP(Table2[[#This Row],[Rejection Identified at]],'[2]New Reason code'!$C$2:$D$77,2,0),0)</f>
        <v xml:space="preserve">infrastructure </v>
      </c>
    </row>
    <row r="95" spans="1:25" ht="20.25" customHeight="1">
      <c r="A95" s="50">
        <v>91</v>
      </c>
      <c r="B95" s="61">
        <v>22</v>
      </c>
      <c r="C95" s="61" t="str">
        <f>IFERROR(VLOOKUP(Table2[[#This Row],[Code]],'[2]New Machine sheet'!$A$1:$D$101,2,0),0)</f>
        <v>ACE-02</v>
      </c>
      <c r="D95" s="61" t="str">
        <f>IFERROR(VLOOKUP(Table2[[#This Row],[M/c No]],'[2]New Machine sheet'!$B$1:$D$101,2,0),0)</f>
        <v>Micromatic</v>
      </c>
      <c r="E95" s="61" t="str">
        <f>IFERROR(VLOOKUP(Table2[[#This Row],[M/c Name]],'[2]New Machine sheet'!$C$1:$D$101,2,0),0)</f>
        <v>Turning</v>
      </c>
      <c r="F95" s="61">
        <v>115</v>
      </c>
      <c r="G95" s="61">
        <f>IFERROR(VLOOKUP(Table2[[#This Row],[Code2]],'[2]New Machine sheet'!$F$2:$I$64,2,),0)</f>
        <v>24115</v>
      </c>
      <c r="H95" s="61" t="str">
        <f>IFERROR(VLOOKUP(Table2[[#This Row],[Code2]],'[2]New Machine sheet'!$F$2:$I$64,3,0),0)</f>
        <v>RE J1</v>
      </c>
      <c r="I95" s="61" t="s">
        <v>165</v>
      </c>
      <c r="J95" s="61">
        <v>93</v>
      </c>
      <c r="K95" s="61" t="str">
        <f>IFERROR(VLOOKUP(Table2[[#This Row],[Code3]],'[2]New defect code '!$A$2:$D$129,2,0),0)</f>
        <v>Thickness Under size</v>
      </c>
      <c r="L95" s="61" t="s">
        <v>163</v>
      </c>
      <c r="M95" s="56">
        <v>46266</v>
      </c>
      <c r="N95" s="61">
        <v>20</v>
      </c>
      <c r="O95" s="61"/>
      <c r="P95" s="61"/>
      <c r="Q95" s="61"/>
      <c r="R95" s="61">
        <f>SUBTOTAL(9,Table2[[#This Row],[1st]:[FQC]])</f>
        <v>20</v>
      </c>
      <c r="S95" s="61">
        <f>IFERROR(VLOOKUP(Table2[[#This Row],[Part No.]],'[2]New Machine sheet'!$G$2:$I$90,3,0),0)</f>
        <v>66.900000000000006</v>
      </c>
      <c r="T95" s="61">
        <f>Table2[[#This Row],[cost per piece]]*Table2[[#This Row],[Total Rej. qty]]</f>
        <v>1338</v>
      </c>
      <c r="U95" s="61">
        <f>IFERROR(VLOOKUP(Table2[[#This Row],[Non Conformance]],'[2]New defect code '!$B$2:$C$129,2,0),0)</f>
        <v>3258</v>
      </c>
      <c r="V95" s="61">
        <v>19</v>
      </c>
      <c r="W95" s="61" t="str">
        <f>IFERROR(VLOOKUP(Table2[[#This Row],[Code4]],'[2]New Reason code'!$A$2:$D$77,2,0),0)</f>
        <v>During Rework time</v>
      </c>
      <c r="X95" s="61" t="str">
        <f>IFERROR(VLOOKUP(Table2[[#This Row],[Reason]],'[2]New Reason code'!$B$2:$D$77,2,0),0)</f>
        <v>Due to operator</v>
      </c>
      <c r="Y95" s="61" t="str">
        <f>IFERROR(VLOOKUP(Table2[[#This Row],[Rejection Identified at]],'[2]New Reason code'!$C$2:$D$77,2,0),0)</f>
        <v xml:space="preserve">infrastructure </v>
      </c>
    </row>
    <row r="96" spans="1:25" ht="20.25" customHeight="1">
      <c r="A96" s="60">
        <v>92</v>
      </c>
      <c r="B96" s="61">
        <v>22</v>
      </c>
      <c r="C96" s="61" t="str">
        <f>IFERROR(VLOOKUP(Table2[[#This Row],[Code]],'[2]New Machine sheet'!$A$1:$D$101,2,0),0)</f>
        <v>ACE-02</v>
      </c>
      <c r="D96" s="61" t="str">
        <f>IFERROR(VLOOKUP(Table2[[#This Row],[M/c No]],'[2]New Machine sheet'!$B$1:$D$101,2,0),0)</f>
        <v>Micromatic</v>
      </c>
      <c r="E96" s="61" t="str">
        <f>IFERROR(VLOOKUP(Table2[[#This Row],[M/c Name]],'[2]New Machine sheet'!$C$1:$D$101,2,0),0)</f>
        <v>Turning</v>
      </c>
      <c r="F96" s="61">
        <v>115</v>
      </c>
      <c r="G96" s="61">
        <f>IFERROR(VLOOKUP(Table2[[#This Row],[Code2]],'[2]New Machine sheet'!$F$2:$I$64,2,),0)</f>
        <v>24115</v>
      </c>
      <c r="H96" s="61" t="str">
        <f>IFERROR(VLOOKUP(Table2[[#This Row],[Code2]],'[2]New Machine sheet'!$F$2:$I$64,3,0),0)</f>
        <v>RE J1</v>
      </c>
      <c r="I96" s="61" t="s">
        <v>165</v>
      </c>
      <c r="J96" s="61">
        <v>5</v>
      </c>
      <c r="K96" s="61" t="str">
        <f>IFERROR(VLOOKUP(Table2[[#This Row],[Code3]],'[2]New defect code '!$A$2:$D$129,2,0),0)</f>
        <v>Bore Over size</v>
      </c>
      <c r="L96" s="61" t="s">
        <v>163</v>
      </c>
      <c r="M96" s="56">
        <v>46266</v>
      </c>
      <c r="N96" s="61">
        <v>16</v>
      </c>
      <c r="O96" s="61"/>
      <c r="P96" s="61"/>
      <c r="Q96" s="61"/>
      <c r="R96" s="61">
        <f>SUBTOTAL(9,Table2[[#This Row],[1st]:[FQC]])</f>
        <v>16</v>
      </c>
      <c r="S96" s="61">
        <f>IFERROR(VLOOKUP(Table2[[#This Row],[Part No.]],'[2]New Machine sheet'!$G$2:$I$90,3,0),0)</f>
        <v>66.900000000000006</v>
      </c>
      <c r="T96" s="61">
        <f>Table2[[#This Row],[cost per piece]]*Table2[[#This Row],[Total Rej. qty]]</f>
        <v>1070.4000000000001</v>
      </c>
      <c r="U96" s="61">
        <f>IFERROR(VLOOKUP(Table2[[#This Row],[Non Conformance]],'[2]New defect code '!$B$2:$C$129,2,0),0)</f>
        <v>3243</v>
      </c>
      <c r="V96" s="61">
        <v>19</v>
      </c>
      <c r="W96" s="61" t="str">
        <f>IFERROR(VLOOKUP(Table2[[#This Row],[Code4]],'[2]New Reason code'!$A$2:$D$77,2,0),0)</f>
        <v>During Rework time</v>
      </c>
      <c r="X96" s="61" t="str">
        <f>IFERROR(VLOOKUP(Table2[[#This Row],[Reason]],'[2]New Reason code'!$B$2:$D$77,2,0),0)</f>
        <v>Due to operator</v>
      </c>
      <c r="Y96" s="61" t="str">
        <f>IFERROR(VLOOKUP(Table2[[#This Row],[Rejection Identified at]],'[2]New Reason code'!$C$2:$D$77,2,0),0)</f>
        <v xml:space="preserve">infrastructure </v>
      </c>
    </row>
    <row r="97" spans="1:25" ht="20.25" customHeight="1">
      <c r="A97" s="60">
        <v>93</v>
      </c>
      <c r="B97" s="61">
        <v>41</v>
      </c>
      <c r="C97" s="61" t="str">
        <f>IFERROR(VLOOKUP(Table2[[#This Row],[Code]],'[2]New Machine sheet'!$A$1:$D$101,2,0),0)</f>
        <v>252-03</v>
      </c>
      <c r="D97" s="61" t="str">
        <f>IFERROR(VLOOKUP(Table2[[#This Row],[M/c No]],'[2]New Machine sheet'!$B$1:$D$101,2,0),0)</f>
        <v>VMC</v>
      </c>
      <c r="E97" s="61" t="str">
        <f>IFERROR(VLOOKUP(Table2[[#This Row],[M/c Name]],'[2]New Machine sheet'!$C$1:$D$101,2,0),0)</f>
        <v>VMC</v>
      </c>
      <c r="F97" s="61">
        <v>155</v>
      </c>
      <c r="G97" s="61">
        <f>IFERROR(VLOOKUP(Table2[[#This Row],[Code2]],'[2]New Machine sheet'!$F$2:$I$64,2,),0)</f>
        <v>24155</v>
      </c>
      <c r="H97" s="61" t="str">
        <f>IFERROR(VLOOKUP(Table2[[#This Row],[Code2]],'[2]New Machine sheet'!$F$2:$I$64,3,0),0)</f>
        <v>RE J1</v>
      </c>
      <c r="I97" s="61" t="s">
        <v>145</v>
      </c>
      <c r="J97" s="61">
        <v>32</v>
      </c>
      <c r="K97" s="61" t="str">
        <f>IFERROR(VLOOKUP(Table2[[#This Row],[Code3]],'[2]New defect code '!$A$2:$D$129,2,0),0)</f>
        <v>Double Dot Punching</v>
      </c>
      <c r="L97" s="61" t="s">
        <v>163</v>
      </c>
      <c r="M97" s="56">
        <v>46266</v>
      </c>
      <c r="N97" s="61">
        <v>5</v>
      </c>
      <c r="O97" s="61"/>
      <c r="P97" s="61"/>
      <c r="Q97" s="61"/>
      <c r="R97" s="61">
        <f>SUBTOTAL(9,Table2[[#This Row],[1st]:[FQC]])</f>
        <v>5</v>
      </c>
      <c r="S97" s="61">
        <f>IFERROR(VLOOKUP(Table2[[#This Row],[Part No.]],'[2]New Machine sheet'!$G$2:$I$90,3,0),0)</f>
        <v>107.67</v>
      </c>
      <c r="T97" s="61">
        <f>Table2[[#This Row],[cost per piece]]*Table2[[#This Row],[Total Rej. qty]]</f>
        <v>538.35</v>
      </c>
      <c r="U97" s="61">
        <f>IFERROR(VLOOKUP(Table2[[#This Row],[Non Conformance]],'[2]New defect code '!$B$2:$C$129,2,0),0)</f>
        <v>0</v>
      </c>
      <c r="V97" s="61">
        <v>66</v>
      </c>
      <c r="W97" s="61" t="str">
        <f>IFERROR(VLOOKUP(Table2[[#This Row],[Code4]],'[2]New Reason code'!$A$2:$D$77,2,0),0)</f>
        <v>Wrong Loading</v>
      </c>
      <c r="X97" s="61" t="str">
        <f>IFERROR(VLOOKUP(Table2[[#This Row],[Reason]],'[2]New Reason code'!$B$2:$D$77,2,0),0)</f>
        <v>Due to operator</v>
      </c>
      <c r="Y97" s="61" t="str">
        <f>IFERROR(VLOOKUP(Table2[[#This Row],[Rejection Identified at]],'[2]New Reason code'!$C$2:$D$77,2,0),0)</f>
        <v xml:space="preserve">infrastructure </v>
      </c>
    </row>
    <row r="98" spans="1:25" ht="20.25" customHeight="1">
      <c r="A98" s="50">
        <v>94</v>
      </c>
      <c r="B98" s="61">
        <v>46</v>
      </c>
      <c r="C98" s="61" t="str">
        <f>IFERROR(VLOOKUP(Table2[[#This Row],[Code]],'[2]New Machine sheet'!$A$1:$D$101,2,0),0)</f>
        <v>MURATEC-02</v>
      </c>
      <c r="D98" s="61" t="str">
        <f>IFERROR(VLOOKUP(Table2[[#This Row],[M/c No]],'[2]New Machine sheet'!$B$1:$D$101,2,0),0)</f>
        <v>MURATEC</v>
      </c>
      <c r="E98" s="61" t="str">
        <f>IFERROR(VLOOKUP(Table2[[#This Row],[M/c Name]],'[2]New Machine sheet'!$C$1:$D$101,2,0),0)</f>
        <v xml:space="preserve">turning </v>
      </c>
      <c r="F98" s="61">
        <v>127</v>
      </c>
      <c r="G98" s="61">
        <f>IFERROR(VLOOKUP(Table2[[#This Row],[Code2]],'[2]New Machine sheet'!$F$2:$I$64,2,),0)</f>
        <v>24127</v>
      </c>
      <c r="H98" s="61" t="str">
        <f>IFERROR(VLOOKUP(Table2[[#This Row],[Code2]],'[2]New Machine sheet'!$F$2:$I$64,3,0),0)</f>
        <v>RE J1</v>
      </c>
      <c r="I98" s="61" t="s">
        <v>130</v>
      </c>
      <c r="J98" s="61">
        <v>5</v>
      </c>
      <c r="K98" s="61" t="str">
        <f>IFERROR(VLOOKUP(Table2[[#This Row],[Code3]],'[2]New defect code '!$A$2:$D$129,2,0),0)</f>
        <v>Bore Over size</v>
      </c>
      <c r="L98" s="61" t="s">
        <v>163</v>
      </c>
      <c r="M98" s="56">
        <v>46266</v>
      </c>
      <c r="N98" s="61">
        <v>1</v>
      </c>
      <c r="O98" s="61"/>
      <c r="P98" s="61"/>
      <c r="Q98" s="61"/>
      <c r="R98" s="61">
        <f>SUBTOTAL(9,Table2[[#This Row],[1st]:[FQC]])</f>
        <v>1</v>
      </c>
      <c r="S98" s="61">
        <f>IFERROR(VLOOKUP(Table2[[#This Row],[Part No.]],'[2]New Machine sheet'!$G$2:$I$90,3,0),0)</f>
        <v>262.81200000000001</v>
      </c>
      <c r="T98" s="61">
        <f>Table2[[#This Row],[cost per piece]]*Table2[[#This Row],[Total Rej. qty]]</f>
        <v>262.81200000000001</v>
      </c>
      <c r="U98" s="61">
        <f>IFERROR(VLOOKUP(Table2[[#This Row],[Non Conformance]],'[2]New defect code '!$B$2:$C$129,2,0),0)</f>
        <v>3243</v>
      </c>
      <c r="V98" s="61">
        <v>18</v>
      </c>
      <c r="W98" s="61" t="str">
        <f>IFERROR(VLOOKUP(Table2[[#This Row],[Code4]],'[2]New Reason code'!$A$2:$D$77,2,0),0)</f>
        <v>During insert change</v>
      </c>
      <c r="X98" s="61" t="str">
        <f>IFERROR(VLOOKUP(Table2[[#This Row],[Reason]],'[2]New Reason code'!$B$2:$D$77,2,0),0)</f>
        <v xml:space="preserve">Due to Settup  </v>
      </c>
      <c r="Y98" s="61" t="str">
        <f>IFERROR(VLOOKUP(Table2[[#This Row],[Rejection Identified at]],'[2]New Reason code'!$C$2:$D$77,2,0),0)</f>
        <v>skill</v>
      </c>
    </row>
    <row r="99" spans="1:25" ht="20.25" customHeight="1">
      <c r="A99" s="60">
        <v>95</v>
      </c>
      <c r="B99" s="61">
        <v>2</v>
      </c>
      <c r="C99" s="61" t="str">
        <f>IFERROR(VLOOKUP(Table2[[#This Row],[Code]],'[2]New Machine sheet'!$A$1:$D$101,2,0),0)</f>
        <v>282-02</v>
      </c>
      <c r="D99" s="61" t="str">
        <f>IFERROR(VLOOKUP(Table2[[#This Row],[M/c No]],'[2]New Machine sheet'!$B$1:$D$101,2,0),0)</f>
        <v>Mazak</v>
      </c>
      <c r="E99" s="61" t="str">
        <f>IFERROR(VLOOKUP(Table2[[#This Row],[M/c Name]],'[2]New Machine sheet'!$C$1:$D$101,2,0),0)</f>
        <v>Turning</v>
      </c>
      <c r="F99" s="61">
        <v>121</v>
      </c>
      <c r="G99" s="61">
        <f>IFERROR(VLOOKUP(Table2[[#This Row],[Code2]],'[2]New Machine sheet'!$F$2:$I$64,2,),0)</f>
        <v>24121</v>
      </c>
      <c r="H99" s="61" t="str">
        <f>IFERROR(VLOOKUP(Table2[[#This Row],[Code2]],'[2]New Machine sheet'!$F$2:$I$64,3,0),0)</f>
        <v>RE J1</v>
      </c>
      <c r="I99" s="61" t="s">
        <v>153</v>
      </c>
      <c r="J99" s="61">
        <v>93</v>
      </c>
      <c r="K99" s="61" t="str">
        <f>IFERROR(VLOOKUP(Table2[[#This Row],[Code3]],'[2]New defect code '!$A$2:$D$129,2,0),0)</f>
        <v>Thickness Under size</v>
      </c>
      <c r="L99" s="61" t="s">
        <v>163</v>
      </c>
      <c r="M99" s="56">
        <v>46266</v>
      </c>
      <c r="N99" s="61">
        <v>1</v>
      </c>
      <c r="O99" s="61"/>
      <c r="P99" s="61"/>
      <c r="Q99" s="61"/>
      <c r="R99" s="61">
        <f>SUBTOTAL(9,Table2[[#This Row],[1st]:[FQC]])</f>
        <v>1</v>
      </c>
      <c r="S99" s="61">
        <f>IFERROR(VLOOKUP(Table2[[#This Row],[Part No.]],'[2]New Machine sheet'!$G$2:$I$90,3,0),0)</f>
        <v>135.66999999999999</v>
      </c>
      <c r="T99" s="61">
        <f>Table2[[#This Row],[cost per piece]]*Table2[[#This Row],[Total Rej. qty]]</f>
        <v>135.66999999999999</v>
      </c>
      <c r="U99" s="61">
        <f>IFERROR(VLOOKUP(Table2[[#This Row],[Non Conformance]],'[2]New defect code '!$B$2:$C$129,2,0),0)</f>
        <v>3258</v>
      </c>
      <c r="V99" s="61">
        <v>30</v>
      </c>
      <c r="W99" s="61" t="str">
        <f>IFERROR(VLOOKUP(Table2[[#This Row],[Code4]],'[2]New Reason code'!$A$2:$D$77,2,0),0)</f>
        <v>M/C Accident</v>
      </c>
      <c r="X99" s="61" t="str">
        <f>IFERROR(VLOOKUP(Table2[[#This Row],[Reason]],'[2]New Reason code'!$B$2:$D$77,2,0),0)</f>
        <v xml:space="preserve">Due to machine </v>
      </c>
      <c r="Y99" s="61" t="str">
        <f>IFERROR(VLOOKUP(Table2[[#This Row],[Rejection Identified at]],'[2]New Reason code'!$C$2:$D$77,2,0),0)</f>
        <v>process</v>
      </c>
    </row>
    <row r="100" spans="1:25" ht="20.25" customHeight="1">
      <c r="A100" s="60">
        <v>96</v>
      </c>
      <c r="B100" s="61">
        <v>3</v>
      </c>
      <c r="C100" s="61" t="str">
        <f>IFERROR(VLOOKUP(Table2[[#This Row],[Code]],'[2]New Machine sheet'!$A$1:$D$101,2,0),0)</f>
        <v>282-03</v>
      </c>
      <c r="D100" s="61" t="str">
        <f>IFERROR(VLOOKUP(Table2[[#This Row],[M/c No]],'[2]New Machine sheet'!$B$1:$D$101,2,0),0)</f>
        <v>Mazak</v>
      </c>
      <c r="E100" s="61" t="str">
        <f>IFERROR(VLOOKUP(Table2[[#This Row],[M/c Name]],'[2]New Machine sheet'!$C$1:$D$101,2,0),0)</f>
        <v>Turning</v>
      </c>
      <c r="F100" s="61">
        <v>121</v>
      </c>
      <c r="G100" s="61">
        <f>IFERROR(VLOOKUP(Table2[[#This Row],[Code2]],'[2]New Machine sheet'!$F$2:$I$64,2,),0)</f>
        <v>24121</v>
      </c>
      <c r="H100" s="61" t="str">
        <f>IFERROR(VLOOKUP(Table2[[#This Row],[Code2]],'[2]New Machine sheet'!$F$2:$I$64,3,0),0)</f>
        <v>RE J1</v>
      </c>
      <c r="I100" s="61" t="s">
        <v>119</v>
      </c>
      <c r="J100" s="61">
        <v>93</v>
      </c>
      <c r="K100" s="61" t="str">
        <f>IFERROR(VLOOKUP(Table2[[#This Row],[Code3]],'[2]New defect code '!$A$2:$D$129,2,0),0)</f>
        <v>Thickness Under size</v>
      </c>
      <c r="L100" s="61" t="s">
        <v>163</v>
      </c>
      <c r="M100" s="56">
        <v>46266</v>
      </c>
      <c r="N100" s="61">
        <v>1</v>
      </c>
      <c r="O100" s="61"/>
      <c r="P100" s="61"/>
      <c r="Q100" s="61"/>
      <c r="R100" s="61">
        <f>SUBTOTAL(9,Table2[[#This Row],[1st]:[FQC]])</f>
        <v>1</v>
      </c>
      <c r="S100" s="61">
        <f>IFERROR(VLOOKUP(Table2[[#This Row],[Part No.]],'[2]New Machine sheet'!$G$2:$I$90,3,0),0)</f>
        <v>135.66999999999999</v>
      </c>
      <c r="T100" s="61">
        <f>Table2[[#This Row],[cost per piece]]*Table2[[#This Row],[Total Rej. qty]]</f>
        <v>135.66999999999999</v>
      </c>
      <c r="U100" s="61">
        <f>IFERROR(VLOOKUP(Table2[[#This Row],[Non Conformance]],'[2]New defect code '!$B$2:$C$129,2,0),0)</f>
        <v>3258</v>
      </c>
      <c r="V100" s="61">
        <v>21</v>
      </c>
      <c r="W100" s="61" t="str">
        <f>IFERROR(VLOOKUP(Table2[[#This Row],[Code4]],'[2]New Reason code'!$A$2:$D$77,2,0),0)</f>
        <v>During setup time</v>
      </c>
      <c r="X100" s="61" t="str">
        <f>IFERROR(VLOOKUP(Table2[[#This Row],[Reason]],'[2]New Reason code'!$B$2:$D$77,2,0),0)</f>
        <v xml:space="preserve">Due to Settup  </v>
      </c>
      <c r="Y100" s="61" t="str">
        <f>IFERROR(VLOOKUP(Table2[[#This Row],[Rejection Identified at]],'[2]New Reason code'!$C$2:$D$77,2,0),0)</f>
        <v>skill</v>
      </c>
    </row>
    <row r="101" spans="1:25" ht="20.25" customHeight="1">
      <c r="A101" s="50">
        <v>97</v>
      </c>
      <c r="B101" s="61">
        <v>62</v>
      </c>
      <c r="C101" s="61" t="str">
        <f>IFERROR(VLOOKUP(Table2[[#This Row],[Code]],'[2]New Machine sheet'!$A$1:$D$101,2,0),0)</f>
        <v>FQC</v>
      </c>
      <c r="D101" s="61" t="str">
        <f>IFERROR(VLOOKUP(Table2[[#This Row],[M/c No]],'[2]New Machine sheet'!$B$1:$D$101,2,0),0)</f>
        <v>FQC</v>
      </c>
      <c r="E101" s="61" t="str">
        <f>IFERROR(VLOOKUP(Table2[[#This Row],[M/c Name]],'[2]New Machine sheet'!$C$1:$D$101,2,0),0)</f>
        <v>fqc</v>
      </c>
      <c r="F101" s="61">
        <v>178</v>
      </c>
      <c r="G101" s="61">
        <f>IFERROR(VLOOKUP(Table2[[#This Row],[Code2]],'[2]New Machine sheet'!$F$2:$I$64,2,),0)</f>
        <v>24178</v>
      </c>
      <c r="H101" s="61" t="str">
        <f>IFERROR(VLOOKUP(Table2[[#This Row],[Code2]],'[2]New Machine sheet'!$F$2:$I$64,3,0),0)</f>
        <v>RE J1</v>
      </c>
      <c r="I101" s="61"/>
      <c r="J101" s="61">
        <v>5</v>
      </c>
      <c r="K101" s="61" t="str">
        <f>IFERROR(VLOOKUP(Table2[[#This Row],[Code3]],'[2]New defect code '!$A$2:$D$129,2,0),0)</f>
        <v>Bore Over size</v>
      </c>
      <c r="L101" s="61" t="s">
        <v>163</v>
      </c>
      <c r="M101" s="56">
        <v>46266</v>
      </c>
      <c r="N101" s="61"/>
      <c r="O101" s="61"/>
      <c r="P101" s="61"/>
      <c r="Q101" s="61">
        <v>2</v>
      </c>
      <c r="R101" s="61">
        <f>SUBTOTAL(9,Table2[[#This Row],[1st]:[FQC]])</f>
        <v>2</v>
      </c>
      <c r="S101" s="61">
        <f>IFERROR(VLOOKUP(Table2[[#This Row],[Part No.]],'[2]New Machine sheet'!$G$2:$I$90,3,0),0)</f>
        <v>70.62</v>
      </c>
      <c r="T101" s="61">
        <f>Table2[[#This Row],[cost per piece]]*Table2[[#This Row],[Total Rej. qty]]</f>
        <v>141.24</v>
      </c>
      <c r="U101" s="61">
        <f>IFERROR(VLOOKUP(Table2[[#This Row],[Non Conformance]],'[2]New defect code '!$B$2:$C$129,2,0),0)</f>
        <v>3243</v>
      </c>
      <c r="V101" s="61">
        <v>24</v>
      </c>
      <c r="W101" s="61" t="str">
        <f>IFERROR(VLOOKUP(Table2[[#This Row],[Code4]],'[2]New Reason code'!$A$2:$D$77,2,0),0)</f>
        <v>FQC return</v>
      </c>
      <c r="X101" s="61" t="str">
        <f>IFERROR(VLOOKUP(Table2[[#This Row],[Reason]],'[2]New Reason code'!$B$2:$D$77,2,0),0)</f>
        <v>Due to operator</v>
      </c>
      <c r="Y101" s="61" t="str">
        <f>IFERROR(VLOOKUP(Table2[[#This Row],[Rejection Identified at]],'[2]New Reason code'!$C$2:$D$77,2,0),0)</f>
        <v xml:space="preserve">infrastructure </v>
      </c>
    </row>
    <row r="102" spans="1:25" ht="20.25" customHeight="1">
      <c r="A102" s="60">
        <v>98</v>
      </c>
      <c r="B102" s="61">
        <v>25</v>
      </c>
      <c r="C102" s="61" t="str">
        <f>IFERROR(VLOOKUP(Table2[[#This Row],[Code]],'[2]New Machine sheet'!$A$1:$D$101,2,0),0)</f>
        <v>ACE-05</v>
      </c>
      <c r="D102" s="61" t="str">
        <f>IFERROR(VLOOKUP(Table2[[#This Row],[M/c No]],'[2]New Machine sheet'!$B$1:$D$101,2,0),0)</f>
        <v>Micromatic</v>
      </c>
      <c r="E102" s="61" t="str">
        <f>IFERROR(VLOOKUP(Table2[[#This Row],[M/c Name]],'[2]New Machine sheet'!$C$1:$D$101,2,0),0)</f>
        <v>Turning</v>
      </c>
      <c r="F102" s="61">
        <v>122</v>
      </c>
      <c r="G102" s="61">
        <f>IFERROR(VLOOKUP(Table2[[#This Row],[Code2]],'[2]New Machine sheet'!$F$2:$I$64,2,),0)</f>
        <v>24122</v>
      </c>
      <c r="H102" s="61" t="str">
        <f>IFERROR(VLOOKUP(Table2[[#This Row],[Code2]],'[2]New Machine sheet'!$F$2:$I$64,3,0),0)</f>
        <v>RE J1</v>
      </c>
      <c r="I102" s="61" t="s">
        <v>129</v>
      </c>
      <c r="J102" s="61">
        <v>93</v>
      </c>
      <c r="K102" s="61" t="str">
        <f>IFERROR(VLOOKUP(Table2[[#This Row],[Code3]],'[2]New defect code '!$A$2:$D$129,2,0),0)</f>
        <v>Thickness Under size</v>
      </c>
      <c r="L102" s="61" t="s">
        <v>163</v>
      </c>
      <c r="M102" s="56">
        <v>46266</v>
      </c>
      <c r="N102" s="61">
        <v>3</v>
      </c>
      <c r="O102" s="61"/>
      <c r="P102" s="61"/>
      <c r="Q102" s="61"/>
      <c r="R102" s="61">
        <f>SUBTOTAL(9,Table2[[#This Row],[1st]:[FQC]])</f>
        <v>3</v>
      </c>
      <c r="S102" s="61">
        <f>IFERROR(VLOOKUP(Table2[[#This Row],[Part No.]],'[2]New Machine sheet'!$G$2:$I$90,3,0),0)</f>
        <v>335.39977528089889</v>
      </c>
      <c r="T102" s="61">
        <f>Table2[[#This Row],[cost per piece]]*Table2[[#This Row],[Total Rej. qty]]</f>
        <v>1006.1993258426967</v>
      </c>
      <c r="U102" s="61">
        <f>IFERROR(VLOOKUP(Table2[[#This Row],[Non Conformance]],'[2]New defect code '!$B$2:$C$129,2,0),0)</f>
        <v>3258</v>
      </c>
      <c r="V102" s="61">
        <v>19</v>
      </c>
      <c r="W102" s="61" t="str">
        <f>IFERROR(VLOOKUP(Table2[[#This Row],[Code4]],'[2]New Reason code'!$A$2:$D$77,2,0),0)</f>
        <v>During Rework time</v>
      </c>
      <c r="X102" s="61" t="str">
        <f>IFERROR(VLOOKUP(Table2[[#This Row],[Reason]],'[2]New Reason code'!$B$2:$D$77,2,0),0)</f>
        <v>Due to operator</v>
      </c>
      <c r="Y102" s="61" t="str">
        <f>IFERROR(VLOOKUP(Table2[[#This Row],[Rejection Identified at]],'[2]New Reason code'!$C$2:$D$77,2,0),0)</f>
        <v xml:space="preserve">infrastructure </v>
      </c>
    </row>
    <row r="103" spans="1:25" ht="20.25" customHeight="1">
      <c r="A103" s="60">
        <v>99</v>
      </c>
      <c r="B103" s="61">
        <v>43</v>
      </c>
      <c r="C103" s="61" t="str">
        <f>IFERROR(VLOOKUP(Table2[[#This Row],[Code]],'[2]New Machine sheet'!$A$1:$D$101,2,0),0)</f>
        <v>252-05</v>
      </c>
      <c r="D103" s="61" t="str">
        <f>IFERROR(VLOOKUP(Table2[[#This Row],[M/c No]],'[2]New Machine sheet'!$B$1:$D$101,2,0),0)</f>
        <v>VMC</v>
      </c>
      <c r="E103" s="61" t="str">
        <f>IFERROR(VLOOKUP(Table2[[#This Row],[M/c Name]],'[2]New Machine sheet'!$C$1:$D$101,2,0),0)</f>
        <v>VMC</v>
      </c>
      <c r="F103" s="61">
        <v>155</v>
      </c>
      <c r="G103" s="61">
        <f>IFERROR(VLOOKUP(Table2[[#This Row],[Code2]],'[2]New Machine sheet'!$F$2:$I$64,2,),0)</f>
        <v>24155</v>
      </c>
      <c r="H103" s="61" t="str">
        <f>IFERROR(VLOOKUP(Table2[[#This Row],[Code2]],'[2]New Machine sheet'!$F$2:$I$64,3,0),0)</f>
        <v>RE J1</v>
      </c>
      <c r="I103" s="61" t="s">
        <v>119</v>
      </c>
      <c r="J103" s="61">
        <v>102</v>
      </c>
      <c r="K103" s="61" t="str">
        <f>IFERROR(VLOOKUP(Table2[[#This Row],[Code3]],'[2]New defect code '!$A$2:$D$129,2,0),0)</f>
        <v>Wear out tool use</v>
      </c>
      <c r="L103" s="61" t="s">
        <v>163</v>
      </c>
      <c r="M103" s="56">
        <v>46266</v>
      </c>
      <c r="N103" s="61">
        <v>5</v>
      </c>
      <c r="O103" s="61"/>
      <c r="P103" s="61"/>
      <c r="Q103" s="61"/>
      <c r="R103" s="61">
        <f>SUBTOTAL(9,Table2[[#This Row],[1st]:[FQC]])</f>
        <v>5</v>
      </c>
      <c r="S103" s="61">
        <f>IFERROR(VLOOKUP(Table2[[#This Row],[Part No.]],'[2]New Machine sheet'!$G$2:$I$90,3,0),0)</f>
        <v>107.67</v>
      </c>
      <c r="T103" s="61">
        <f>Table2[[#This Row],[cost per piece]]*Table2[[#This Row],[Total Rej. qty]]</f>
        <v>538.35</v>
      </c>
      <c r="U103" s="61">
        <f>IFERROR(VLOOKUP(Table2[[#This Row],[Non Conformance]],'[2]New defect code '!$B$2:$C$129,2,0),0)</f>
        <v>0</v>
      </c>
      <c r="V103" s="61">
        <v>19</v>
      </c>
      <c r="W103" s="61" t="str">
        <f>IFERROR(VLOOKUP(Table2[[#This Row],[Code4]],'[2]New Reason code'!$A$2:$D$77,2,0),0)</f>
        <v>During Rework time</v>
      </c>
      <c r="X103" s="61" t="str">
        <f>IFERROR(VLOOKUP(Table2[[#This Row],[Reason]],'[2]New Reason code'!$B$2:$D$77,2,0),0)</f>
        <v>Due to operator</v>
      </c>
      <c r="Y103" s="61" t="str">
        <f>IFERROR(VLOOKUP(Table2[[#This Row],[Rejection Identified at]],'[2]New Reason code'!$C$2:$D$77,2,0),0)</f>
        <v xml:space="preserve">infrastructure </v>
      </c>
    </row>
    <row r="104" spans="1:25" ht="20.25" customHeight="1">
      <c r="A104" s="50">
        <v>100</v>
      </c>
      <c r="B104" s="61">
        <v>10</v>
      </c>
      <c r="C104" s="61" t="str">
        <f>IFERROR(VLOOKUP(Table2[[#This Row],[Code]],'[2]New Machine sheet'!$A$1:$D$101,2,0),0)</f>
        <v>282-10</v>
      </c>
      <c r="D104" s="61" t="str">
        <f>IFERROR(VLOOKUP(Table2[[#This Row],[M/c No]],'[2]New Machine sheet'!$B$1:$D$101,2,0),0)</f>
        <v>Mazak</v>
      </c>
      <c r="E104" s="61" t="str">
        <f>IFERROR(VLOOKUP(Table2[[#This Row],[M/c Name]],'[2]New Machine sheet'!$C$1:$D$101,2,0),0)</f>
        <v>Turning</v>
      </c>
      <c r="F104" s="61">
        <v>155</v>
      </c>
      <c r="G104" s="61">
        <f>IFERROR(VLOOKUP(Table2[[#This Row],[Code2]],'[2]New Machine sheet'!$F$2:$I$64,2,),0)</f>
        <v>24155</v>
      </c>
      <c r="H104" s="61" t="str">
        <f>IFERROR(VLOOKUP(Table2[[#This Row],[Code2]],'[2]New Machine sheet'!$F$2:$I$64,3,0),0)</f>
        <v>RE J1</v>
      </c>
      <c r="I104" s="61" t="s">
        <v>166</v>
      </c>
      <c r="J104" s="61">
        <v>5</v>
      </c>
      <c r="K104" s="61" t="str">
        <f>IFERROR(VLOOKUP(Table2[[#This Row],[Code3]],'[2]New defect code '!$A$2:$D$129,2,0),0)</f>
        <v>Bore Over size</v>
      </c>
      <c r="L104" s="61" t="s">
        <v>163</v>
      </c>
      <c r="M104" s="56">
        <v>46266</v>
      </c>
      <c r="N104" s="61"/>
      <c r="O104" s="61">
        <v>21</v>
      </c>
      <c r="P104" s="61"/>
      <c r="Q104" s="61"/>
      <c r="R104" s="61">
        <f>SUBTOTAL(9,Table2[[#This Row],[1st]:[FQC]])</f>
        <v>21</v>
      </c>
      <c r="S104" s="61">
        <f>IFERROR(VLOOKUP(Table2[[#This Row],[Part No.]],'[2]New Machine sheet'!$G$2:$I$90,3,0),0)</f>
        <v>107.67</v>
      </c>
      <c r="T104" s="61">
        <f>Table2[[#This Row],[cost per piece]]*Table2[[#This Row],[Total Rej. qty]]</f>
        <v>2261.0700000000002</v>
      </c>
      <c r="U104" s="61">
        <f>IFERROR(VLOOKUP(Table2[[#This Row],[Non Conformance]],'[2]New defect code '!$B$2:$C$129,2,0),0)</f>
        <v>3243</v>
      </c>
      <c r="V104" s="61">
        <v>51</v>
      </c>
      <c r="W104" s="61" t="str">
        <f>IFERROR(VLOOKUP(Table2[[#This Row],[Code4]],'[2]New Reason code'!$A$2:$D$77,2,0),0)</f>
        <v>Size veriation on m/c</v>
      </c>
      <c r="X104" s="61" t="str">
        <f>IFERROR(VLOOKUP(Table2[[#This Row],[Reason]],'[2]New Reason code'!$B$2:$D$77,2,0),0)</f>
        <v xml:space="preserve">Due to machine </v>
      </c>
      <c r="Y104" s="61" t="str">
        <f>IFERROR(VLOOKUP(Table2[[#This Row],[Rejection Identified at]],'[2]New Reason code'!$C$2:$D$77,2,0),0)</f>
        <v>process</v>
      </c>
    </row>
    <row r="105" spans="1:25" ht="20.25" customHeight="1">
      <c r="A105" s="60">
        <v>101</v>
      </c>
      <c r="B105" s="61">
        <v>1</v>
      </c>
      <c r="C105" s="61" t="str">
        <f>IFERROR(VLOOKUP(Table2[[#This Row],[Code]],'[2]New Machine sheet'!$A$1:$D$101,2,0),0)</f>
        <v>282-01</v>
      </c>
      <c r="D105" s="61" t="str">
        <f>IFERROR(VLOOKUP(Table2[[#This Row],[M/c No]],'[2]New Machine sheet'!$B$1:$D$101,2,0),0)</f>
        <v>Mazak</v>
      </c>
      <c r="E105" s="61" t="str">
        <f>IFERROR(VLOOKUP(Table2[[#This Row],[M/c Name]],'[2]New Machine sheet'!$C$1:$D$101,2,0),0)</f>
        <v>Turning</v>
      </c>
      <c r="F105" s="61">
        <v>121</v>
      </c>
      <c r="G105" s="61">
        <f>IFERROR(VLOOKUP(Table2[[#This Row],[Code2]],'[2]New Machine sheet'!$F$2:$I$64,2,),0)</f>
        <v>24121</v>
      </c>
      <c r="H105" s="61" t="str">
        <f>IFERROR(VLOOKUP(Table2[[#This Row],[Code2]],'[2]New Machine sheet'!$F$2:$I$64,3,0),0)</f>
        <v>RE J1</v>
      </c>
      <c r="I105" s="61" t="s">
        <v>125</v>
      </c>
      <c r="J105" s="61">
        <v>5</v>
      </c>
      <c r="K105" s="61" t="str">
        <f>IFERROR(VLOOKUP(Table2[[#This Row],[Code3]],'[2]New defect code '!$A$2:$D$129,2,0),0)</f>
        <v>Bore Over size</v>
      </c>
      <c r="L105" s="61" t="s">
        <v>163</v>
      </c>
      <c r="M105" s="56">
        <v>46266</v>
      </c>
      <c r="N105" s="61"/>
      <c r="O105" s="61">
        <v>8</v>
      </c>
      <c r="P105" s="61"/>
      <c r="Q105" s="61"/>
      <c r="R105" s="61">
        <f>SUBTOTAL(9,Table2[[#This Row],[1st]:[FQC]])</f>
        <v>8</v>
      </c>
      <c r="S105" s="61">
        <f>IFERROR(VLOOKUP(Table2[[#This Row],[Part No.]],'[2]New Machine sheet'!$G$2:$I$90,3,0),0)</f>
        <v>135.66999999999999</v>
      </c>
      <c r="T105" s="61">
        <f>Table2[[#This Row],[cost per piece]]*Table2[[#This Row],[Total Rej. qty]]</f>
        <v>1085.3599999999999</v>
      </c>
      <c r="U105" s="61">
        <f>IFERROR(VLOOKUP(Table2[[#This Row],[Non Conformance]],'[2]New defect code '!$B$2:$C$129,2,0),0)</f>
        <v>3243</v>
      </c>
      <c r="V105" s="61">
        <v>19</v>
      </c>
      <c r="W105" s="61" t="str">
        <f>IFERROR(VLOOKUP(Table2[[#This Row],[Code4]],'[2]New Reason code'!$A$2:$D$77,2,0),0)</f>
        <v>During Rework time</v>
      </c>
      <c r="X105" s="61" t="str">
        <f>IFERROR(VLOOKUP(Table2[[#This Row],[Reason]],'[2]New Reason code'!$B$2:$D$77,2,0),0)</f>
        <v>Due to operator</v>
      </c>
      <c r="Y105" s="61" t="str">
        <f>IFERROR(VLOOKUP(Table2[[#This Row],[Rejection Identified at]],'[2]New Reason code'!$C$2:$D$77,2,0),0)</f>
        <v xml:space="preserve">infrastructure </v>
      </c>
    </row>
    <row r="106" spans="1:25" ht="20.25" customHeight="1">
      <c r="A106" s="60">
        <v>102</v>
      </c>
      <c r="B106" s="61">
        <v>5</v>
      </c>
      <c r="C106" s="61" t="str">
        <f>IFERROR(VLOOKUP(Table2[[#This Row],[Code]],'[2]New Machine sheet'!$A$1:$D$101,2,0),0)</f>
        <v>282-05</v>
      </c>
      <c r="D106" s="61" t="str">
        <f>IFERROR(VLOOKUP(Table2[[#This Row],[M/c No]],'[2]New Machine sheet'!$B$1:$D$101,2,0),0)</f>
        <v>Mazak</v>
      </c>
      <c r="E106" s="61" t="str">
        <f>IFERROR(VLOOKUP(Table2[[#This Row],[M/c Name]],'[2]New Machine sheet'!$C$1:$D$101,2,0),0)</f>
        <v>Turning</v>
      </c>
      <c r="F106" s="61">
        <v>119</v>
      </c>
      <c r="G106" s="61">
        <f>IFERROR(VLOOKUP(Table2[[#This Row],[Code2]],'[2]New Machine sheet'!$F$2:$I$64,2,),0)</f>
        <v>24119</v>
      </c>
      <c r="H106" s="61" t="str">
        <f>IFERROR(VLOOKUP(Table2[[#This Row],[Code2]],'[2]New Machine sheet'!$F$2:$I$64,3,0),0)</f>
        <v>RE J1</v>
      </c>
      <c r="I106" s="61" t="s">
        <v>129</v>
      </c>
      <c r="J106" s="61">
        <v>5</v>
      </c>
      <c r="K106" s="61" t="str">
        <f>IFERROR(VLOOKUP(Table2[[#This Row],[Code3]],'[2]New defect code '!$A$2:$D$129,2,0),0)</f>
        <v>Bore Over size</v>
      </c>
      <c r="L106" s="61" t="s">
        <v>163</v>
      </c>
      <c r="M106" s="56">
        <v>46266</v>
      </c>
      <c r="N106" s="61"/>
      <c r="O106" s="61">
        <v>3</v>
      </c>
      <c r="P106" s="61"/>
      <c r="Q106" s="61"/>
      <c r="R106" s="61">
        <f>SUBTOTAL(9,Table2[[#This Row],[1st]:[FQC]])</f>
        <v>3</v>
      </c>
      <c r="S106" s="61">
        <f>IFERROR(VLOOKUP(Table2[[#This Row],[Part No.]],'[2]New Machine sheet'!$G$2:$I$90,3,0),0)</f>
        <v>103.2</v>
      </c>
      <c r="T106" s="61">
        <f>Table2[[#This Row],[cost per piece]]*Table2[[#This Row],[Total Rej. qty]]</f>
        <v>309.60000000000002</v>
      </c>
      <c r="U106" s="61">
        <f>IFERROR(VLOOKUP(Table2[[#This Row],[Non Conformance]],'[2]New defect code '!$B$2:$C$129,2,0),0)</f>
        <v>3243</v>
      </c>
      <c r="V106" s="61">
        <v>19</v>
      </c>
      <c r="W106" s="61" t="str">
        <f>IFERROR(VLOOKUP(Table2[[#This Row],[Code4]],'[2]New Reason code'!$A$2:$D$77,2,0),0)</f>
        <v>During Rework time</v>
      </c>
      <c r="X106" s="61" t="str">
        <f>IFERROR(VLOOKUP(Table2[[#This Row],[Reason]],'[2]New Reason code'!$B$2:$D$77,2,0),0)</f>
        <v>Due to operator</v>
      </c>
      <c r="Y106" s="61" t="str">
        <f>IFERROR(VLOOKUP(Table2[[#This Row],[Rejection Identified at]],'[2]New Reason code'!$C$2:$D$77,2,0),0)</f>
        <v xml:space="preserve">infrastructure </v>
      </c>
    </row>
    <row r="107" spans="1:25" ht="20.25" customHeight="1">
      <c r="A107" s="50">
        <v>103</v>
      </c>
      <c r="B107" s="61">
        <v>35</v>
      </c>
      <c r="C107" s="61" t="str">
        <f>IFERROR(VLOOKUP(Table2[[#This Row],[Code]],'[2]New Machine sheet'!$A$1:$D$101,2,0),0)</f>
        <v>ACE-15</v>
      </c>
      <c r="D107" s="61" t="str">
        <f>IFERROR(VLOOKUP(Table2[[#This Row],[M/c No]],'[2]New Machine sheet'!$B$1:$D$101,2,0),0)</f>
        <v>Micromatic</v>
      </c>
      <c r="E107" s="61" t="str">
        <f>IFERROR(VLOOKUP(Table2[[#This Row],[M/c Name]],'[2]New Machine sheet'!$C$1:$D$101,2,0),0)</f>
        <v>Turning</v>
      </c>
      <c r="F107" s="61">
        <v>113</v>
      </c>
      <c r="G107" s="61">
        <f>IFERROR(VLOOKUP(Table2[[#This Row],[Code2]],'[2]New Machine sheet'!$F$2:$I$64,2,),0)</f>
        <v>24113</v>
      </c>
      <c r="H107" s="61" t="str">
        <f>IFERROR(VLOOKUP(Table2[[#This Row],[Code2]],'[2]New Machine sheet'!$F$2:$I$64,3,0),0)</f>
        <v>RE J1</v>
      </c>
      <c r="I107" s="61" t="s">
        <v>129</v>
      </c>
      <c r="J107" s="61">
        <v>5</v>
      </c>
      <c r="K107" s="61" t="str">
        <f>IFERROR(VLOOKUP(Table2[[#This Row],[Code3]],'[2]New defect code '!$A$2:$D$129,2,0),0)</f>
        <v>Bore Over size</v>
      </c>
      <c r="L107" s="61" t="s">
        <v>163</v>
      </c>
      <c r="M107" s="56">
        <v>46266</v>
      </c>
      <c r="N107" s="61"/>
      <c r="O107" s="61">
        <v>8</v>
      </c>
      <c r="P107" s="61"/>
      <c r="Q107" s="61"/>
      <c r="R107" s="61">
        <f>SUBTOTAL(9,Table2[[#This Row],[1st]:[FQC]])</f>
        <v>8</v>
      </c>
      <c r="S107" s="61">
        <f>IFERROR(VLOOKUP(Table2[[#This Row],[Part No.]],'[2]New Machine sheet'!$G$2:$I$90,3,0),0)</f>
        <v>90</v>
      </c>
      <c r="T107" s="61">
        <f>Table2[[#This Row],[cost per piece]]*Table2[[#This Row],[Total Rej. qty]]</f>
        <v>720</v>
      </c>
      <c r="U107" s="61">
        <f>IFERROR(VLOOKUP(Table2[[#This Row],[Non Conformance]],'[2]New defect code '!$B$2:$C$129,2,0),0)</f>
        <v>3243</v>
      </c>
      <c r="V107" s="61">
        <v>19</v>
      </c>
      <c r="W107" s="61" t="str">
        <f>IFERROR(VLOOKUP(Table2[[#This Row],[Code4]],'[2]New Reason code'!$A$2:$D$77,2,0),0)</f>
        <v>During Rework time</v>
      </c>
      <c r="X107" s="61" t="str">
        <f>IFERROR(VLOOKUP(Table2[[#This Row],[Reason]],'[2]New Reason code'!$B$2:$D$77,2,0),0)</f>
        <v>Due to operator</v>
      </c>
      <c r="Y107" s="61" t="str">
        <f>IFERROR(VLOOKUP(Table2[[#This Row],[Rejection Identified at]],'[2]New Reason code'!$C$2:$D$77,2,0),0)</f>
        <v xml:space="preserve">infrastructure </v>
      </c>
    </row>
    <row r="108" spans="1:25" ht="20.25" customHeight="1">
      <c r="A108" s="60">
        <v>104</v>
      </c>
      <c r="B108" s="61">
        <v>8</v>
      </c>
      <c r="C108" s="61" t="str">
        <f>IFERROR(VLOOKUP(Table2[[#This Row],[Code]],'[2]New Machine sheet'!$A$1:$D$101,2,0),0)</f>
        <v>282-08</v>
      </c>
      <c r="D108" s="61" t="str">
        <f>IFERROR(VLOOKUP(Table2[[#This Row],[M/c No]],'[2]New Machine sheet'!$B$1:$D$101,2,0),0)</f>
        <v>Mazak</v>
      </c>
      <c r="E108" s="61" t="str">
        <f>IFERROR(VLOOKUP(Table2[[#This Row],[M/c Name]],'[2]New Machine sheet'!$C$1:$D$101,2,0),0)</f>
        <v>Turning</v>
      </c>
      <c r="F108" s="61">
        <v>117</v>
      </c>
      <c r="G108" s="61">
        <f>IFERROR(VLOOKUP(Table2[[#This Row],[Code2]],'[2]New Machine sheet'!$F$2:$I$64,2,),0)</f>
        <v>24117</v>
      </c>
      <c r="H108" s="61" t="str">
        <f>IFERROR(VLOOKUP(Table2[[#This Row],[Code2]],'[2]New Machine sheet'!$F$2:$I$64,3,0),0)</f>
        <v>RE J1</v>
      </c>
      <c r="I108" s="61" t="s">
        <v>132</v>
      </c>
      <c r="J108" s="61">
        <v>5</v>
      </c>
      <c r="K108" s="61" t="str">
        <f>IFERROR(VLOOKUP(Table2[[#This Row],[Code3]],'[2]New defect code '!$A$2:$D$129,2,0),0)</f>
        <v>Bore Over size</v>
      </c>
      <c r="L108" s="61" t="s">
        <v>163</v>
      </c>
      <c r="M108" s="56">
        <v>46266</v>
      </c>
      <c r="N108" s="61"/>
      <c r="O108" s="61">
        <v>1</v>
      </c>
      <c r="P108" s="61"/>
      <c r="Q108" s="61"/>
      <c r="R108" s="61">
        <f>SUBTOTAL(9,Table2[[#This Row],[1st]:[FQC]])</f>
        <v>1</v>
      </c>
      <c r="S108" s="61">
        <f>IFERROR(VLOOKUP(Table2[[#This Row],[Part No.]],'[2]New Machine sheet'!$G$2:$I$90,3,0),0)</f>
        <v>111.97</v>
      </c>
      <c r="T108" s="61">
        <f>Table2[[#This Row],[cost per piece]]*Table2[[#This Row],[Total Rej. qty]]</f>
        <v>111.97</v>
      </c>
      <c r="U108" s="61">
        <f>IFERROR(VLOOKUP(Table2[[#This Row],[Non Conformance]],'[2]New defect code '!$B$2:$C$129,2,0),0)</f>
        <v>3243</v>
      </c>
      <c r="V108" s="61">
        <v>18</v>
      </c>
      <c r="W108" s="61" t="str">
        <f>IFERROR(VLOOKUP(Table2[[#This Row],[Code4]],'[2]New Reason code'!$A$2:$D$77,2,0),0)</f>
        <v>During insert change</v>
      </c>
      <c r="X108" s="61" t="str">
        <f>IFERROR(VLOOKUP(Table2[[#This Row],[Reason]],'[2]New Reason code'!$B$2:$D$77,2,0),0)</f>
        <v xml:space="preserve">Due to Settup  </v>
      </c>
      <c r="Y108" s="61" t="str">
        <f>IFERROR(VLOOKUP(Table2[[#This Row],[Rejection Identified at]],'[2]New Reason code'!$C$2:$D$77,2,0),0)</f>
        <v>skill</v>
      </c>
    </row>
    <row r="109" spans="1:25" ht="20.25" customHeight="1">
      <c r="A109" s="60">
        <v>105</v>
      </c>
      <c r="B109" s="61">
        <v>8</v>
      </c>
      <c r="C109" s="61" t="str">
        <f>IFERROR(VLOOKUP(Table2[[#This Row],[Code]],'[2]New Machine sheet'!$A$1:$D$101,2,0),0)</f>
        <v>282-08</v>
      </c>
      <c r="D109" s="61" t="str">
        <f>IFERROR(VLOOKUP(Table2[[#This Row],[M/c No]],'[2]New Machine sheet'!$B$1:$D$101,2,0),0)</f>
        <v>Mazak</v>
      </c>
      <c r="E109" s="61" t="str">
        <f>IFERROR(VLOOKUP(Table2[[#This Row],[M/c Name]],'[2]New Machine sheet'!$C$1:$D$101,2,0),0)</f>
        <v>Turning</v>
      </c>
      <c r="F109" s="61">
        <v>117</v>
      </c>
      <c r="G109" s="61">
        <f>IFERROR(VLOOKUP(Table2[[#This Row],[Code2]],'[2]New Machine sheet'!$F$2:$I$64,2,),0)</f>
        <v>24117</v>
      </c>
      <c r="H109" s="61" t="str">
        <f>IFERROR(VLOOKUP(Table2[[#This Row],[Code2]],'[2]New Machine sheet'!$F$2:$I$64,3,0),0)</f>
        <v>RE J1</v>
      </c>
      <c r="I109" s="61" t="s">
        <v>129</v>
      </c>
      <c r="J109" s="61">
        <v>5</v>
      </c>
      <c r="K109" s="61" t="str">
        <f>IFERROR(VLOOKUP(Table2[[#This Row],[Code3]],'[2]New defect code '!$A$2:$D$129,2,0),0)</f>
        <v>Bore Over size</v>
      </c>
      <c r="L109" s="61" t="s">
        <v>163</v>
      </c>
      <c r="M109" s="56">
        <v>46266</v>
      </c>
      <c r="N109" s="61"/>
      <c r="O109" s="61">
        <v>10</v>
      </c>
      <c r="P109" s="61"/>
      <c r="Q109" s="61"/>
      <c r="R109" s="61">
        <f>SUBTOTAL(9,Table2[[#This Row],[1st]:[FQC]])</f>
        <v>10</v>
      </c>
      <c r="S109" s="61">
        <f>IFERROR(VLOOKUP(Table2[[#This Row],[Part No.]],'[2]New Machine sheet'!$G$2:$I$90,3,0),0)</f>
        <v>111.97</v>
      </c>
      <c r="T109" s="61">
        <f>Table2[[#This Row],[cost per piece]]*Table2[[#This Row],[Total Rej. qty]]</f>
        <v>1119.7</v>
      </c>
      <c r="U109" s="61">
        <f>IFERROR(VLOOKUP(Table2[[#This Row],[Non Conformance]],'[2]New defect code '!$B$2:$C$129,2,0),0)</f>
        <v>3243</v>
      </c>
      <c r="V109" s="61">
        <v>19</v>
      </c>
      <c r="W109" s="61" t="str">
        <f>IFERROR(VLOOKUP(Table2[[#This Row],[Code4]],'[2]New Reason code'!$A$2:$D$77,2,0),0)</f>
        <v>During Rework time</v>
      </c>
      <c r="X109" s="61" t="str">
        <f>IFERROR(VLOOKUP(Table2[[#This Row],[Reason]],'[2]New Reason code'!$B$2:$D$77,2,0),0)</f>
        <v>Due to operator</v>
      </c>
      <c r="Y109" s="61" t="str">
        <f>IFERROR(VLOOKUP(Table2[[#This Row],[Rejection Identified at]],'[2]New Reason code'!$C$2:$D$77,2,0),0)</f>
        <v xml:space="preserve">infrastructure </v>
      </c>
    </row>
    <row r="110" spans="1:25" ht="20.25" customHeight="1">
      <c r="A110" s="50">
        <v>106</v>
      </c>
      <c r="B110" s="61">
        <v>8</v>
      </c>
      <c r="C110" s="61" t="str">
        <f>IFERROR(VLOOKUP(Table2[[#This Row],[Code]],'[2]New Machine sheet'!$A$1:$D$101,2,0),0)</f>
        <v>282-08</v>
      </c>
      <c r="D110" s="61" t="str">
        <f>IFERROR(VLOOKUP(Table2[[#This Row],[M/c No]],'[2]New Machine sheet'!$B$1:$D$101,2,0),0)</f>
        <v>Mazak</v>
      </c>
      <c r="E110" s="61" t="str">
        <f>IFERROR(VLOOKUP(Table2[[#This Row],[M/c Name]],'[2]New Machine sheet'!$C$1:$D$101,2,0),0)</f>
        <v>Turning</v>
      </c>
      <c r="F110" s="61">
        <v>117</v>
      </c>
      <c r="G110" s="61">
        <f>IFERROR(VLOOKUP(Table2[[#This Row],[Code2]],'[2]New Machine sheet'!$F$2:$I$64,2,),0)</f>
        <v>24117</v>
      </c>
      <c r="H110" s="61" t="str">
        <f>IFERROR(VLOOKUP(Table2[[#This Row],[Code2]],'[2]New Machine sheet'!$F$2:$I$64,3,0),0)</f>
        <v>RE J1</v>
      </c>
      <c r="I110" s="61" t="s">
        <v>129</v>
      </c>
      <c r="J110" s="61">
        <v>80</v>
      </c>
      <c r="K110" s="61" t="str">
        <f>IFERROR(VLOOKUP(Table2[[#This Row],[Code3]],'[2]New defect code '!$A$2:$D$129,2,0),0)</f>
        <v xml:space="preserve">Rust </v>
      </c>
      <c r="L110" s="61" t="s">
        <v>163</v>
      </c>
      <c r="M110" s="56">
        <v>46266</v>
      </c>
      <c r="N110" s="61"/>
      <c r="O110" s="61">
        <v>4</v>
      </c>
      <c r="P110" s="61"/>
      <c r="Q110" s="61"/>
      <c r="R110" s="61">
        <f>SUBTOTAL(9,Table2[[#This Row],[1st]:[FQC]])</f>
        <v>4</v>
      </c>
      <c r="S110" s="61">
        <f>IFERROR(VLOOKUP(Table2[[#This Row],[Part No.]],'[2]New Machine sheet'!$G$2:$I$90,3,0),0)</f>
        <v>111.97</v>
      </c>
      <c r="T110" s="61">
        <f>Table2[[#This Row],[cost per piece]]*Table2[[#This Row],[Total Rej. qty]]</f>
        <v>447.88</v>
      </c>
      <c r="U110" s="61">
        <f>IFERROR(VLOOKUP(Table2[[#This Row],[Non Conformance]],'[2]New defect code '!$B$2:$C$129,2,0),0)</f>
        <v>0</v>
      </c>
      <c r="V110" s="61">
        <v>19</v>
      </c>
      <c r="W110" s="61" t="str">
        <f>IFERROR(VLOOKUP(Table2[[#This Row],[Code4]],'[2]New Reason code'!$A$2:$D$77,2,0),0)</f>
        <v>During Rework time</v>
      </c>
      <c r="X110" s="61" t="str">
        <f>IFERROR(VLOOKUP(Table2[[#This Row],[Reason]],'[2]New Reason code'!$B$2:$D$77,2,0),0)</f>
        <v>Due to operator</v>
      </c>
      <c r="Y110" s="61" t="str">
        <f>IFERROR(VLOOKUP(Table2[[#This Row],[Rejection Identified at]],'[2]New Reason code'!$C$2:$D$77,2,0),0)</f>
        <v xml:space="preserve">infrastructure </v>
      </c>
    </row>
    <row r="111" spans="1:25" ht="20.25" customHeight="1">
      <c r="A111" s="60">
        <v>107</v>
      </c>
      <c r="B111" s="61">
        <v>17</v>
      </c>
      <c r="C111" s="61" t="str">
        <f>IFERROR(VLOOKUP(Table2[[#This Row],[Code]],'[2]New Machine sheet'!$A$1:$D$101,2,0),0)</f>
        <v>282-17</v>
      </c>
      <c r="D111" s="61" t="str">
        <f>IFERROR(VLOOKUP(Table2[[#This Row],[M/c No]],'[2]New Machine sheet'!$B$1:$D$101,2,0),0)</f>
        <v>Mazak</v>
      </c>
      <c r="E111" s="61" t="str">
        <f>IFERROR(VLOOKUP(Table2[[#This Row],[M/c Name]],'[2]New Machine sheet'!$C$1:$D$101,2,0),0)</f>
        <v>Turning</v>
      </c>
      <c r="F111" s="61">
        <v>113</v>
      </c>
      <c r="G111" s="61">
        <f>IFERROR(VLOOKUP(Table2[[#This Row],[Code2]],'[2]New Machine sheet'!$F$2:$I$64,2,),0)</f>
        <v>24113</v>
      </c>
      <c r="H111" s="61" t="str">
        <f>IFERROR(VLOOKUP(Table2[[#This Row],[Code2]],'[2]New Machine sheet'!$F$2:$I$64,3,0),0)</f>
        <v>RE J1</v>
      </c>
      <c r="I111" s="61" t="s">
        <v>167</v>
      </c>
      <c r="J111" s="61">
        <v>5</v>
      </c>
      <c r="K111" s="61" t="str">
        <f>IFERROR(VLOOKUP(Table2[[#This Row],[Code3]],'[2]New defect code '!$A$2:$D$129,2,0),0)</f>
        <v>Bore Over size</v>
      </c>
      <c r="L111" s="61" t="s">
        <v>163</v>
      </c>
      <c r="M111" s="56">
        <v>46266</v>
      </c>
      <c r="N111" s="61"/>
      <c r="O111" s="61">
        <v>6</v>
      </c>
      <c r="P111" s="61"/>
      <c r="Q111" s="61"/>
      <c r="R111" s="61">
        <f>SUBTOTAL(9,Table2[[#This Row],[1st]:[FQC]])</f>
        <v>6</v>
      </c>
      <c r="S111" s="61">
        <f>IFERROR(VLOOKUP(Table2[[#This Row],[Part No.]],'[2]New Machine sheet'!$G$2:$I$90,3,0),0)</f>
        <v>90</v>
      </c>
      <c r="T111" s="61">
        <f>Table2[[#This Row],[cost per piece]]*Table2[[#This Row],[Total Rej. qty]]</f>
        <v>540</v>
      </c>
      <c r="U111" s="61">
        <f>IFERROR(VLOOKUP(Table2[[#This Row],[Non Conformance]],'[2]New defect code '!$B$2:$C$129,2,0),0)</f>
        <v>3243</v>
      </c>
      <c r="V111" s="61">
        <v>19</v>
      </c>
      <c r="W111" s="61" t="str">
        <f>IFERROR(VLOOKUP(Table2[[#This Row],[Code4]],'[2]New Reason code'!$A$2:$D$77,2,0),0)</f>
        <v>During Rework time</v>
      </c>
      <c r="X111" s="61" t="str">
        <f>IFERROR(VLOOKUP(Table2[[#This Row],[Reason]],'[2]New Reason code'!$B$2:$D$77,2,0),0)</f>
        <v>Due to operator</v>
      </c>
      <c r="Y111" s="61" t="str">
        <f>IFERROR(VLOOKUP(Table2[[#This Row],[Rejection Identified at]],'[2]New Reason code'!$C$2:$D$77,2,0),0)</f>
        <v xml:space="preserve">infrastructure </v>
      </c>
    </row>
    <row r="112" spans="1:25" ht="20.25" customHeight="1">
      <c r="A112" s="60">
        <v>108</v>
      </c>
      <c r="B112" s="61">
        <v>22</v>
      </c>
      <c r="C112" s="61" t="str">
        <f>IFERROR(VLOOKUP(Table2[[#This Row],[Code]],'[2]New Machine sheet'!$A$1:$D$101,2,0),0)</f>
        <v>ACE-02</v>
      </c>
      <c r="D112" s="61" t="str">
        <f>IFERROR(VLOOKUP(Table2[[#This Row],[M/c No]],'[2]New Machine sheet'!$B$1:$D$101,2,0),0)</f>
        <v>Micromatic</v>
      </c>
      <c r="E112" s="61" t="str">
        <f>IFERROR(VLOOKUP(Table2[[#This Row],[M/c Name]],'[2]New Machine sheet'!$C$1:$D$101,2,0),0)</f>
        <v>Turning</v>
      </c>
      <c r="F112" s="61">
        <v>115</v>
      </c>
      <c r="G112" s="61">
        <f>IFERROR(VLOOKUP(Table2[[#This Row],[Code2]],'[2]New Machine sheet'!$F$2:$I$64,2,),0)</f>
        <v>24115</v>
      </c>
      <c r="H112" s="61" t="str">
        <f>IFERROR(VLOOKUP(Table2[[#This Row],[Code2]],'[2]New Machine sheet'!$F$2:$I$64,3,0),0)</f>
        <v>RE J1</v>
      </c>
      <c r="I112" s="61" t="s">
        <v>165</v>
      </c>
      <c r="J112" s="61">
        <v>5</v>
      </c>
      <c r="K112" s="61" t="str">
        <f>IFERROR(VLOOKUP(Table2[[#This Row],[Code3]],'[2]New defect code '!$A$2:$D$129,2,0),0)</f>
        <v>Bore Over size</v>
      </c>
      <c r="L112" s="61" t="s">
        <v>163</v>
      </c>
      <c r="M112" s="56">
        <v>46266</v>
      </c>
      <c r="N112" s="61"/>
      <c r="O112" s="61">
        <v>3</v>
      </c>
      <c r="P112" s="61"/>
      <c r="Q112" s="61"/>
      <c r="R112" s="61">
        <f>SUBTOTAL(9,Table2[[#This Row],[1st]:[FQC]])</f>
        <v>3</v>
      </c>
      <c r="S112" s="61">
        <f>IFERROR(VLOOKUP(Table2[[#This Row],[Part No.]],'[2]New Machine sheet'!$G$2:$I$90,3,0),0)</f>
        <v>66.900000000000006</v>
      </c>
      <c r="T112" s="61">
        <f>Table2[[#This Row],[cost per piece]]*Table2[[#This Row],[Total Rej. qty]]</f>
        <v>200.70000000000002</v>
      </c>
      <c r="U112" s="61">
        <f>IFERROR(VLOOKUP(Table2[[#This Row],[Non Conformance]],'[2]New defect code '!$B$2:$C$129,2,0),0)</f>
        <v>3243</v>
      </c>
      <c r="V112" s="61">
        <v>19</v>
      </c>
      <c r="W112" s="61" t="str">
        <f>IFERROR(VLOOKUP(Table2[[#This Row],[Code4]],'[2]New Reason code'!$A$2:$D$77,2,0),0)</f>
        <v>During Rework time</v>
      </c>
      <c r="X112" s="61" t="str">
        <f>IFERROR(VLOOKUP(Table2[[#This Row],[Reason]],'[2]New Reason code'!$B$2:$D$77,2,0),0)</f>
        <v>Due to operator</v>
      </c>
      <c r="Y112" s="61" t="str">
        <f>IFERROR(VLOOKUP(Table2[[#This Row],[Rejection Identified at]],'[2]New Reason code'!$C$2:$D$77,2,0),0)</f>
        <v xml:space="preserve">infrastructure </v>
      </c>
    </row>
    <row r="113" spans="1:25" ht="20.25" customHeight="1">
      <c r="A113" s="50">
        <v>109</v>
      </c>
      <c r="B113" s="61">
        <v>1</v>
      </c>
      <c r="C113" s="61" t="str">
        <f>IFERROR(VLOOKUP(Table2[[#This Row],[Code]],'[2]New Machine sheet'!$A$1:$D$101,2,0),0)</f>
        <v>282-01</v>
      </c>
      <c r="D113" s="61" t="str">
        <f>IFERROR(VLOOKUP(Table2[[#This Row],[M/c No]],'[2]New Machine sheet'!$B$1:$D$101,2,0),0)</f>
        <v>Mazak</v>
      </c>
      <c r="E113" s="61" t="str">
        <f>IFERROR(VLOOKUP(Table2[[#This Row],[M/c Name]],'[2]New Machine sheet'!$C$1:$D$101,2,0),0)</f>
        <v>Turning</v>
      </c>
      <c r="F113" s="61">
        <v>121</v>
      </c>
      <c r="G113" s="61">
        <f>IFERROR(VLOOKUP(Table2[[#This Row],[Code2]],'[2]New Machine sheet'!$F$2:$I$64,2,),0)</f>
        <v>24121</v>
      </c>
      <c r="H113" s="61" t="str">
        <f>IFERROR(VLOOKUP(Table2[[#This Row],[Code2]],'[2]New Machine sheet'!$F$2:$I$64,3,0),0)</f>
        <v>RE J1</v>
      </c>
      <c r="I113" s="61" t="s">
        <v>125</v>
      </c>
      <c r="J113" s="61">
        <v>5</v>
      </c>
      <c r="K113" s="61" t="str">
        <f>IFERROR(VLOOKUP(Table2[[#This Row],[Code3]],'[2]New defect code '!$A$2:$D$129,2,0),0)</f>
        <v>Bore Over size</v>
      </c>
      <c r="L113" s="61" t="s">
        <v>163</v>
      </c>
      <c r="M113" s="56">
        <v>46266</v>
      </c>
      <c r="N113" s="61"/>
      <c r="O113" s="61">
        <v>1</v>
      </c>
      <c r="P113" s="61"/>
      <c r="Q113" s="61"/>
      <c r="R113" s="61">
        <f>SUBTOTAL(9,Table2[[#This Row],[1st]:[FQC]])</f>
        <v>1</v>
      </c>
      <c r="S113" s="61">
        <f>IFERROR(VLOOKUP(Table2[[#This Row],[Part No.]],'[2]New Machine sheet'!$G$2:$I$90,3,0),0)</f>
        <v>135.66999999999999</v>
      </c>
      <c r="T113" s="61">
        <f>Table2[[#This Row],[cost per piece]]*Table2[[#This Row],[Total Rej. qty]]</f>
        <v>135.66999999999999</v>
      </c>
      <c r="U113" s="61">
        <f>IFERROR(VLOOKUP(Table2[[#This Row],[Non Conformance]],'[2]New defect code '!$B$2:$C$129,2,0),0)</f>
        <v>3243</v>
      </c>
      <c r="V113" s="61">
        <v>18</v>
      </c>
      <c r="W113" s="61" t="str">
        <f>IFERROR(VLOOKUP(Table2[[#This Row],[Code4]],'[2]New Reason code'!$A$2:$D$77,2,0),0)</f>
        <v>During insert change</v>
      </c>
      <c r="X113" s="61" t="str">
        <f>IFERROR(VLOOKUP(Table2[[#This Row],[Reason]],'[2]New Reason code'!$B$2:$D$77,2,0),0)</f>
        <v xml:space="preserve">Due to Settup  </v>
      </c>
      <c r="Y113" s="61" t="str">
        <f>IFERROR(VLOOKUP(Table2[[#This Row],[Rejection Identified at]],'[2]New Reason code'!$C$2:$D$77,2,0),0)</f>
        <v>skill</v>
      </c>
    </row>
    <row r="114" spans="1:25" ht="20.25" customHeight="1">
      <c r="A114" s="60">
        <v>110</v>
      </c>
      <c r="B114" s="61">
        <v>11</v>
      </c>
      <c r="C114" s="61" t="str">
        <f>IFERROR(VLOOKUP(Table2[[#This Row],[Code]],'[2]New Machine sheet'!$A$1:$D$101,2,0),0)</f>
        <v>282-11</v>
      </c>
      <c r="D114" s="61" t="str">
        <f>IFERROR(VLOOKUP(Table2[[#This Row],[M/c No]],'[2]New Machine sheet'!$B$1:$D$101,2,0),0)</f>
        <v>Mazak</v>
      </c>
      <c r="E114" s="61" t="str">
        <f>IFERROR(VLOOKUP(Table2[[#This Row],[M/c Name]],'[2]New Machine sheet'!$C$1:$D$101,2,0),0)</f>
        <v>Turning</v>
      </c>
      <c r="F114" s="61">
        <v>121</v>
      </c>
      <c r="G114" s="61">
        <f>IFERROR(VLOOKUP(Table2[[#This Row],[Code2]],'[2]New Machine sheet'!$F$2:$I$64,2,),0)</f>
        <v>24121</v>
      </c>
      <c r="H114" s="61" t="str">
        <f>IFERROR(VLOOKUP(Table2[[#This Row],[Code2]],'[2]New Machine sheet'!$F$2:$I$64,3,0),0)</f>
        <v>RE J1</v>
      </c>
      <c r="I114" s="61" t="s">
        <v>137</v>
      </c>
      <c r="J114" s="61">
        <v>93</v>
      </c>
      <c r="K114" s="61" t="str">
        <f>IFERROR(VLOOKUP(Table2[[#This Row],[Code3]],'[2]New defect code '!$A$2:$D$129,2,0),0)</f>
        <v>Thickness Under size</v>
      </c>
      <c r="L114" s="61" t="s">
        <v>163</v>
      </c>
      <c r="M114" s="56">
        <v>46266</v>
      </c>
      <c r="N114" s="61"/>
      <c r="O114" s="61">
        <v>3</v>
      </c>
      <c r="P114" s="61"/>
      <c r="Q114" s="61"/>
      <c r="R114" s="61">
        <f>SUBTOTAL(9,Table2[[#This Row],[1st]:[FQC]])</f>
        <v>3</v>
      </c>
      <c r="S114" s="61">
        <f>IFERROR(VLOOKUP(Table2[[#This Row],[Part No.]],'[2]New Machine sheet'!$G$2:$I$90,3,0),0)</f>
        <v>135.66999999999999</v>
      </c>
      <c r="T114" s="61">
        <f>Table2[[#This Row],[cost per piece]]*Table2[[#This Row],[Total Rej. qty]]</f>
        <v>407.01</v>
      </c>
      <c r="U114" s="61">
        <f>IFERROR(VLOOKUP(Table2[[#This Row],[Non Conformance]],'[2]New defect code '!$B$2:$C$129,2,0),0)</f>
        <v>3258</v>
      </c>
      <c r="V114" s="61">
        <v>19</v>
      </c>
      <c r="W114" s="61" t="str">
        <f>IFERROR(VLOOKUP(Table2[[#This Row],[Code4]],'[2]New Reason code'!$A$2:$D$77,2,0),0)</f>
        <v>During Rework time</v>
      </c>
      <c r="X114" s="61" t="str">
        <f>IFERROR(VLOOKUP(Table2[[#This Row],[Reason]],'[2]New Reason code'!$B$2:$D$77,2,0),0)</f>
        <v>Due to operator</v>
      </c>
      <c r="Y114" s="61" t="str">
        <f>IFERROR(VLOOKUP(Table2[[#This Row],[Rejection Identified at]],'[2]New Reason code'!$C$2:$D$77,2,0),0)</f>
        <v xml:space="preserve">infrastructure </v>
      </c>
    </row>
    <row r="115" spans="1:25" ht="20.25" customHeight="1">
      <c r="A115" s="60">
        <v>111</v>
      </c>
      <c r="B115" s="61">
        <v>4</v>
      </c>
      <c r="C115" s="61" t="str">
        <f>IFERROR(VLOOKUP(Table2[[#This Row],[Code]],'[2]New Machine sheet'!$A$1:$D$101,2,0),0)</f>
        <v>282-04</v>
      </c>
      <c r="D115" s="61" t="str">
        <f>IFERROR(VLOOKUP(Table2[[#This Row],[M/c No]],'[2]New Machine sheet'!$B$1:$D$101,2,0),0)</f>
        <v>Mazak</v>
      </c>
      <c r="E115" s="61" t="str">
        <f>IFERROR(VLOOKUP(Table2[[#This Row],[M/c Name]],'[2]New Machine sheet'!$C$1:$D$101,2,0),0)</f>
        <v>Turning</v>
      </c>
      <c r="F115" s="61">
        <v>117</v>
      </c>
      <c r="G115" s="61">
        <f>IFERROR(VLOOKUP(Table2[[#This Row],[Code2]],'[2]New Machine sheet'!$F$2:$I$64,2,),0)</f>
        <v>24117</v>
      </c>
      <c r="H115" s="61" t="str">
        <f>IFERROR(VLOOKUP(Table2[[#This Row],[Code2]],'[2]New Machine sheet'!$F$2:$I$64,3,0),0)</f>
        <v>RE J1</v>
      </c>
      <c r="I115" s="61" t="s">
        <v>129</v>
      </c>
      <c r="J115" s="61">
        <v>5</v>
      </c>
      <c r="K115" s="61" t="str">
        <f>IFERROR(VLOOKUP(Table2[[#This Row],[Code3]],'[2]New defect code '!$A$2:$D$129,2,0),0)</f>
        <v>Bore Over size</v>
      </c>
      <c r="L115" s="61" t="s">
        <v>163</v>
      </c>
      <c r="M115" s="56">
        <v>46266</v>
      </c>
      <c r="N115" s="61"/>
      <c r="O115" s="61">
        <v>1</v>
      </c>
      <c r="P115" s="61"/>
      <c r="Q115" s="61"/>
      <c r="R115" s="61">
        <f>SUBTOTAL(9,Table2[[#This Row],[1st]:[FQC]])</f>
        <v>1</v>
      </c>
      <c r="S115" s="61">
        <f>IFERROR(VLOOKUP(Table2[[#This Row],[Part No.]],'[2]New Machine sheet'!$G$2:$I$90,3,0),0)</f>
        <v>111.97</v>
      </c>
      <c r="T115" s="61">
        <f>Table2[[#This Row],[cost per piece]]*Table2[[#This Row],[Total Rej. qty]]</f>
        <v>111.97</v>
      </c>
      <c r="U115" s="61">
        <f>IFERROR(VLOOKUP(Table2[[#This Row],[Non Conformance]],'[2]New defect code '!$B$2:$C$129,2,0),0)</f>
        <v>3243</v>
      </c>
      <c r="V115" s="61">
        <v>18</v>
      </c>
      <c r="W115" s="61" t="str">
        <f>IFERROR(VLOOKUP(Table2[[#This Row],[Code4]],'[2]New Reason code'!$A$2:$D$77,2,0),0)</f>
        <v>During insert change</v>
      </c>
      <c r="X115" s="61" t="str">
        <f>IFERROR(VLOOKUP(Table2[[#This Row],[Reason]],'[2]New Reason code'!$B$2:$D$77,2,0),0)</f>
        <v xml:space="preserve">Due to Settup  </v>
      </c>
      <c r="Y115" s="61" t="str">
        <f>IFERROR(VLOOKUP(Table2[[#This Row],[Rejection Identified at]],'[2]New Reason code'!$C$2:$D$77,2,0),0)</f>
        <v>skill</v>
      </c>
    </row>
    <row r="116" spans="1:25" ht="20.25" customHeight="1">
      <c r="A116" s="50">
        <v>112</v>
      </c>
      <c r="B116" s="61">
        <v>16</v>
      </c>
      <c r="C116" s="61" t="str">
        <f>IFERROR(VLOOKUP(Table2[[#This Row],[Code]],'[2]New Machine sheet'!$A$1:$D$101,2,0),0)</f>
        <v>282-16</v>
      </c>
      <c r="D116" s="61" t="str">
        <f>IFERROR(VLOOKUP(Table2[[#This Row],[M/c No]],'[2]New Machine sheet'!$B$1:$D$101,2,0),0)</f>
        <v>Mazak</v>
      </c>
      <c r="E116" s="61" t="str">
        <f>IFERROR(VLOOKUP(Table2[[#This Row],[M/c Name]],'[2]New Machine sheet'!$C$1:$D$101,2,0),0)</f>
        <v>Turning</v>
      </c>
      <c r="F116" s="61">
        <v>102</v>
      </c>
      <c r="G116" s="61">
        <f>IFERROR(VLOOKUP(Table2[[#This Row],[Code2]],'[2]New Machine sheet'!$F$2:$I$64,2,),0)</f>
        <v>24102</v>
      </c>
      <c r="H116" s="61" t="str">
        <f>IFERROR(VLOOKUP(Table2[[#This Row],[Code2]],'[2]New Machine sheet'!$F$2:$I$64,3,0),0)</f>
        <v>RE J1</v>
      </c>
      <c r="I116" s="61" t="s">
        <v>168</v>
      </c>
      <c r="J116" s="61">
        <v>93</v>
      </c>
      <c r="K116" s="61" t="str">
        <f>IFERROR(VLOOKUP(Table2[[#This Row],[Code3]],'[2]New defect code '!$A$2:$D$129,2,0),0)</f>
        <v>Thickness Under size</v>
      </c>
      <c r="L116" s="61" t="s">
        <v>163</v>
      </c>
      <c r="M116" s="56">
        <v>46266</v>
      </c>
      <c r="N116" s="61"/>
      <c r="O116" s="61">
        <v>1</v>
      </c>
      <c r="P116" s="61"/>
      <c r="Q116" s="61"/>
      <c r="R116" s="61">
        <f>SUBTOTAL(9,Table2[[#This Row],[1st]:[FQC]])</f>
        <v>1</v>
      </c>
      <c r="S116" s="61">
        <f>IFERROR(VLOOKUP(Table2[[#This Row],[Part No.]],'[2]New Machine sheet'!$G$2:$I$90,3,0),0)</f>
        <v>93</v>
      </c>
      <c r="T116" s="61">
        <f>Table2[[#This Row],[cost per piece]]*Table2[[#This Row],[Total Rej. qty]]</f>
        <v>93</v>
      </c>
      <c r="U116" s="61">
        <f>IFERROR(VLOOKUP(Table2[[#This Row],[Non Conformance]],'[2]New defect code '!$B$2:$C$129,2,0),0)</f>
        <v>3258</v>
      </c>
      <c r="V116" s="61">
        <v>18</v>
      </c>
      <c r="W116" s="61" t="str">
        <f>IFERROR(VLOOKUP(Table2[[#This Row],[Code4]],'[2]New Reason code'!$A$2:$D$77,2,0),0)</f>
        <v>During insert change</v>
      </c>
      <c r="X116" s="61" t="str">
        <f>IFERROR(VLOOKUP(Table2[[#This Row],[Reason]],'[2]New Reason code'!$B$2:$D$77,2,0),0)</f>
        <v xml:space="preserve">Due to Settup  </v>
      </c>
      <c r="Y116" s="61" t="str">
        <f>IFERROR(VLOOKUP(Table2[[#This Row],[Rejection Identified at]],'[2]New Reason code'!$C$2:$D$77,2,0),0)</f>
        <v>skill</v>
      </c>
    </row>
    <row r="117" spans="1:25" ht="20.25" customHeight="1">
      <c r="A117" s="60">
        <v>113</v>
      </c>
      <c r="B117" s="61">
        <v>7</v>
      </c>
      <c r="C117" s="61" t="str">
        <f>IFERROR(VLOOKUP(Table2[[#This Row],[Code]],'[2]New Machine sheet'!$A$1:$D$101,2,0),0)</f>
        <v>282-07</v>
      </c>
      <c r="D117" s="61" t="str">
        <f>IFERROR(VLOOKUP(Table2[[#This Row],[M/c No]],'[2]New Machine sheet'!$B$1:$D$101,2,0),0)</f>
        <v>Mazak</v>
      </c>
      <c r="E117" s="61" t="str">
        <f>IFERROR(VLOOKUP(Table2[[#This Row],[M/c Name]],'[2]New Machine sheet'!$C$1:$D$101,2,0),0)</f>
        <v>Turning</v>
      </c>
      <c r="F117" s="61">
        <v>119</v>
      </c>
      <c r="G117" s="61">
        <f>IFERROR(VLOOKUP(Table2[[#This Row],[Code2]],'[2]New Machine sheet'!$F$2:$I$64,2,),0)</f>
        <v>24119</v>
      </c>
      <c r="H117" s="61" t="str">
        <f>IFERROR(VLOOKUP(Table2[[#This Row],[Code2]],'[2]New Machine sheet'!$F$2:$I$64,3,0),0)</f>
        <v>RE J1</v>
      </c>
      <c r="I117" s="61" t="s">
        <v>132</v>
      </c>
      <c r="J117" s="61">
        <v>5</v>
      </c>
      <c r="K117" s="61" t="str">
        <f>IFERROR(VLOOKUP(Table2[[#This Row],[Code3]],'[2]New defect code '!$A$2:$D$129,2,0),0)</f>
        <v>Bore Over size</v>
      </c>
      <c r="L117" s="61" t="s">
        <v>163</v>
      </c>
      <c r="M117" s="56">
        <v>46266</v>
      </c>
      <c r="N117" s="61"/>
      <c r="O117" s="61">
        <v>1</v>
      </c>
      <c r="P117" s="61"/>
      <c r="Q117" s="61"/>
      <c r="R117" s="61">
        <f>SUBTOTAL(9,Table2[[#This Row],[1st]:[FQC]])</f>
        <v>1</v>
      </c>
      <c r="S117" s="61">
        <f>IFERROR(VLOOKUP(Table2[[#This Row],[Part No.]],'[2]New Machine sheet'!$G$2:$I$90,3,0),0)</f>
        <v>103.2</v>
      </c>
      <c r="T117" s="61">
        <f>Table2[[#This Row],[cost per piece]]*Table2[[#This Row],[Total Rej. qty]]</f>
        <v>103.2</v>
      </c>
      <c r="U117" s="61">
        <f>IFERROR(VLOOKUP(Table2[[#This Row],[Non Conformance]],'[2]New defect code '!$B$2:$C$129,2,0),0)</f>
        <v>3243</v>
      </c>
      <c r="V117" s="61">
        <v>18</v>
      </c>
      <c r="W117" s="61" t="str">
        <f>IFERROR(VLOOKUP(Table2[[#This Row],[Code4]],'[2]New Reason code'!$A$2:$D$77,2,0),0)</f>
        <v>During insert change</v>
      </c>
      <c r="X117" s="61" t="str">
        <f>IFERROR(VLOOKUP(Table2[[#This Row],[Reason]],'[2]New Reason code'!$B$2:$D$77,2,0),0)</f>
        <v xml:space="preserve">Due to Settup  </v>
      </c>
      <c r="Y117" s="61" t="str">
        <f>IFERROR(VLOOKUP(Table2[[#This Row],[Rejection Identified at]],'[2]New Reason code'!$C$2:$D$77,2,0),0)</f>
        <v>skill</v>
      </c>
    </row>
    <row r="118" spans="1:25" ht="20.25" customHeight="1">
      <c r="A118" s="60">
        <v>114</v>
      </c>
      <c r="B118" s="61">
        <v>20</v>
      </c>
      <c r="C118" s="61" t="str">
        <f>IFERROR(VLOOKUP(Table2[[#This Row],[Code]],'[2]New Machine sheet'!$A$1:$D$101,2,0),0)</f>
        <v>282-20</v>
      </c>
      <c r="D118" s="61" t="str">
        <f>IFERROR(VLOOKUP(Table2[[#This Row],[M/c No]],'[2]New Machine sheet'!$B$1:$D$101,2,0),0)</f>
        <v>Mazak</v>
      </c>
      <c r="E118" s="61" t="str">
        <f>IFERROR(VLOOKUP(Table2[[#This Row],[M/c Name]],'[2]New Machine sheet'!$C$1:$D$101,2,0),0)</f>
        <v>Turning</v>
      </c>
      <c r="F118" s="61">
        <v>115</v>
      </c>
      <c r="G118" s="61">
        <f>IFERROR(VLOOKUP(Table2[[#This Row],[Code2]],'[2]New Machine sheet'!$F$2:$I$64,2,),0)</f>
        <v>24115</v>
      </c>
      <c r="H118" s="61" t="str">
        <f>IFERROR(VLOOKUP(Table2[[#This Row],[Code2]],'[2]New Machine sheet'!$F$2:$I$64,3,0),0)</f>
        <v>RE J1</v>
      </c>
      <c r="I118" s="61" t="s">
        <v>168</v>
      </c>
      <c r="J118" s="61">
        <v>93</v>
      </c>
      <c r="K118" s="61" t="str">
        <f>IFERROR(VLOOKUP(Table2[[#This Row],[Code3]],'[2]New defect code '!$A$2:$D$129,2,0),0)</f>
        <v>Thickness Under size</v>
      </c>
      <c r="L118" s="61" t="s">
        <v>163</v>
      </c>
      <c r="M118" s="56">
        <v>46266</v>
      </c>
      <c r="N118" s="61"/>
      <c r="O118" s="61">
        <v>8</v>
      </c>
      <c r="P118" s="61"/>
      <c r="Q118" s="61"/>
      <c r="R118" s="61">
        <f>SUBTOTAL(9,Table2[[#This Row],[1st]:[FQC]])</f>
        <v>8</v>
      </c>
      <c r="S118" s="61">
        <f>IFERROR(VLOOKUP(Table2[[#This Row],[Part No.]],'[2]New Machine sheet'!$G$2:$I$90,3,0),0)</f>
        <v>66.900000000000006</v>
      </c>
      <c r="T118" s="61">
        <f>Table2[[#This Row],[cost per piece]]*Table2[[#This Row],[Total Rej. qty]]</f>
        <v>535.20000000000005</v>
      </c>
      <c r="U118" s="61">
        <f>IFERROR(VLOOKUP(Table2[[#This Row],[Non Conformance]],'[2]New defect code '!$B$2:$C$129,2,0),0)</f>
        <v>3258</v>
      </c>
      <c r="V118" s="61">
        <v>20</v>
      </c>
      <c r="W118" s="61" t="str">
        <f>IFERROR(VLOOKUP(Table2[[#This Row],[Code4]],'[2]New Reason code'!$A$2:$D$77,2,0),0)</f>
        <v xml:space="preserve">During segrigetion </v>
      </c>
      <c r="X118" s="61" t="str">
        <f>IFERROR(VLOOKUP(Table2[[#This Row],[Reason]],'[2]New Reason code'!$B$2:$D$77,2,0),0)</f>
        <v xml:space="preserve">During segrigetion </v>
      </c>
      <c r="Y118" s="61" t="str">
        <f>IFERROR(VLOOKUP(Table2[[#This Row],[Rejection Identified at]],'[2]New Reason code'!$C$2:$D$77,2,0),0)</f>
        <v>Attitude</v>
      </c>
    </row>
    <row r="119" spans="1:25" ht="20.25" customHeight="1">
      <c r="A119" s="50">
        <v>115</v>
      </c>
      <c r="B119" s="61">
        <v>19</v>
      </c>
      <c r="C119" s="61" t="str">
        <f>IFERROR(VLOOKUP(Table2[[#This Row],[Code]],'[2]New Machine sheet'!$A$1:$D$101,2,0),0)</f>
        <v>282-19</v>
      </c>
      <c r="D119" s="61" t="str">
        <f>IFERROR(VLOOKUP(Table2[[#This Row],[M/c No]],'[2]New Machine sheet'!$B$1:$D$101,2,0),0)</f>
        <v>Mazak</v>
      </c>
      <c r="E119" s="61" t="str">
        <f>IFERROR(VLOOKUP(Table2[[#This Row],[M/c Name]],'[2]New Machine sheet'!$C$1:$D$101,2,0),0)</f>
        <v>Turning</v>
      </c>
      <c r="F119" s="61">
        <v>122</v>
      </c>
      <c r="G119" s="61">
        <f>IFERROR(VLOOKUP(Table2[[#This Row],[Code2]],'[2]New Machine sheet'!$F$2:$I$64,2,),0)</f>
        <v>24122</v>
      </c>
      <c r="H119" s="61" t="str">
        <f>IFERROR(VLOOKUP(Table2[[#This Row],[Code2]],'[2]New Machine sheet'!$F$2:$I$64,3,0),0)</f>
        <v>RE J1</v>
      </c>
      <c r="I119" s="61" t="s">
        <v>137</v>
      </c>
      <c r="J119" s="61">
        <v>5</v>
      </c>
      <c r="K119" s="61" t="str">
        <f>IFERROR(VLOOKUP(Table2[[#This Row],[Code3]],'[2]New defect code '!$A$2:$D$129,2,0),0)</f>
        <v>Bore Over size</v>
      </c>
      <c r="L119" s="61" t="s">
        <v>163</v>
      </c>
      <c r="M119" s="56">
        <v>46266</v>
      </c>
      <c r="N119" s="61"/>
      <c r="O119" s="61">
        <v>1</v>
      </c>
      <c r="P119" s="61"/>
      <c r="Q119" s="61"/>
      <c r="R119" s="61">
        <f>SUBTOTAL(9,Table2[[#This Row],[1st]:[FQC]])</f>
        <v>1</v>
      </c>
      <c r="S119" s="61">
        <f>IFERROR(VLOOKUP(Table2[[#This Row],[Part No.]],'[2]New Machine sheet'!$G$2:$I$90,3,0),0)</f>
        <v>335.39977528089889</v>
      </c>
      <c r="T119" s="61">
        <f>Table2[[#This Row],[cost per piece]]*Table2[[#This Row],[Total Rej. qty]]</f>
        <v>335.39977528089889</v>
      </c>
      <c r="U119" s="61">
        <f>IFERROR(VLOOKUP(Table2[[#This Row],[Non Conformance]],'[2]New defect code '!$B$2:$C$129,2,0),0)</f>
        <v>3243</v>
      </c>
      <c r="V119" s="61">
        <v>20</v>
      </c>
      <c r="W119" s="61" t="str">
        <f>IFERROR(VLOOKUP(Table2[[#This Row],[Code4]],'[2]New Reason code'!$A$2:$D$77,2,0),0)</f>
        <v xml:space="preserve">During segrigetion </v>
      </c>
      <c r="X119" s="61" t="str">
        <f>IFERROR(VLOOKUP(Table2[[#This Row],[Reason]],'[2]New Reason code'!$B$2:$D$77,2,0),0)</f>
        <v xml:space="preserve">During segrigetion </v>
      </c>
      <c r="Y119" s="61" t="str">
        <f>IFERROR(VLOOKUP(Table2[[#This Row],[Rejection Identified at]],'[2]New Reason code'!$C$2:$D$77,2,0),0)</f>
        <v>Attitude</v>
      </c>
    </row>
    <row r="120" spans="1:25" ht="20.25" customHeight="1">
      <c r="A120" s="60">
        <v>116</v>
      </c>
      <c r="B120" s="61">
        <v>6</v>
      </c>
      <c r="C120" s="61" t="str">
        <f>IFERROR(VLOOKUP(Table2[[#This Row],[Code]],'[2]New Machine sheet'!$A$1:$D$101,2,0),0)</f>
        <v>282-06</v>
      </c>
      <c r="D120" s="61" t="str">
        <f>IFERROR(VLOOKUP(Table2[[#This Row],[M/c No]],'[2]New Machine sheet'!$B$1:$D$101,2,0),0)</f>
        <v>Mazak</v>
      </c>
      <c r="E120" s="61" t="str">
        <f>IFERROR(VLOOKUP(Table2[[#This Row],[M/c Name]],'[2]New Machine sheet'!$C$1:$D$101,2,0),0)</f>
        <v>Turning</v>
      </c>
      <c r="F120" s="61">
        <v>178</v>
      </c>
      <c r="G120" s="61">
        <f>IFERROR(VLOOKUP(Table2[[#This Row],[Code2]],'[2]New Machine sheet'!$F$2:$I$64,2,),0)</f>
        <v>24178</v>
      </c>
      <c r="H120" s="61" t="str">
        <f>IFERROR(VLOOKUP(Table2[[#This Row],[Code2]],'[2]New Machine sheet'!$F$2:$I$64,3,0),0)</f>
        <v>RE J1</v>
      </c>
      <c r="I120" s="61" t="s">
        <v>141</v>
      </c>
      <c r="J120" s="61">
        <v>5</v>
      </c>
      <c r="K120" s="61" t="str">
        <f>IFERROR(VLOOKUP(Table2[[#This Row],[Code3]],'[2]New defect code '!$A$2:$D$129,2,0),0)</f>
        <v>Bore Over size</v>
      </c>
      <c r="L120" s="61" t="s">
        <v>163</v>
      </c>
      <c r="M120" s="56">
        <v>46266</v>
      </c>
      <c r="N120" s="61"/>
      <c r="O120" s="61">
        <v>1</v>
      </c>
      <c r="P120" s="61"/>
      <c r="Q120" s="61"/>
      <c r="R120" s="61">
        <f>SUBTOTAL(9,Table2[[#This Row],[1st]:[FQC]])</f>
        <v>1</v>
      </c>
      <c r="S120" s="61">
        <f>IFERROR(VLOOKUP(Table2[[#This Row],[Part No.]],'[2]New Machine sheet'!$G$2:$I$90,3,0),0)</f>
        <v>70.62</v>
      </c>
      <c r="T120" s="61">
        <f>Table2[[#This Row],[cost per piece]]*Table2[[#This Row],[Total Rej. qty]]</f>
        <v>70.62</v>
      </c>
      <c r="U120" s="61">
        <f>IFERROR(VLOOKUP(Table2[[#This Row],[Non Conformance]],'[2]New defect code '!$B$2:$C$129,2,0),0)</f>
        <v>3243</v>
      </c>
      <c r="V120" s="61">
        <v>64</v>
      </c>
      <c r="W120" s="61" t="str">
        <f>IFERROR(VLOOKUP(Table2[[#This Row],[Code4]],'[2]New Reason code'!$A$2:$D$77,2,0),0)</f>
        <v>Wrong correction</v>
      </c>
      <c r="X120" s="61" t="str">
        <f>IFERROR(VLOOKUP(Table2[[#This Row],[Reason]],'[2]New Reason code'!$B$2:$D$77,2,0),0)</f>
        <v>Due to operator</v>
      </c>
      <c r="Y120" s="61" t="str">
        <f>IFERROR(VLOOKUP(Table2[[#This Row],[Rejection Identified at]],'[2]New Reason code'!$C$2:$D$77,2,0),0)</f>
        <v xml:space="preserve">infrastructure </v>
      </c>
    </row>
    <row r="121" spans="1:25" ht="20.25" customHeight="1">
      <c r="A121" s="60">
        <v>117</v>
      </c>
      <c r="B121" s="61">
        <v>15</v>
      </c>
      <c r="C121" s="61" t="str">
        <f>IFERROR(VLOOKUP(Table2[[#This Row],[Code]],'[2]New Machine sheet'!$A$1:$D$101,2,0),0)</f>
        <v>282-15</v>
      </c>
      <c r="D121" s="61" t="str">
        <f>IFERROR(VLOOKUP(Table2[[#This Row],[M/c No]],'[2]New Machine sheet'!$B$1:$D$101,2,0),0)</f>
        <v>Mazak</v>
      </c>
      <c r="E121" s="61" t="str">
        <f>IFERROR(VLOOKUP(Table2[[#This Row],[M/c Name]],'[2]New Machine sheet'!$C$1:$D$101,2,0),0)</f>
        <v>Turning</v>
      </c>
      <c r="F121" s="61">
        <v>127</v>
      </c>
      <c r="G121" s="61">
        <f>IFERROR(VLOOKUP(Table2[[#This Row],[Code2]],'[2]New Machine sheet'!$F$2:$I$64,2,),0)</f>
        <v>24127</v>
      </c>
      <c r="H121" s="61" t="str">
        <f>IFERROR(VLOOKUP(Table2[[#This Row],[Code2]],'[2]New Machine sheet'!$F$2:$I$64,3,0),0)</f>
        <v>RE J1</v>
      </c>
      <c r="I121" s="61" t="s">
        <v>169</v>
      </c>
      <c r="J121" s="61">
        <v>66</v>
      </c>
      <c r="K121" s="61" t="str">
        <f>IFERROR(VLOOKUP(Table2[[#This Row],[Code3]],'[2]New defect code '!$A$2:$D$129,2,0),0)</f>
        <v>OD Under Size</v>
      </c>
      <c r="L121" s="61" t="s">
        <v>163</v>
      </c>
      <c r="M121" s="56">
        <v>46266</v>
      </c>
      <c r="N121" s="61"/>
      <c r="O121" s="61">
        <v>1</v>
      </c>
      <c r="P121" s="61"/>
      <c r="Q121" s="61"/>
      <c r="R121" s="61">
        <f>SUBTOTAL(9,Table2[[#This Row],[1st]:[FQC]])</f>
        <v>1</v>
      </c>
      <c r="S121" s="61">
        <f>IFERROR(VLOOKUP(Table2[[#This Row],[Part No.]],'[2]New Machine sheet'!$G$2:$I$90,3,0),0)</f>
        <v>262.81200000000001</v>
      </c>
      <c r="T121" s="61">
        <f>Table2[[#This Row],[cost per piece]]*Table2[[#This Row],[Total Rej. qty]]</f>
        <v>262.81200000000001</v>
      </c>
      <c r="U121" s="61">
        <f>IFERROR(VLOOKUP(Table2[[#This Row],[Non Conformance]],'[2]New defect code '!$B$2:$C$129,2,0),0)</f>
        <v>3242</v>
      </c>
      <c r="V121" s="61">
        <v>18</v>
      </c>
      <c r="W121" s="61" t="str">
        <f>IFERROR(VLOOKUP(Table2[[#This Row],[Code4]],'[2]New Reason code'!$A$2:$D$77,2,0),0)</f>
        <v>During insert change</v>
      </c>
      <c r="X121" s="61" t="str">
        <f>IFERROR(VLOOKUP(Table2[[#This Row],[Reason]],'[2]New Reason code'!$B$2:$D$77,2,0),0)</f>
        <v xml:space="preserve">Due to Settup  </v>
      </c>
      <c r="Y121" s="61" t="str">
        <f>IFERROR(VLOOKUP(Table2[[#This Row],[Rejection Identified at]],'[2]New Reason code'!$C$2:$D$77,2,0),0)</f>
        <v>skill</v>
      </c>
    </row>
    <row r="122" spans="1:25" ht="20.25" customHeight="1">
      <c r="A122" s="50">
        <v>118</v>
      </c>
      <c r="B122" s="61">
        <v>15</v>
      </c>
      <c r="C122" s="61" t="str">
        <f>IFERROR(VLOOKUP(Table2[[#This Row],[Code]],'[2]New Machine sheet'!$A$1:$D$101,2,0),0)</f>
        <v>282-15</v>
      </c>
      <c r="D122" s="61" t="str">
        <f>IFERROR(VLOOKUP(Table2[[#This Row],[M/c No]],'[2]New Machine sheet'!$B$1:$D$101,2,0),0)</f>
        <v>Mazak</v>
      </c>
      <c r="E122" s="61" t="str">
        <f>IFERROR(VLOOKUP(Table2[[#This Row],[M/c Name]],'[2]New Machine sheet'!$C$1:$D$101,2,0),0)</f>
        <v>Turning</v>
      </c>
      <c r="F122" s="61">
        <v>187</v>
      </c>
      <c r="G122" s="61">
        <f>IFERROR(VLOOKUP(Table2[[#This Row],[Code2]],'[2]New Machine sheet'!$F$2:$I$64,2,),0)</f>
        <v>24187</v>
      </c>
      <c r="H122" s="61" t="str">
        <f>IFERROR(VLOOKUP(Table2[[#This Row],[Code2]],'[2]New Machine sheet'!$F$2:$I$64,3,0),0)</f>
        <v>RE Bush</v>
      </c>
      <c r="I122" s="61" t="s">
        <v>169</v>
      </c>
      <c r="J122" s="61">
        <v>21</v>
      </c>
      <c r="K122" s="61" t="str">
        <f>IFERROR(VLOOKUP(Table2[[#This Row],[Code3]],'[2]New defect code '!$A$2:$D$129,2,0),0)</f>
        <v>Bush Reject of defective part</v>
      </c>
      <c r="L122" s="61" t="s">
        <v>163</v>
      </c>
      <c r="M122" s="56">
        <v>46266</v>
      </c>
      <c r="N122" s="61"/>
      <c r="O122" s="61">
        <v>1</v>
      </c>
      <c r="P122" s="61"/>
      <c r="Q122" s="61"/>
      <c r="R122" s="61">
        <f>SUBTOTAL(9,Table2[[#This Row],[1st]:[FQC]])</f>
        <v>1</v>
      </c>
      <c r="S122" s="61">
        <f>IFERROR(VLOOKUP(Table2[[#This Row],[Part No.]],'[2]New Machine sheet'!$G$2:$I$90,3,0),0)</f>
        <v>21.77</v>
      </c>
      <c r="T122" s="61">
        <f>Table2[[#This Row],[cost per piece]]*Table2[[#This Row],[Total Rej. qty]]</f>
        <v>21.77</v>
      </c>
      <c r="U122" s="61">
        <f>IFERROR(VLOOKUP(Table2[[#This Row],[Non Conformance]],'[2]New defect code '!$B$2:$C$129,2,0),0)</f>
        <v>0</v>
      </c>
      <c r="V122" s="61">
        <v>6</v>
      </c>
      <c r="W122" s="61" t="str">
        <f>IFERROR(VLOOKUP(Table2[[#This Row],[Code4]],'[2]New Reason code'!$A$2:$D$77,2,0),0)</f>
        <v>bush will not use again</v>
      </c>
      <c r="X122" s="61" t="str">
        <f>IFERROR(VLOOKUP(Table2[[#This Row],[Reason]],'[2]New Reason code'!$B$2:$D$77,2,0),0)</f>
        <v>Prod Declared</v>
      </c>
      <c r="Y122" s="61" t="str">
        <f>IFERROR(VLOOKUP(Table2[[#This Row],[Rejection Identified at]],'[2]New Reason code'!$C$2:$D$77,2,0),0)</f>
        <v>Process Issue</v>
      </c>
    </row>
    <row r="123" spans="1:25" ht="20.25" customHeight="1">
      <c r="A123" s="60">
        <v>119</v>
      </c>
      <c r="B123" s="61">
        <v>45</v>
      </c>
      <c r="C123" s="61" t="str">
        <f>IFERROR(VLOOKUP(Table2[[#This Row],[Code]],'[2]New Machine sheet'!$A$1:$D$101,2,0),0)</f>
        <v>MURATEC-01</v>
      </c>
      <c r="D123" s="61" t="str">
        <f>IFERROR(VLOOKUP(Table2[[#This Row],[M/c No]],'[2]New Machine sheet'!$B$1:$D$101,2,0),0)</f>
        <v>MURATEC</v>
      </c>
      <c r="E123" s="61" t="str">
        <f>IFERROR(VLOOKUP(Table2[[#This Row],[M/c Name]],'[2]New Machine sheet'!$C$1:$D$101,2,0),0)</f>
        <v xml:space="preserve">turning </v>
      </c>
      <c r="F123" s="61">
        <v>122</v>
      </c>
      <c r="G123" s="61">
        <f>IFERROR(VLOOKUP(Table2[[#This Row],[Code2]],'[2]New Machine sheet'!$F$2:$I$64,2,),0)</f>
        <v>24122</v>
      </c>
      <c r="H123" s="61" t="str">
        <f>IFERROR(VLOOKUP(Table2[[#This Row],[Code2]],'[2]New Machine sheet'!$F$2:$I$64,3,0),0)</f>
        <v>RE J1</v>
      </c>
      <c r="I123" s="61" t="s">
        <v>146</v>
      </c>
      <c r="J123" s="61">
        <v>66</v>
      </c>
      <c r="K123" s="61" t="str">
        <f>IFERROR(VLOOKUP(Table2[[#This Row],[Code3]],'[2]New defect code '!$A$2:$D$129,2,0),0)</f>
        <v>OD Under Size</v>
      </c>
      <c r="L123" s="61" t="s">
        <v>163</v>
      </c>
      <c r="M123" s="56">
        <v>46266</v>
      </c>
      <c r="N123" s="61"/>
      <c r="O123" s="61">
        <v>1</v>
      </c>
      <c r="P123" s="61"/>
      <c r="Q123" s="61"/>
      <c r="R123" s="61">
        <f>SUBTOTAL(9,Table2[[#This Row],[1st]:[FQC]])</f>
        <v>1</v>
      </c>
      <c r="S123" s="61">
        <f>IFERROR(VLOOKUP(Table2[[#This Row],[Part No.]],'[2]New Machine sheet'!$G$2:$I$90,3,0),0)</f>
        <v>335.39977528089889</v>
      </c>
      <c r="T123" s="61">
        <f>Table2[[#This Row],[cost per piece]]*Table2[[#This Row],[Total Rej. qty]]</f>
        <v>335.39977528089889</v>
      </c>
      <c r="U123" s="61">
        <f>IFERROR(VLOOKUP(Table2[[#This Row],[Non Conformance]],'[2]New defect code '!$B$2:$C$129,2,0),0)</f>
        <v>3242</v>
      </c>
      <c r="V123" s="61">
        <v>12</v>
      </c>
      <c r="W123" s="61" t="str">
        <f>IFERROR(VLOOKUP(Table2[[#This Row],[Code4]],'[2]New Reason code'!$A$2:$D$77,2,0),0)</f>
        <v>Double loading</v>
      </c>
      <c r="X123" s="61" t="str">
        <f>IFERROR(VLOOKUP(Table2[[#This Row],[Reason]],'[2]New Reason code'!$B$2:$D$77,2,0),0)</f>
        <v>Due to operator</v>
      </c>
      <c r="Y123" s="61" t="str">
        <f>IFERROR(VLOOKUP(Table2[[#This Row],[Rejection Identified at]],'[2]New Reason code'!$C$2:$D$77,2,0),0)</f>
        <v xml:space="preserve">infrastructure </v>
      </c>
    </row>
    <row r="124" spans="1:25" ht="20.25" customHeight="1">
      <c r="A124" s="60">
        <v>120</v>
      </c>
      <c r="B124" s="61">
        <v>45</v>
      </c>
      <c r="C124" s="61" t="str">
        <f>IFERROR(VLOOKUP(Table2[[#This Row],[Code]],'[2]New Machine sheet'!$A$1:$D$101,2,0),0)</f>
        <v>MURATEC-01</v>
      </c>
      <c r="D124" s="61" t="str">
        <f>IFERROR(VLOOKUP(Table2[[#This Row],[M/c No]],'[2]New Machine sheet'!$B$1:$D$101,2,0),0)</f>
        <v>MURATEC</v>
      </c>
      <c r="E124" s="61" t="str">
        <f>IFERROR(VLOOKUP(Table2[[#This Row],[M/c Name]],'[2]New Machine sheet'!$C$1:$D$101,2,0),0)</f>
        <v xml:space="preserve">turning </v>
      </c>
      <c r="F124" s="61">
        <v>122</v>
      </c>
      <c r="G124" s="61">
        <f>IFERROR(VLOOKUP(Table2[[#This Row],[Code2]],'[2]New Machine sheet'!$F$2:$I$64,2,),0)</f>
        <v>24122</v>
      </c>
      <c r="H124" s="61" t="str">
        <f>IFERROR(VLOOKUP(Table2[[#This Row],[Code2]],'[2]New Machine sheet'!$F$2:$I$64,3,0),0)</f>
        <v>RE J1</v>
      </c>
      <c r="I124" s="61" t="s">
        <v>146</v>
      </c>
      <c r="J124" s="61">
        <v>66</v>
      </c>
      <c r="K124" s="61" t="str">
        <f>IFERROR(VLOOKUP(Table2[[#This Row],[Code3]],'[2]New defect code '!$A$2:$D$129,2,0),0)</f>
        <v>OD Under Size</v>
      </c>
      <c r="L124" s="61" t="s">
        <v>163</v>
      </c>
      <c r="M124" s="56">
        <v>46266</v>
      </c>
      <c r="N124" s="61"/>
      <c r="O124" s="61">
        <v>1</v>
      </c>
      <c r="P124" s="61"/>
      <c r="Q124" s="61"/>
      <c r="R124" s="61">
        <f>SUBTOTAL(9,Table2[[#This Row],[1st]:[FQC]])</f>
        <v>1</v>
      </c>
      <c r="S124" s="61">
        <f>IFERROR(VLOOKUP(Table2[[#This Row],[Part No.]],'[2]New Machine sheet'!$G$2:$I$90,3,0),0)</f>
        <v>335.39977528089889</v>
      </c>
      <c r="T124" s="61">
        <f>Table2[[#This Row],[cost per piece]]*Table2[[#This Row],[Total Rej. qty]]</f>
        <v>335.39977528089889</v>
      </c>
      <c r="U124" s="61">
        <f>IFERROR(VLOOKUP(Table2[[#This Row],[Non Conformance]],'[2]New defect code '!$B$2:$C$129,2,0),0)</f>
        <v>3242</v>
      </c>
      <c r="V124" s="61">
        <v>18</v>
      </c>
      <c r="W124" s="61" t="str">
        <f>IFERROR(VLOOKUP(Table2[[#This Row],[Code4]],'[2]New Reason code'!$A$2:$D$77,2,0),0)</f>
        <v>During insert change</v>
      </c>
      <c r="X124" s="61" t="str">
        <f>IFERROR(VLOOKUP(Table2[[#This Row],[Reason]],'[2]New Reason code'!$B$2:$D$77,2,0),0)</f>
        <v xml:space="preserve">Due to Settup  </v>
      </c>
      <c r="Y124" s="61" t="str">
        <f>IFERROR(VLOOKUP(Table2[[#This Row],[Rejection Identified at]],'[2]New Reason code'!$C$2:$D$77,2,0),0)</f>
        <v>skill</v>
      </c>
    </row>
    <row r="125" spans="1:25" ht="20.25" customHeight="1">
      <c r="A125" s="50">
        <v>121</v>
      </c>
      <c r="B125" s="61">
        <v>1</v>
      </c>
      <c r="C125" s="61" t="str">
        <f>IFERROR(VLOOKUP(Table2[[#This Row],[Code]],'[2]New Machine sheet'!$A$1:$D$101,2,0),0)</f>
        <v>282-01</v>
      </c>
      <c r="D125" s="61" t="str">
        <f>IFERROR(VLOOKUP(Table2[[#This Row],[M/c No]],'[2]New Machine sheet'!$B$1:$D$101,2,0),0)</f>
        <v>Mazak</v>
      </c>
      <c r="E125" s="61" t="str">
        <f>IFERROR(VLOOKUP(Table2[[#This Row],[M/c Name]],'[2]New Machine sheet'!$C$1:$D$101,2,0),0)</f>
        <v>Turning</v>
      </c>
      <c r="F125" s="61">
        <v>73</v>
      </c>
      <c r="G125" s="61">
        <f>IFERROR(VLOOKUP(Table2[[#This Row],[Code2]],'[2]New Machine sheet'!$F$2:$I$64,2,),0)</f>
        <v>2473</v>
      </c>
      <c r="H125" s="61" t="str">
        <f>IFERROR(VLOOKUP(Table2[[#This Row],[Code2]],'[2]New Machine sheet'!$F$2:$I$64,3,0),0)</f>
        <v>RE P1</v>
      </c>
      <c r="I125" s="61" t="s">
        <v>129</v>
      </c>
      <c r="J125" s="61">
        <v>5</v>
      </c>
      <c r="K125" s="61" t="str">
        <f>IFERROR(VLOOKUP(Table2[[#This Row],[Code3]],'[2]New defect code '!$A$2:$D$129,2,0),0)</f>
        <v>Bore Over size</v>
      </c>
      <c r="L125" s="61" t="s">
        <v>163</v>
      </c>
      <c r="M125" s="56">
        <v>46266</v>
      </c>
      <c r="N125" s="61"/>
      <c r="O125" s="61">
        <v>4</v>
      </c>
      <c r="P125" s="61"/>
      <c r="Q125" s="61"/>
      <c r="R125" s="61">
        <f>SUBTOTAL(9,Table2[[#This Row],[1st]:[FQC]])</f>
        <v>4</v>
      </c>
      <c r="S125" s="61">
        <f>IFERROR(VLOOKUP(Table2[[#This Row],[Part No.]],'[2]New Machine sheet'!$G$2:$I$90,3,0),0)</f>
        <v>110.76</v>
      </c>
      <c r="T125" s="61">
        <f>Table2[[#This Row],[cost per piece]]*Table2[[#This Row],[Total Rej. qty]]</f>
        <v>443.04</v>
      </c>
      <c r="U125" s="61">
        <f>IFERROR(VLOOKUP(Table2[[#This Row],[Non Conformance]],'[2]New defect code '!$B$2:$C$129,2,0),0)</f>
        <v>3243</v>
      </c>
      <c r="V125" s="61">
        <v>70</v>
      </c>
      <c r="W125" s="61" t="str">
        <f>IFERROR(VLOOKUP(Table2[[#This Row],[Code4]],'[2]New Reason code'!$A$2:$D$77,2,0),0)</f>
        <v>Insert Wear Out</v>
      </c>
      <c r="X125" s="61" t="str">
        <f>IFERROR(VLOOKUP(Table2[[#This Row],[Reason]],'[2]New Reason code'!$B$2:$D$77,2,0),0)</f>
        <v>Line audit</v>
      </c>
      <c r="Y125" s="61" t="str">
        <f>IFERROR(VLOOKUP(Table2[[#This Row],[Rejection Identified at]],'[2]New Reason code'!$C$2:$D$77,2,0),0)</f>
        <v>Process Issue</v>
      </c>
    </row>
    <row r="126" spans="1:25" ht="20.25" customHeight="1">
      <c r="A126" s="60">
        <v>122</v>
      </c>
      <c r="B126" s="61">
        <v>11</v>
      </c>
      <c r="C126" s="61" t="str">
        <f>IFERROR(VLOOKUP(Table2[[#This Row],[Code]],'[2]New Machine sheet'!$A$1:$D$101,2,0),0)</f>
        <v>282-11</v>
      </c>
      <c r="D126" s="61" t="str">
        <f>IFERROR(VLOOKUP(Table2[[#This Row],[M/c No]],'[2]New Machine sheet'!$B$1:$D$101,2,0),0)</f>
        <v>Mazak</v>
      </c>
      <c r="E126" s="61" t="str">
        <f>IFERROR(VLOOKUP(Table2[[#This Row],[M/c Name]],'[2]New Machine sheet'!$C$1:$D$101,2,0),0)</f>
        <v>Turning</v>
      </c>
      <c r="F126" s="61">
        <v>73</v>
      </c>
      <c r="G126" s="61">
        <f>IFERROR(VLOOKUP(Table2[[#This Row],[Code2]],'[2]New Machine sheet'!$F$2:$I$64,2,),0)</f>
        <v>2473</v>
      </c>
      <c r="H126" s="61" t="str">
        <f>IFERROR(VLOOKUP(Table2[[#This Row],[Code2]],'[2]New Machine sheet'!$F$2:$I$64,3,0),0)</f>
        <v>RE P1</v>
      </c>
      <c r="I126" s="61" t="s">
        <v>129</v>
      </c>
      <c r="J126" s="61">
        <v>93</v>
      </c>
      <c r="K126" s="61" t="str">
        <f>IFERROR(VLOOKUP(Table2[[#This Row],[Code3]],'[2]New defect code '!$A$2:$D$129,2,0),0)</f>
        <v>Thickness Under size</v>
      </c>
      <c r="L126" s="61" t="s">
        <v>163</v>
      </c>
      <c r="M126" s="56">
        <v>46266</v>
      </c>
      <c r="N126" s="61"/>
      <c r="O126" s="61">
        <v>4</v>
      </c>
      <c r="P126" s="61"/>
      <c r="Q126" s="61"/>
      <c r="R126" s="61">
        <f>SUBTOTAL(9,Table2[[#This Row],[1st]:[FQC]])</f>
        <v>4</v>
      </c>
      <c r="S126" s="61">
        <f>IFERROR(VLOOKUP(Table2[[#This Row],[Part No.]],'[2]New Machine sheet'!$G$2:$I$90,3,0),0)</f>
        <v>110.76</v>
      </c>
      <c r="T126" s="61">
        <f>Table2[[#This Row],[cost per piece]]*Table2[[#This Row],[Total Rej. qty]]</f>
        <v>443.04</v>
      </c>
      <c r="U126" s="61">
        <f>IFERROR(VLOOKUP(Table2[[#This Row],[Non Conformance]],'[2]New defect code '!$B$2:$C$129,2,0),0)</f>
        <v>3258</v>
      </c>
      <c r="V126" s="61">
        <v>64</v>
      </c>
      <c r="W126" s="61" t="str">
        <f>IFERROR(VLOOKUP(Table2[[#This Row],[Code4]],'[2]New Reason code'!$A$2:$D$77,2,0),0)</f>
        <v>Wrong correction</v>
      </c>
      <c r="X126" s="61" t="str">
        <f>IFERROR(VLOOKUP(Table2[[#This Row],[Reason]],'[2]New Reason code'!$B$2:$D$77,2,0),0)</f>
        <v>Due to operator</v>
      </c>
      <c r="Y126" s="61" t="str">
        <f>IFERROR(VLOOKUP(Table2[[#This Row],[Rejection Identified at]],'[2]New Reason code'!$C$2:$D$77,2,0),0)</f>
        <v xml:space="preserve">infrastructure </v>
      </c>
    </row>
    <row r="127" spans="1:25" ht="20.25" customHeight="1">
      <c r="A127" s="60">
        <v>123</v>
      </c>
      <c r="B127" s="61">
        <v>47</v>
      </c>
      <c r="C127" s="61" t="str">
        <f>IFERROR(VLOOKUP(Table2[[#This Row],[Code]],'[2]New Machine sheet'!$A$1:$D$101,2,0),0)</f>
        <v>MURATEC-03</v>
      </c>
      <c r="D127" s="61" t="str">
        <f>IFERROR(VLOOKUP(Table2[[#This Row],[M/c No]],'[2]New Machine sheet'!$B$1:$D$101,2,0),0)</f>
        <v>MURATEC</v>
      </c>
      <c r="E127" s="61" t="str">
        <f>IFERROR(VLOOKUP(Table2[[#This Row],[M/c Name]],'[2]New Machine sheet'!$C$1:$D$101,2,0),0)</f>
        <v xml:space="preserve">turning </v>
      </c>
      <c r="F127" s="61">
        <v>127</v>
      </c>
      <c r="G127" s="61">
        <f>IFERROR(VLOOKUP(Table2[[#This Row],[Code2]],'[2]New Machine sheet'!$F$2:$I$64,2,),0)</f>
        <v>24127</v>
      </c>
      <c r="H127" s="61" t="str">
        <f>IFERROR(VLOOKUP(Table2[[#This Row],[Code2]],'[2]New Machine sheet'!$F$2:$I$64,3,0),0)</f>
        <v>RE J1</v>
      </c>
      <c r="I127" s="61" t="s">
        <v>146</v>
      </c>
      <c r="J127" s="61">
        <v>66</v>
      </c>
      <c r="K127" s="61" t="str">
        <f>IFERROR(VLOOKUP(Table2[[#This Row],[Code3]],'[2]New defect code '!$A$2:$D$129,2,0),0)</f>
        <v>OD Under Size</v>
      </c>
      <c r="L127" s="61" t="s">
        <v>163</v>
      </c>
      <c r="M127" s="56">
        <v>46266</v>
      </c>
      <c r="N127" s="61"/>
      <c r="O127" s="61">
        <v>2</v>
      </c>
      <c r="P127" s="61"/>
      <c r="Q127" s="61"/>
      <c r="R127" s="61">
        <f>SUBTOTAL(9,Table2[[#This Row],[1st]:[FQC]])</f>
        <v>2</v>
      </c>
      <c r="S127" s="61">
        <f>IFERROR(VLOOKUP(Table2[[#This Row],[Part No.]],'[2]New Machine sheet'!$G$2:$I$90,3,0),0)</f>
        <v>262.81200000000001</v>
      </c>
      <c r="T127" s="61">
        <f>Table2[[#This Row],[cost per piece]]*Table2[[#This Row],[Total Rej. qty]]</f>
        <v>525.62400000000002</v>
      </c>
      <c r="U127" s="61">
        <f>IFERROR(VLOOKUP(Table2[[#This Row],[Non Conformance]],'[2]New defect code '!$B$2:$C$129,2,0),0)</f>
        <v>3242</v>
      </c>
      <c r="V127" s="61">
        <v>45</v>
      </c>
      <c r="W127" s="61" t="str">
        <f>IFERROR(VLOOKUP(Table2[[#This Row],[Code4]],'[2]New Reason code'!$A$2:$D$77,2,0),0)</f>
        <v>Running m/c</v>
      </c>
      <c r="X127" s="61" t="str">
        <f>IFERROR(VLOOKUP(Table2[[#This Row],[Reason]],'[2]New Reason code'!$B$2:$D$77,2,0),0)</f>
        <v xml:space="preserve">Due to machine </v>
      </c>
      <c r="Y127" s="61" t="str">
        <f>IFERROR(VLOOKUP(Table2[[#This Row],[Rejection Identified at]],'[2]New Reason code'!$C$2:$D$77,2,0),0)</f>
        <v>process</v>
      </c>
    </row>
    <row r="128" spans="1:25" ht="20.25" customHeight="1">
      <c r="A128" s="50">
        <v>124</v>
      </c>
      <c r="B128" s="61">
        <v>9</v>
      </c>
      <c r="C128" s="61" t="str">
        <f>IFERROR(VLOOKUP(Table2[[#This Row],[Code]],'[2]New Machine sheet'!$A$1:$D$101,2,0),0)</f>
        <v>282-09</v>
      </c>
      <c r="D128" s="61" t="str">
        <f>IFERROR(VLOOKUP(Table2[[#This Row],[M/c No]],'[2]New Machine sheet'!$B$1:$D$101,2,0),0)</f>
        <v>Mazak</v>
      </c>
      <c r="E128" s="61" t="str">
        <f>IFERROR(VLOOKUP(Table2[[#This Row],[M/c Name]],'[2]New Machine sheet'!$C$1:$D$101,2,0),0)</f>
        <v>Turning</v>
      </c>
      <c r="F128" s="61">
        <v>125</v>
      </c>
      <c r="G128" s="61">
        <f>IFERROR(VLOOKUP(Table2[[#This Row],[Code2]],'[2]New Machine sheet'!$F$2:$I$64,2,),0)</f>
        <v>24125</v>
      </c>
      <c r="H128" s="61" t="str">
        <f>IFERROR(VLOOKUP(Table2[[#This Row],[Code2]],'[2]New Machine sheet'!$F$2:$I$64,3,0),0)</f>
        <v>RE J1</v>
      </c>
      <c r="I128" s="61"/>
      <c r="J128" s="61">
        <v>5</v>
      </c>
      <c r="K128" s="61" t="str">
        <f>IFERROR(VLOOKUP(Table2[[#This Row],[Code3]],'[2]New defect code '!$A$2:$D$129,2,0),0)</f>
        <v>Bore Over size</v>
      </c>
      <c r="L128" s="61" t="s">
        <v>163</v>
      </c>
      <c r="M128" s="56">
        <v>46266</v>
      </c>
      <c r="N128" s="61"/>
      <c r="O128" s="61">
        <v>2</v>
      </c>
      <c r="P128" s="61"/>
      <c r="Q128" s="61"/>
      <c r="R128" s="61">
        <f>SUBTOTAL(9,Table2[[#This Row],[1st]:[FQC]])</f>
        <v>2</v>
      </c>
      <c r="S128" s="61">
        <f>IFERROR(VLOOKUP(Table2[[#This Row],[Part No.]],'[2]New Machine sheet'!$G$2:$I$90,3,0),0)</f>
        <v>65.17</v>
      </c>
      <c r="T128" s="61">
        <f>Table2[[#This Row],[cost per piece]]*Table2[[#This Row],[Total Rej. qty]]</f>
        <v>130.34</v>
      </c>
      <c r="U128" s="61">
        <f>IFERROR(VLOOKUP(Table2[[#This Row],[Non Conformance]],'[2]New defect code '!$B$2:$C$129,2,0),0)</f>
        <v>3243</v>
      </c>
      <c r="V128" s="61">
        <v>18</v>
      </c>
      <c r="W128" s="61" t="str">
        <f>IFERROR(VLOOKUP(Table2[[#This Row],[Code4]],'[2]New Reason code'!$A$2:$D$77,2,0),0)</f>
        <v>During insert change</v>
      </c>
      <c r="X128" s="61" t="str">
        <f>IFERROR(VLOOKUP(Table2[[#This Row],[Reason]],'[2]New Reason code'!$B$2:$D$77,2,0),0)</f>
        <v xml:space="preserve">Due to Settup  </v>
      </c>
      <c r="Y128" s="61" t="str">
        <f>IFERROR(VLOOKUP(Table2[[#This Row],[Rejection Identified at]],'[2]New Reason code'!$C$2:$D$77,2,0),0)</f>
        <v>skill</v>
      </c>
    </row>
    <row r="129" spans="1:25" ht="20.25" customHeight="1">
      <c r="A129" s="60">
        <v>125</v>
      </c>
      <c r="B129" s="61">
        <v>6</v>
      </c>
      <c r="C129" s="61" t="str">
        <f>IFERROR(VLOOKUP(Table2[[#This Row],[Code]],'[2]New Machine sheet'!$A$1:$D$101,2,0),0)</f>
        <v>282-06</v>
      </c>
      <c r="D129" s="61" t="str">
        <f>IFERROR(VLOOKUP(Table2[[#This Row],[M/c No]],'[2]New Machine sheet'!$B$1:$D$101,2,0),0)</f>
        <v>Mazak</v>
      </c>
      <c r="E129" s="61" t="str">
        <f>IFERROR(VLOOKUP(Table2[[#This Row],[M/c Name]],'[2]New Machine sheet'!$C$1:$D$101,2,0),0)</f>
        <v>Turning</v>
      </c>
      <c r="F129" s="61">
        <v>178</v>
      </c>
      <c r="G129" s="61">
        <f>IFERROR(VLOOKUP(Table2[[#This Row],[Code2]],'[2]New Machine sheet'!$F$2:$I$64,2,),0)</f>
        <v>24178</v>
      </c>
      <c r="H129" s="61" t="str">
        <f>IFERROR(VLOOKUP(Table2[[#This Row],[Code2]],'[2]New Machine sheet'!$F$2:$I$64,3,0),0)</f>
        <v>RE J1</v>
      </c>
      <c r="I129" s="61" t="s">
        <v>151</v>
      </c>
      <c r="J129" s="61">
        <v>5</v>
      </c>
      <c r="K129" s="61" t="str">
        <f>IFERROR(VLOOKUP(Table2[[#This Row],[Code3]],'[2]New defect code '!$A$2:$D$129,2,0),0)</f>
        <v>Bore Over size</v>
      </c>
      <c r="L129" s="61" t="s">
        <v>163</v>
      </c>
      <c r="M129" s="56">
        <v>46266</v>
      </c>
      <c r="N129" s="61"/>
      <c r="O129" s="61">
        <v>5</v>
      </c>
      <c r="P129" s="61"/>
      <c r="Q129" s="61"/>
      <c r="R129" s="61">
        <f>SUBTOTAL(9,Table2[[#This Row],[1st]:[FQC]])</f>
        <v>5</v>
      </c>
      <c r="S129" s="61">
        <f>IFERROR(VLOOKUP(Table2[[#This Row],[Part No.]],'[2]New Machine sheet'!$G$2:$I$90,3,0),0)</f>
        <v>70.62</v>
      </c>
      <c r="T129" s="61">
        <f>Table2[[#This Row],[cost per piece]]*Table2[[#This Row],[Total Rej. qty]]</f>
        <v>353.1</v>
      </c>
      <c r="U129" s="61">
        <f>IFERROR(VLOOKUP(Table2[[#This Row],[Non Conformance]],'[2]New defect code '!$B$2:$C$129,2,0),0)</f>
        <v>3243</v>
      </c>
      <c r="V129" s="61">
        <v>70</v>
      </c>
      <c r="W129" s="61" t="str">
        <f>IFERROR(VLOOKUP(Table2[[#This Row],[Code4]],'[2]New Reason code'!$A$2:$D$77,2,0),0)</f>
        <v>Insert Wear Out</v>
      </c>
      <c r="X129" s="61" t="str">
        <f>IFERROR(VLOOKUP(Table2[[#This Row],[Reason]],'[2]New Reason code'!$B$2:$D$77,2,0),0)</f>
        <v>Line audit</v>
      </c>
      <c r="Y129" s="61" t="str">
        <f>IFERROR(VLOOKUP(Table2[[#This Row],[Rejection Identified at]],'[2]New Reason code'!$C$2:$D$77,2,0),0)</f>
        <v>Process Issue</v>
      </c>
    </row>
    <row r="130" spans="1:25" ht="20.25" customHeight="1">
      <c r="A130" s="60">
        <v>126</v>
      </c>
      <c r="B130" s="61">
        <v>47</v>
      </c>
      <c r="C130" s="61" t="str">
        <f>IFERROR(VLOOKUP(Table2[[#This Row],[Code]],'[2]New Machine sheet'!$A$1:$D$101,2,0),0)</f>
        <v>MURATEC-03</v>
      </c>
      <c r="D130" s="61" t="str">
        <f>IFERROR(VLOOKUP(Table2[[#This Row],[M/c No]],'[2]New Machine sheet'!$B$1:$D$101,2,0),0)</f>
        <v>MURATEC</v>
      </c>
      <c r="E130" s="61" t="str">
        <f>IFERROR(VLOOKUP(Table2[[#This Row],[M/c Name]],'[2]New Machine sheet'!$C$1:$D$101,2,0),0)</f>
        <v xml:space="preserve">turning </v>
      </c>
      <c r="F130" s="61">
        <v>127</v>
      </c>
      <c r="G130" s="61">
        <f>IFERROR(VLOOKUP(Table2[[#This Row],[Code2]],'[2]New Machine sheet'!$F$2:$I$64,2,),0)</f>
        <v>24127</v>
      </c>
      <c r="H130" s="61" t="str">
        <f>IFERROR(VLOOKUP(Table2[[#This Row],[Code2]],'[2]New Machine sheet'!$F$2:$I$64,3,0),0)</f>
        <v>RE J1</v>
      </c>
      <c r="I130" s="61" t="s">
        <v>170</v>
      </c>
      <c r="J130" s="61">
        <v>66</v>
      </c>
      <c r="K130" s="61" t="str">
        <f>IFERROR(VLOOKUP(Table2[[#This Row],[Code3]],'[2]New defect code '!$A$2:$D$129,2,0),0)</f>
        <v>OD Under Size</v>
      </c>
      <c r="L130" s="61" t="s">
        <v>163</v>
      </c>
      <c r="M130" s="56">
        <v>46266</v>
      </c>
      <c r="N130" s="61"/>
      <c r="O130" s="61">
        <v>7</v>
      </c>
      <c r="P130" s="61"/>
      <c r="Q130" s="61"/>
      <c r="R130" s="61">
        <f>SUBTOTAL(9,Table2[[#This Row],[1st]:[FQC]])</f>
        <v>7</v>
      </c>
      <c r="S130" s="61">
        <f>IFERROR(VLOOKUP(Table2[[#This Row],[Part No.]],'[2]New Machine sheet'!$G$2:$I$90,3,0),0)</f>
        <v>262.81200000000001</v>
      </c>
      <c r="T130" s="61">
        <f>Table2[[#This Row],[cost per piece]]*Table2[[#This Row],[Total Rej. qty]]</f>
        <v>1839.6840000000002</v>
      </c>
      <c r="U130" s="61">
        <f>IFERROR(VLOOKUP(Table2[[#This Row],[Non Conformance]],'[2]New defect code '!$B$2:$C$129,2,0),0)</f>
        <v>3242</v>
      </c>
      <c r="V130" s="61">
        <v>70</v>
      </c>
      <c r="W130" s="61" t="str">
        <f>IFERROR(VLOOKUP(Table2[[#This Row],[Code4]],'[2]New Reason code'!$A$2:$D$77,2,0),0)</f>
        <v>Insert Wear Out</v>
      </c>
      <c r="X130" s="61" t="str">
        <f>IFERROR(VLOOKUP(Table2[[#This Row],[Reason]],'[2]New Reason code'!$B$2:$D$77,2,0),0)</f>
        <v>Line audit</v>
      </c>
      <c r="Y130" s="61" t="str">
        <f>IFERROR(VLOOKUP(Table2[[#This Row],[Rejection Identified at]],'[2]New Reason code'!$C$2:$D$77,2,0),0)</f>
        <v>Process Issue</v>
      </c>
    </row>
    <row r="131" spans="1:25" ht="20.25" customHeight="1">
      <c r="A131" s="50">
        <v>127</v>
      </c>
      <c r="B131" s="61">
        <v>19</v>
      </c>
      <c r="C131" s="61" t="str">
        <f>IFERROR(VLOOKUP(Table2[[#This Row],[Code]],'[2]New Machine sheet'!$A$1:$D$101,2,0),0)</f>
        <v>282-19</v>
      </c>
      <c r="D131" s="61" t="str">
        <f>IFERROR(VLOOKUP(Table2[[#This Row],[M/c No]],'[2]New Machine sheet'!$B$1:$D$101,2,0),0)</f>
        <v>Mazak</v>
      </c>
      <c r="E131" s="61" t="str">
        <f>IFERROR(VLOOKUP(Table2[[#This Row],[M/c Name]],'[2]New Machine sheet'!$C$1:$D$101,2,0),0)</f>
        <v>Turning</v>
      </c>
      <c r="F131" s="61">
        <v>127</v>
      </c>
      <c r="G131" s="61">
        <f>IFERROR(VLOOKUP(Table2[[#This Row],[Code2]],'[2]New Machine sheet'!$F$2:$I$64,2,),0)</f>
        <v>24127</v>
      </c>
      <c r="H131" s="61" t="str">
        <f>IFERROR(VLOOKUP(Table2[[#This Row],[Code2]],'[2]New Machine sheet'!$F$2:$I$64,3,0),0)</f>
        <v>RE J1</v>
      </c>
      <c r="I131" s="61" t="s">
        <v>171</v>
      </c>
      <c r="J131" s="61">
        <v>93</v>
      </c>
      <c r="K131" s="61" t="str">
        <f>IFERROR(VLOOKUP(Table2[[#This Row],[Code3]],'[2]New defect code '!$A$2:$D$129,2,0),0)</f>
        <v>Thickness Under size</v>
      </c>
      <c r="L131" s="61" t="s">
        <v>163</v>
      </c>
      <c r="M131" s="56">
        <v>46266</v>
      </c>
      <c r="N131" s="61"/>
      <c r="O131" s="61">
        <v>4</v>
      </c>
      <c r="P131" s="61"/>
      <c r="Q131" s="61"/>
      <c r="R131" s="61">
        <f>SUBTOTAL(9,Table2[[#This Row],[1st]:[FQC]])</f>
        <v>4</v>
      </c>
      <c r="S131" s="61">
        <f>IFERROR(VLOOKUP(Table2[[#This Row],[Part No.]],'[2]New Machine sheet'!$G$2:$I$90,3,0),0)</f>
        <v>262.81200000000001</v>
      </c>
      <c r="T131" s="61">
        <f>Table2[[#This Row],[cost per piece]]*Table2[[#This Row],[Total Rej. qty]]</f>
        <v>1051.248</v>
      </c>
      <c r="U131" s="61">
        <f>IFERROR(VLOOKUP(Table2[[#This Row],[Non Conformance]],'[2]New defect code '!$B$2:$C$129,2,0),0)</f>
        <v>3258</v>
      </c>
      <c r="V131" s="61">
        <v>19</v>
      </c>
      <c r="W131" s="61" t="str">
        <f>IFERROR(VLOOKUP(Table2[[#This Row],[Code4]],'[2]New Reason code'!$A$2:$D$77,2,0),0)</f>
        <v>During Rework time</v>
      </c>
      <c r="X131" s="61" t="str">
        <f>IFERROR(VLOOKUP(Table2[[#This Row],[Reason]],'[2]New Reason code'!$B$2:$D$77,2,0),0)</f>
        <v>Due to operator</v>
      </c>
      <c r="Y131" s="61" t="str">
        <f>IFERROR(VLOOKUP(Table2[[#This Row],[Rejection Identified at]],'[2]New Reason code'!$C$2:$D$77,2,0),0)</f>
        <v xml:space="preserve">infrastructure </v>
      </c>
    </row>
    <row r="132" spans="1:25" ht="20.25" customHeight="1">
      <c r="A132" s="60">
        <v>128</v>
      </c>
      <c r="B132" s="61">
        <v>19</v>
      </c>
      <c r="C132" s="61" t="str">
        <f>IFERROR(VLOOKUP(Table2[[#This Row],[Code]],'[2]New Machine sheet'!$A$1:$D$101,2,0),0)</f>
        <v>282-19</v>
      </c>
      <c r="D132" s="61" t="str">
        <f>IFERROR(VLOOKUP(Table2[[#This Row],[M/c No]],'[2]New Machine sheet'!$B$1:$D$101,2,0),0)</f>
        <v>Mazak</v>
      </c>
      <c r="E132" s="61" t="str">
        <f>IFERROR(VLOOKUP(Table2[[#This Row],[M/c Name]],'[2]New Machine sheet'!$C$1:$D$101,2,0),0)</f>
        <v>Turning</v>
      </c>
      <c r="F132" s="61">
        <v>187</v>
      </c>
      <c r="G132" s="61">
        <f>IFERROR(VLOOKUP(Table2[[#This Row],[Code2]],'[2]New Machine sheet'!$F$2:$I$64,2,),0)</f>
        <v>24187</v>
      </c>
      <c r="H132" s="61" t="str">
        <f>IFERROR(VLOOKUP(Table2[[#This Row],[Code2]],'[2]New Machine sheet'!$F$2:$I$64,3,0),0)</f>
        <v>RE Bush</v>
      </c>
      <c r="I132" s="61" t="s">
        <v>171</v>
      </c>
      <c r="J132" s="61">
        <v>21</v>
      </c>
      <c r="K132" s="61" t="str">
        <f>IFERROR(VLOOKUP(Table2[[#This Row],[Code3]],'[2]New defect code '!$A$2:$D$129,2,0),0)</f>
        <v>Bush Reject of defective part</v>
      </c>
      <c r="L132" s="61" t="s">
        <v>163</v>
      </c>
      <c r="M132" s="56">
        <v>46266</v>
      </c>
      <c r="N132" s="61"/>
      <c r="O132" s="61">
        <v>11</v>
      </c>
      <c r="P132" s="61"/>
      <c r="Q132" s="61"/>
      <c r="R132" s="61">
        <f>SUBTOTAL(9,Table2[[#This Row],[1st]:[FQC]])</f>
        <v>11</v>
      </c>
      <c r="S132" s="61">
        <f>IFERROR(VLOOKUP(Table2[[#This Row],[Part No.]],'[2]New Machine sheet'!$G$2:$I$90,3,0),0)</f>
        <v>21.77</v>
      </c>
      <c r="T132" s="61">
        <f>Table2[[#This Row],[cost per piece]]*Table2[[#This Row],[Total Rej. qty]]</f>
        <v>239.47</v>
      </c>
      <c r="U132" s="61">
        <f>IFERROR(VLOOKUP(Table2[[#This Row],[Non Conformance]],'[2]New defect code '!$B$2:$C$129,2,0),0)</f>
        <v>0</v>
      </c>
      <c r="V132" s="61">
        <v>6</v>
      </c>
      <c r="W132" s="61" t="str">
        <f>IFERROR(VLOOKUP(Table2[[#This Row],[Code4]],'[2]New Reason code'!$A$2:$D$77,2,0),0)</f>
        <v>bush will not use again</v>
      </c>
      <c r="X132" s="61" t="str">
        <f>IFERROR(VLOOKUP(Table2[[#This Row],[Reason]],'[2]New Reason code'!$B$2:$D$77,2,0),0)</f>
        <v>Prod Declared</v>
      </c>
      <c r="Y132" s="61" t="str">
        <f>IFERROR(VLOOKUP(Table2[[#This Row],[Rejection Identified at]],'[2]New Reason code'!$C$2:$D$77,2,0),0)</f>
        <v>Process Issue</v>
      </c>
    </row>
    <row r="133" spans="1:25" ht="20.25" customHeight="1">
      <c r="A133" s="60">
        <v>129</v>
      </c>
      <c r="B133" s="61">
        <v>40</v>
      </c>
      <c r="C133" s="61" t="str">
        <f>IFERROR(VLOOKUP(Table2[[#This Row],[Code]],'[2]New Machine sheet'!$A$1:$D$101,2,0),0)</f>
        <v>ACE-20</v>
      </c>
      <c r="D133" s="61" t="str">
        <f>IFERROR(VLOOKUP(Table2[[#This Row],[M/c No]],'[2]New Machine sheet'!$B$1:$D$101,2,0),0)</f>
        <v>Micromatic</v>
      </c>
      <c r="E133" s="61" t="str">
        <f>IFERROR(VLOOKUP(Table2[[#This Row],[M/c Name]],'[2]New Machine sheet'!$C$1:$D$101,2,0),0)</f>
        <v>Turning</v>
      </c>
      <c r="F133" s="61">
        <v>122</v>
      </c>
      <c r="G133" s="61">
        <f>IFERROR(VLOOKUP(Table2[[#This Row],[Code2]],'[2]New Machine sheet'!$F$2:$I$64,2,),0)</f>
        <v>24122</v>
      </c>
      <c r="H133" s="61" t="str">
        <f>IFERROR(VLOOKUP(Table2[[#This Row],[Code2]],'[2]New Machine sheet'!$F$2:$I$64,3,0),0)</f>
        <v>RE J1</v>
      </c>
      <c r="I133" s="61" t="s">
        <v>169</v>
      </c>
      <c r="J133" s="61">
        <v>66</v>
      </c>
      <c r="K133" s="61" t="str">
        <f>IFERROR(VLOOKUP(Table2[[#This Row],[Code3]],'[2]New defect code '!$A$2:$D$129,2,0),0)</f>
        <v>OD Under Size</v>
      </c>
      <c r="L133" s="61" t="s">
        <v>163</v>
      </c>
      <c r="M133" s="56">
        <v>46266</v>
      </c>
      <c r="N133" s="61"/>
      <c r="O133" s="61"/>
      <c r="P133" s="61">
        <v>1</v>
      </c>
      <c r="Q133" s="61"/>
      <c r="R133" s="61">
        <f>SUBTOTAL(9,Table2[[#This Row],[1st]:[FQC]])</f>
        <v>1</v>
      </c>
      <c r="S133" s="61">
        <f>IFERROR(VLOOKUP(Table2[[#This Row],[Part No.]],'[2]New Machine sheet'!$G$2:$I$90,3,0),0)</f>
        <v>335.39977528089889</v>
      </c>
      <c r="T133" s="61">
        <f>Table2[[#This Row],[cost per piece]]*Table2[[#This Row],[Total Rej. qty]]</f>
        <v>335.39977528089889</v>
      </c>
      <c r="U133" s="61">
        <f>IFERROR(VLOOKUP(Table2[[#This Row],[Non Conformance]],'[2]New defect code '!$B$2:$C$129,2,0),0)</f>
        <v>3242</v>
      </c>
      <c r="V133" s="61">
        <v>18</v>
      </c>
      <c r="W133" s="61" t="str">
        <f>IFERROR(VLOOKUP(Table2[[#This Row],[Code4]],'[2]New Reason code'!$A$2:$D$77,2,0),0)</f>
        <v>During insert change</v>
      </c>
      <c r="X133" s="61" t="str">
        <f>IFERROR(VLOOKUP(Table2[[#This Row],[Reason]],'[2]New Reason code'!$B$2:$D$77,2,0),0)</f>
        <v xml:space="preserve">Due to Settup  </v>
      </c>
      <c r="Y133" s="61" t="str">
        <f>IFERROR(VLOOKUP(Table2[[#This Row],[Rejection Identified at]],'[2]New Reason code'!$C$2:$D$77,2,0),0)</f>
        <v>skill</v>
      </c>
    </row>
    <row r="134" spans="1:25" ht="20.25" customHeight="1">
      <c r="A134" s="50">
        <v>130</v>
      </c>
      <c r="B134" s="61">
        <v>62</v>
      </c>
      <c r="C134" s="61" t="str">
        <f>IFERROR(VLOOKUP(Table2[[#This Row],[Code]],'[2]New Machine sheet'!$A$1:$D$101,2,0),0)</f>
        <v>FQC</v>
      </c>
      <c r="D134" s="61" t="str">
        <f>IFERROR(VLOOKUP(Table2[[#This Row],[M/c No]],'[2]New Machine sheet'!$B$1:$D$101,2,0),0)</f>
        <v>FQC</v>
      </c>
      <c r="E134" s="61" t="str">
        <f>IFERROR(VLOOKUP(Table2[[#This Row],[M/c Name]],'[2]New Machine sheet'!$C$1:$D$101,2,0),0)</f>
        <v>fqc</v>
      </c>
      <c r="F134" s="61">
        <v>127</v>
      </c>
      <c r="G134" s="61">
        <f>IFERROR(VLOOKUP(Table2[[#This Row],[Code2]],'[2]New Machine sheet'!$F$2:$I$64,2,),0)</f>
        <v>24127</v>
      </c>
      <c r="H134" s="61" t="str">
        <f>IFERROR(VLOOKUP(Table2[[#This Row],[Code2]],'[2]New Machine sheet'!$F$2:$I$64,3,0),0)</f>
        <v>RE J1</v>
      </c>
      <c r="I134" s="61"/>
      <c r="J134" s="61">
        <v>66</v>
      </c>
      <c r="K134" s="61" t="str">
        <f>IFERROR(VLOOKUP(Table2[[#This Row],[Code3]],'[2]New defect code '!$A$2:$D$129,2,0),0)</f>
        <v>OD Under Size</v>
      </c>
      <c r="L134" s="61" t="s">
        <v>163</v>
      </c>
      <c r="M134" s="56">
        <v>46266</v>
      </c>
      <c r="N134" s="61"/>
      <c r="O134" s="61"/>
      <c r="P134" s="61"/>
      <c r="Q134" s="61">
        <v>9</v>
      </c>
      <c r="R134" s="61">
        <f>SUBTOTAL(9,Table2[[#This Row],[1st]:[FQC]])</f>
        <v>9</v>
      </c>
      <c r="S134" s="61">
        <f>IFERROR(VLOOKUP(Table2[[#This Row],[Part No.]],'[2]New Machine sheet'!$G$2:$I$90,3,0),0)</f>
        <v>262.81200000000001</v>
      </c>
      <c r="T134" s="61">
        <f>Table2[[#This Row],[cost per piece]]*Table2[[#This Row],[Total Rej. qty]]</f>
        <v>2365.308</v>
      </c>
      <c r="U134" s="61">
        <f>IFERROR(VLOOKUP(Table2[[#This Row],[Non Conformance]],'[2]New defect code '!$B$2:$C$129,2,0),0)</f>
        <v>3242</v>
      </c>
      <c r="V134" s="61">
        <v>24</v>
      </c>
      <c r="W134" s="61" t="str">
        <f>IFERROR(VLOOKUP(Table2[[#This Row],[Code4]],'[2]New Reason code'!$A$2:$D$77,2,0),0)</f>
        <v>FQC return</v>
      </c>
      <c r="X134" s="61" t="str">
        <f>IFERROR(VLOOKUP(Table2[[#This Row],[Reason]],'[2]New Reason code'!$B$2:$D$77,2,0),0)</f>
        <v>Due to operator</v>
      </c>
      <c r="Y134" s="61" t="str">
        <f>IFERROR(VLOOKUP(Table2[[#This Row],[Rejection Identified at]],'[2]New Reason code'!$C$2:$D$77,2,0),0)</f>
        <v xml:space="preserve">infrastructure </v>
      </c>
    </row>
    <row r="135" spans="1:25" ht="20.25" customHeight="1">
      <c r="A135" s="60">
        <v>131</v>
      </c>
      <c r="B135" s="61">
        <v>45</v>
      </c>
      <c r="C135" s="61" t="str">
        <f>IFERROR(VLOOKUP(Table2[[#This Row],[Code]],'[2]New Machine sheet'!$A$1:$D$101,2,0),0)</f>
        <v>MURATEC-01</v>
      </c>
      <c r="D135" s="61" t="str">
        <f>IFERROR(VLOOKUP(Table2[[#This Row],[M/c No]],'[2]New Machine sheet'!$B$1:$D$101,2,0),0)</f>
        <v>MURATEC</v>
      </c>
      <c r="E135" s="61" t="str">
        <f>IFERROR(VLOOKUP(Table2[[#This Row],[M/c Name]],'[2]New Machine sheet'!$C$1:$D$101,2,0),0)</f>
        <v xml:space="preserve">turning </v>
      </c>
      <c r="F135" s="61">
        <v>122</v>
      </c>
      <c r="G135" s="61">
        <f>IFERROR(VLOOKUP(Table2[[#This Row],[Code2]],'[2]New Machine sheet'!$F$2:$I$64,2,),0)</f>
        <v>24122</v>
      </c>
      <c r="H135" s="61" t="str">
        <f>IFERROR(VLOOKUP(Table2[[#This Row],[Code2]],'[2]New Machine sheet'!$F$2:$I$64,3,0),0)</f>
        <v>RE J1</v>
      </c>
      <c r="I135" s="61" t="s">
        <v>141</v>
      </c>
      <c r="J135" s="61">
        <v>93</v>
      </c>
      <c r="K135" s="61" t="str">
        <f>IFERROR(VLOOKUP(Table2[[#This Row],[Code3]],'[2]New defect code '!$A$2:$D$129,2,0),0)</f>
        <v>Thickness Under size</v>
      </c>
      <c r="L135" s="61" t="s">
        <v>163</v>
      </c>
      <c r="M135" s="56">
        <v>46266</v>
      </c>
      <c r="N135" s="61"/>
      <c r="O135" s="61"/>
      <c r="P135" s="61">
        <v>1</v>
      </c>
      <c r="Q135" s="61"/>
      <c r="R135" s="61">
        <f>SUBTOTAL(9,Table2[[#This Row],[1st]:[FQC]])</f>
        <v>1</v>
      </c>
      <c r="S135" s="61">
        <f>IFERROR(VLOOKUP(Table2[[#This Row],[Part No.]],'[2]New Machine sheet'!$G$2:$I$90,3,0),0)</f>
        <v>335.39977528089889</v>
      </c>
      <c r="T135" s="61">
        <f>Table2[[#This Row],[cost per piece]]*Table2[[#This Row],[Total Rej. qty]]</f>
        <v>335.39977528089889</v>
      </c>
      <c r="U135" s="61">
        <f>IFERROR(VLOOKUP(Table2[[#This Row],[Non Conformance]],'[2]New defect code '!$B$2:$C$129,2,0),0)</f>
        <v>3258</v>
      </c>
      <c r="V135" s="61">
        <v>18</v>
      </c>
      <c r="W135" s="61" t="str">
        <f>IFERROR(VLOOKUP(Table2[[#This Row],[Code4]],'[2]New Reason code'!$A$2:$D$77,2,0),0)</f>
        <v>During insert change</v>
      </c>
      <c r="X135" s="61" t="str">
        <f>IFERROR(VLOOKUP(Table2[[#This Row],[Reason]],'[2]New Reason code'!$B$2:$D$77,2,0),0)</f>
        <v xml:space="preserve">Due to Settup  </v>
      </c>
      <c r="Y135" s="61" t="str">
        <f>IFERROR(VLOOKUP(Table2[[#This Row],[Rejection Identified at]],'[2]New Reason code'!$C$2:$D$77,2,0),0)</f>
        <v>skill</v>
      </c>
    </row>
    <row r="136" spans="1:25" ht="20.25" customHeight="1">
      <c r="A136" s="60">
        <v>132</v>
      </c>
      <c r="B136" s="61">
        <v>22</v>
      </c>
      <c r="C136" s="61" t="str">
        <f>IFERROR(VLOOKUP(Table2[[#This Row],[Code]],'[2]New Machine sheet'!$A$1:$D$101,2,0),0)</f>
        <v>ACE-02</v>
      </c>
      <c r="D136" s="61" t="str">
        <f>IFERROR(VLOOKUP(Table2[[#This Row],[M/c No]],'[2]New Machine sheet'!$B$1:$D$101,2,0),0)</f>
        <v>Micromatic</v>
      </c>
      <c r="E136" s="61" t="str">
        <f>IFERROR(VLOOKUP(Table2[[#This Row],[M/c Name]],'[2]New Machine sheet'!$C$1:$D$101,2,0),0)</f>
        <v>Turning</v>
      </c>
      <c r="F136" s="61">
        <v>115</v>
      </c>
      <c r="G136" s="61">
        <f>IFERROR(VLOOKUP(Table2[[#This Row],[Code2]],'[2]New Machine sheet'!$F$2:$I$64,2,),0)</f>
        <v>24115</v>
      </c>
      <c r="H136" s="61" t="str">
        <f>IFERROR(VLOOKUP(Table2[[#This Row],[Code2]],'[2]New Machine sheet'!$F$2:$I$64,3,0),0)</f>
        <v>RE J1</v>
      </c>
      <c r="I136" s="61" t="s">
        <v>143</v>
      </c>
      <c r="J136" s="61">
        <v>5</v>
      </c>
      <c r="K136" s="61" t="str">
        <f>IFERROR(VLOOKUP(Table2[[#This Row],[Code3]],'[2]New defect code '!$A$2:$D$129,2,0),0)</f>
        <v>Bore Over size</v>
      </c>
      <c r="L136" s="61" t="s">
        <v>163</v>
      </c>
      <c r="M136" s="56">
        <v>46266</v>
      </c>
      <c r="N136" s="61"/>
      <c r="O136" s="61"/>
      <c r="P136" s="61">
        <v>1</v>
      </c>
      <c r="Q136" s="61"/>
      <c r="R136" s="61">
        <f>SUBTOTAL(9,Table2[[#This Row],[1st]:[FQC]])</f>
        <v>1</v>
      </c>
      <c r="S136" s="61">
        <f>IFERROR(VLOOKUP(Table2[[#This Row],[Part No.]],'[2]New Machine sheet'!$G$2:$I$90,3,0),0)</f>
        <v>66.900000000000006</v>
      </c>
      <c r="T136" s="61">
        <f>Table2[[#This Row],[cost per piece]]*Table2[[#This Row],[Total Rej. qty]]</f>
        <v>66.900000000000006</v>
      </c>
      <c r="U136" s="61">
        <f>IFERROR(VLOOKUP(Table2[[#This Row],[Non Conformance]],'[2]New defect code '!$B$2:$C$129,2,0),0)</f>
        <v>3243</v>
      </c>
      <c r="V136" s="61">
        <v>12</v>
      </c>
      <c r="W136" s="61" t="str">
        <f>IFERROR(VLOOKUP(Table2[[#This Row],[Code4]],'[2]New Reason code'!$A$2:$D$77,2,0),0)</f>
        <v>Double loading</v>
      </c>
      <c r="X136" s="61" t="str">
        <f>IFERROR(VLOOKUP(Table2[[#This Row],[Reason]],'[2]New Reason code'!$B$2:$D$77,2,0),0)</f>
        <v>Due to operator</v>
      </c>
      <c r="Y136" s="61" t="str">
        <f>IFERROR(VLOOKUP(Table2[[#This Row],[Rejection Identified at]],'[2]New Reason code'!$C$2:$D$77,2,0),0)</f>
        <v xml:space="preserve">infrastructure </v>
      </c>
    </row>
    <row r="137" spans="1:25" ht="20.25" customHeight="1">
      <c r="A137" s="50">
        <v>133</v>
      </c>
      <c r="B137" s="61">
        <v>10</v>
      </c>
      <c r="C137" s="61" t="str">
        <f>IFERROR(VLOOKUP(Table2[[#This Row],[Code]],'[2]New Machine sheet'!$A$1:$D$101,2,0),0)</f>
        <v>282-10</v>
      </c>
      <c r="D137" s="61" t="str">
        <f>IFERROR(VLOOKUP(Table2[[#This Row],[M/c No]],'[2]New Machine sheet'!$B$1:$D$101,2,0),0)</f>
        <v>Mazak</v>
      </c>
      <c r="E137" s="61" t="str">
        <f>IFERROR(VLOOKUP(Table2[[#This Row],[M/c Name]],'[2]New Machine sheet'!$C$1:$D$101,2,0),0)</f>
        <v>Turning</v>
      </c>
      <c r="F137" s="61">
        <v>155</v>
      </c>
      <c r="G137" s="61">
        <f>IFERROR(VLOOKUP(Table2[[#This Row],[Code2]],'[2]New Machine sheet'!$F$2:$I$64,2,),0)</f>
        <v>24155</v>
      </c>
      <c r="H137" s="61" t="str">
        <f>IFERROR(VLOOKUP(Table2[[#This Row],[Code2]],'[2]New Machine sheet'!$F$2:$I$64,3,0),0)</f>
        <v>RE J1</v>
      </c>
      <c r="I137" s="61" t="s">
        <v>172</v>
      </c>
      <c r="J137" s="61">
        <v>5</v>
      </c>
      <c r="K137" s="61" t="str">
        <f>IFERROR(VLOOKUP(Table2[[#This Row],[Code3]],'[2]New defect code '!$A$2:$D$129,2,0),0)</f>
        <v>Bore Over size</v>
      </c>
      <c r="L137" s="61" t="s">
        <v>163</v>
      </c>
      <c r="M137" s="56">
        <v>46266</v>
      </c>
      <c r="N137" s="61"/>
      <c r="O137" s="61"/>
      <c r="P137" s="61">
        <v>10</v>
      </c>
      <c r="Q137" s="61"/>
      <c r="R137" s="61">
        <f>SUBTOTAL(9,Table2[[#This Row],[1st]:[FQC]])</f>
        <v>10</v>
      </c>
      <c r="S137" s="61">
        <f>IFERROR(VLOOKUP(Table2[[#This Row],[Part No.]],'[2]New Machine sheet'!$G$2:$I$90,3,0),0)</f>
        <v>107.67</v>
      </c>
      <c r="T137" s="61">
        <f>Table2[[#This Row],[cost per piece]]*Table2[[#This Row],[Total Rej. qty]]</f>
        <v>1076.7</v>
      </c>
      <c r="U137" s="61">
        <f>IFERROR(VLOOKUP(Table2[[#This Row],[Non Conformance]],'[2]New defect code '!$B$2:$C$129,2,0),0)</f>
        <v>3243</v>
      </c>
      <c r="V137" s="61">
        <v>19</v>
      </c>
      <c r="W137" s="61" t="str">
        <f>IFERROR(VLOOKUP(Table2[[#This Row],[Code4]],'[2]New Reason code'!$A$2:$D$77,2,0),0)</f>
        <v>During Rework time</v>
      </c>
      <c r="X137" s="61" t="str">
        <f>IFERROR(VLOOKUP(Table2[[#This Row],[Reason]],'[2]New Reason code'!$B$2:$D$77,2,0),0)</f>
        <v>Due to operator</v>
      </c>
      <c r="Y137" s="61" t="str">
        <f>IFERROR(VLOOKUP(Table2[[#This Row],[Rejection Identified at]],'[2]New Reason code'!$C$2:$D$77,2,0),0)</f>
        <v xml:space="preserve">infrastructure </v>
      </c>
    </row>
    <row r="138" spans="1:25" ht="20.25" customHeight="1">
      <c r="A138" s="60">
        <v>134</v>
      </c>
      <c r="B138" s="61"/>
      <c r="C138" s="61">
        <f>IFERROR(VLOOKUP(Table2[[#This Row],[Code]],'[2]New Machine sheet'!$A$1:$D$101,2,0),0)</f>
        <v>0</v>
      </c>
      <c r="D138" s="61">
        <f>IFERROR(VLOOKUP(Table2[[#This Row],[M/c No]],'[2]New Machine sheet'!$B$1:$D$101,2,0),0)</f>
        <v>0</v>
      </c>
      <c r="E138" s="61">
        <f>IFERROR(VLOOKUP(Table2[[#This Row],[M/c Name]],'[2]New Machine sheet'!$C$1:$D$101,2,0),0)</f>
        <v>0</v>
      </c>
      <c r="F138" s="61">
        <v>32</v>
      </c>
      <c r="G138" s="61">
        <f>IFERROR(VLOOKUP(Table2[[#This Row],[Code2]],'[2]New Machine sheet'!$F$2:$I$64,2,),0)</f>
        <v>2432</v>
      </c>
      <c r="H138" s="61" t="str">
        <f>IFERROR(VLOOKUP(Table2[[#This Row],[Code2]],'[2]New Machine sheet'!$F$2:$I$64,3,0),0)</f>
        <v>RE P1</v>
      </c>
      <c r="I138" s="61"/>
      <c r="J138" s="61">
        <v>80</v>
      </c>
      <c r="K138" s="61" t="str">
        <f>IFERROR(VLOOKUP(Table2[[#This Row],[Code3]],'[2]New defect code '!$A$2:$D$129,2,0),0)</f>
        <v xml:space="preserve">Rust </v>
      </c>
      <c r="L138" s="61" t="s">
        <v>163</v>
      </c>
      <c r="M138" s="56">
        <v>46266</v>
      </c>
      <c r="N138" s="61"/>
      <c r="O138" s="61"/>
      <c r="P138" s="61">
        <v>3</v>
      </c>
      <c r="Q138" s="61"/>
      <c r="R138" s="61">
        <f>SUBTOTAL(9,Table2[[#This Row],[1st]:[FQC]])</f>
        <v>3</v>
      </c>
      <c r="S138" s="61">
        <f>IFERROR(VLOOKUP(Table2[[#This Row],[Part No.]],'[2]New Machine sheet'!$G$2:$I$90,3,0),0)</f>
        <v>168.54</v>
      </c>
      <c r="T138" s="61">
        <f>Table2[[#This Row],[cost per piece]]*Table2[[#This Row],[Total Rej. qty]]</f>
        <v>505.62</v>
      </c>
      <c r="U138" s="61">
        <f>IFERROR(VLOOKUP(Table2[[#This Row],[Non Conformance]],'[2]New defect code '!$B$2:$C$129,2,0),0)</f>
        <v>0</v>
      </c>
      <c r="V138" s="61">
        <v>15</v>
      </c>
      <c r="W138" s="61" t="str">
        <f>IFERROR(VLOOKUP(Table2[[#This Row],[Code4]],'[2]New Reason code'!$A$2:$D$77,2,0),0)</f>
        <v>During ACMA (5S) time</v>
      </c>
      <c r="X138" s="61" t="str">
        <f>IFERROR(VLOOKUP(Table2[[#This Row],[Reason]],'[2]New Reason code'!$B$2:$D$77,2,0),0)</f>
        <v>Prod Declared</v>
      </c>
      <c r="Y138" s="61" t="str">
        <f>IFERROR(VLOOKUP(Table2[[#This Row],[Rejection Identified at]],'[2]New Reason code'!$C$2:$D$77,2,0),0)</f>
        <v>Process Issue</v>
      </c>
    </row>
    <row r="139" spans="1:25" ht="20.25" customHeight="1">
      <c r="A139" s="60">
        <v>135</v>
      </c>
      <c r="B139" s="61">
        <v>18</v>
      </c>
      <c r="C139" s="61" t="str">
        <f>IFERROR(VLOOKUP(Table2[[#This Row],[Code]],'[2]New Machine sheet'!$A$1:$D$101,2,0),0)</f>
        <v>282-18</v>
      </c>
      <c r="D139" s="61" t="str">
        <f>IFERROR(VLOOKUP(Table2[[#This Row],[M/c No]],'[2]New Machine sheet'!$B$1:$D$101,2,0),0)</f>
        <v>Mazak</v>
      </c>
      <c r="E139" s="61" t="str">
        <f>IFERROR(VLOOKUP(Table2[[#This Row],[M/c Name]],'[2]New Machine sheet'!$C$1:$D$101,2,0),0)</f>
        <v>Turning</v>
      </c>
      <c r="F139" s="61">
        <v>178</v>
      </c>
      <c r="G139" s="61">
        <f>IFERROR(VLOOKUP(Table2[[#This Row],[Code2]],'[2]New Machine sheet'!$F$2:$I$64,2,),0)</f>
        <v>24178</v>
      </c>
      <c r="H139" s="61" t="str">
        <f>IFERROR(VLOOKUP(Table2[[#This Row],[Code2]],'[2]New Machine sheet'!$F$2:$I$64,3,0),0)</f>
        <v>RE J1</v>
      </c>
      <c r="I139" s="61"/>
      <c r="J139" s="61">
        <v>5</v>
      </c>
      <c r="K139" s="61" t="str">
        <f>IFERROR(VLOOKUP(Table2[[#This Row],[Code3]],'[2]New defect code '!$A$2:$D$129,2,0),0)</f>
        <v>Bore Over size</v>
      </c>
      <c r="L139" s="61" t="s">
        <v>163</v>
      </c>
      <c r="M139" s="56">
        <v>46266</v>
      </c>
      <c r="N139" s="61"/>
      <c r="O139" s="61"/>
      <c r="P139" s="61">
        <v>9</v>
      </c>
      <c r="Q139" s="61"/>
      <c r="R139" s="61">
        <f>SUBTOTAL(9,Table2[[#This Row],[1st]:[FQC]])</f>
        <v>9</v>
      </c>
      <c r="S139" s="61">
        <f>IFERROR(VLOOKUP(Table2[[#This Row],[Part No.]],'[2]New Machine sheet'!$G$2:$I$90,3,0),0)</f>
        <v>70.62</v>
      </c>
      <c r="T139" s="61">
        <f>Table2[[#This Row],[cost per piece]]*Table2[[#This Row],[Total Rej. qty]]</f>
        <v>635.58000000000004</v>
      </c>
      <c r="U139" s="61">
        <f>IFERROR(VLOOKUP(Table2[[#This Row],[Non Conformance]],'[2]New defect code '!$B$2:$C$129,2,0),0)</f>
        <v>3243</v>
      </c>
      <c r="V139" s="61">
        <v>2</v>
      </c>
      <c r="W139" s="61" t="str">
        <f>IFERROR(VLOOKUP(Table2[[#This Row],[Code4]],'[2]New Reason code'!$A$2:$D$77,2,0),0)</f>
        <v>APG unit disturb</v>
      </c>
      <c r="X139" s="61" t="str">
        <f>IFERROR(VLOOKUP(Table2[[#This Row],[Reason]],'[2]New Reason code'!$B$2:$D$77,2,0),0)</f>
        <v>Line audit</v>
      </c>
      <c r="Y139" s="61" t="str">
        <f>IFERROR(VLOOKUP(Table2[[#This Row],[Rejection Identified at]],'[2]New Reason code'!$C$2:$D$77,2,0),0)</f>
        <v>Process Issue</v>
      </c>
    </row>
    <row r="140" spans="1:25" ht="20.25" customHeight="1">
      <c r="A140" s="50">
        <v>136</v>
      </c>
      <c r="B140" s="61">
        <v>18</v>
      </c>
      <c r="C140" s="61" t="str">
        <f>IFERROR(VLOOKUP(Table2[[#This Row],[Code]],'[2]New Machine sheet'!$A$1:$D$101,2,0),0)</f>
        <v>282-18</v>
      </c>
      <c r="D140" s="61" t="str">
        <f>IFERROR(VLOOKUP(Table2[[#This Row],[M/c No]],'[2]New Machine sheet'!$B$1:$D$101,2,0),0)</f>
        <v>Mazak</v>
      </c>
      <c r="E140" s="61" t="str">
        <f>IFERROR(VLOOKUP(Table2[[#This Row],[M/c Name]],'[2]New Machine sheet'!$C$1:$D$101,2,0),0)</f>
        <v>Turning</v>
      </c>
      <c r="F140" s="61">
        <v>178</v>
      </c>
      <c r="G140" s="61">
        <f>IFERROR(VLOOKUP(Table2[[#This Row],[Code2]],'[2]New Machine sheet'!$F$2:$I$64,2,),0)</f>
        <v>24178</v>
      </c>
      <c r="H140" s="61" t="str">
        <f>IFERROR(VLOOKUP(Table2[[#This Row],[Code2]],'[2]New Machine sheet'!$F$2:$I$64,3,0),0)</f>
        <v>RE J1</v>
      </c>
      <c r="I140" s="61"/>
      <c r="J140" s="61">
        <v>5</v>
      </c>
      <c r="K140" s="61" t="str">
        <f>IFERROR(VLOOKUP(Table2[[#This Row],[Code3]],'[2]New defect code '!$A$2:$D$129,2,0),0)</f>
        <v>Bore Over size</v>
      </c>
      <c r="L140" s="61" t="s">
        <v>163</v>
      </c>
      <c r="M140" s="56">
        <v>46266</v>
      </c>
      <c r="N140" s="61"/>
      <c r="O140" s="61"/>
      <c r="P140" s="61">
        <v>6</v>
      </c>
      <c r="Q140" s="61"/>
      <c r="R140" s="61">
        <f>SUBTOTAL(9,Table2[[#This Row],[1st]:[FQC]])</f>
        <v>6</v>
      </c>
      <c r="S140" s="61">
        <f>IFERROR(VLOOKUP(Table2[[#This Row],[Part No.]],'[2]New Machine sheet'!$G$2:$I$90,3,0),0)</f>
        <v>70.62</v>
      </c>
      <c r="T140" s="61">
        <f>Table2[[#This Row],[cost per piece]]*Table2[[#This Row],[Total Rej. qty]]</f>
        <v>423.72</v>
      </c>
      <c r="U140" s="61">
        <f>IFERROR(VLOOKUP(Table2[[#This Row],[Non Conformance]],'[2]New defect code '!$B$2:$C$129,2,0),0)</f>
        <v>3243</v>
      </c>
      <c r="V140" s="61">
        <v>12</v>
      </c>
      <c r="W140" s="61" t="str">
        <f>IFERROR(VLOOKUP(Table2[[#This Row],[Code4]],'[2]New Reason code'!$A$2:$D$77,2,0),0)</f>
        <v>Double loading</v>
      </c>
      <c r="X140" s="61" t="str">
        <f>IFERROR(VLOOKUP(Table2[[#This Row],[Reason]],'[2]New Reason code'!$B$2:$D$77,2,0),0)</f>
        <v>Due to operator</v>
      </c>
      <c r="Y140" s="61" t="str">
        <f>IFERROR(VLOOKUP(Table2[[#This Row],[Rejection Identified at]],'[2]New Reason code'!$C$2:$D$77,2,0),0)</f>
        <v xml:space="preserve">infrastructure </v>
      </c>
    </row>
    <row r="141" spans="1:25" ht="20.25" customHeight="1">
      <c r="A141" s="60">
        <v>137</v>
      </c>
      <c r="B141" s="61">
        <v>15</v>
      </c>
      <c r="C141" s="61" t="str">
        <f>IFERROR(VLOOKUP(Table2[[#This Row],[Code]],'[2]New Machine sheet'!$A$1:$D$101,2,0),0)</f>
        <v>282-15</v>
      </c>
      <c r="D141" s="61" t="str">
        <f>IFERROR(VLOOKUP(Table2[[#This Row],[M/c No]],'[2]New Machine sheet'!$B$1:$D$101,2,0),0)</f>
        <v>Mazak</v>
      </c>
      <c r="E141" s="61" t="str">
        <f>IFERROR(VLOOKUP(Table2[[#This Row],[M/c Name]],'[2]New Machine sheet'!$C$1:$D$101,2,0),0)</f>
        <v>Turning</v>
      </c>
      <c r="F141" s="61">
        <v>127</v>
      </c>
      <c r="G141" s="61">
        <f>IFERROR(VLOOKUP(Table2[[#This Row],[Code2]],'[2]New Machine sheet'!$F$2:$I$64,2,),0)</f>
        <v>24127</v>
      </c>
      <c r="H141" s="61" t="str">
        <f>IFERROR(VLOOKUP(Table2[[#This Row],[Code2]],'[2]New Machine sheet'!$F$2:$I$64,3,0),0)</f>
        <v>RE J1</v>
      </c>
      <c r="I141" s="61"/>
      <c r="J141" s="61">
        <v>66</v>
      </c>
      <c r="K141" s="61" t="str">
        <f>IFERROR(VLOOKUP(Table2[[#This Row],[Code3]],'[2]New defect code '!$A$2:$D$129,2,0),0)</f>
        <v>OD Under Size</v>
      </c>
      <c r="L141" s="61" t="s">
        <v>163</v>
      </c>
      <c r="M141" s="56">
        <v>46266</v>
      </c>
      <c r="N141" s="61"/>
      <c r="O141" s="61"/>
      <c r="P141" s="61">
        <v>5</v>
      </c>
      <c r="Q141" s="61"/>
      <c r="R141" s="61">
        <f>SUBTOTAL(9,Table2[[#This Row],[1st]:[FQC]])</f>
        <v>5</v>
      </c>
      <c r="S141" s="61">
        <f>IFERROR(VLOOKUP(Table2[[#This Row],[Part No.]],'[2]New Machine sheet'!$G$2:$I$90,3,0),0)</f>
        <v>262.81200000000001</v>
      </c>
      <c r="T141" s="61">
        <f>Table2[[#This Row],[cost per piece]]*Table2[[#This Row],[Total Rej. qty]]</f>
        <v>1314.06</v>
      </c>
      <c r="U141" s="61">
        <f>IFERROR(VLOOKUP(Table2[[#This Row],[Non Conformance]],'[2]New defect code '!$B$2:$C$129,2,0),0)</f>
        <v>3242</v>
      </c>
      <c r="V141" s="61">
        <v>42</v>
      </c>
      <c r="W141" s="61" t="str">
        <f>IFERROR(VLOOKUP(Table2[[#This Row],[Code4]],'[2]New Reason code'!$A$2:$D$77,2,0),0)</f>
        <v>part not checked by operator</v>
      </c>
      <c r="X141" s="61" t="str">
        <f>IFERROR(VLOOKUP(Table2[[#This Row],[Reason]],'[2]New Reason code'!$B$2:$D$77,2,0),0)</f>
        <v>Line audit</v>
      </c>
      <c r="Y141" s="61" t="str">
        <f>IFERROR(VLOOKUP(Table2[[#This Row],[Rejection Identified at]],'[2]New Reason code'!$C$2:$D$77,2,0),0)</f>
        <v>Process Issue</v>
      </c>
    </row>
    <row r="142" spans="1:25" ht="20.25" customHeight="1">
      <c r="A142" s="60">
        <v>138</v>
      </c>
      <c r="B142" s="61">
        <v>15</v>
      </c>
      <c r="C142" s="61" t="str">
        <f>IFERROR(VLOOKUP(Table2[[#This Row],[Code]],'[2]New Machine sheet'!$A$1:$D$101,2,0),0)</f>
        <v>282-15</v>
      </c>
      <c r="D142" s="61" t="str">
        <f>IFERROR(VLOOKUP(Table2[[#This Row],[M/c No]],'[2]New Machine sheet'!$B$1:$D$101,2,0),0)</f>
        <v>Mazak</v>
      </c>
      <c r="E142" s="61" t="str">
        <f>IFERROR(VLOOKUP(Table2[[#This Row],[M/c Name]],'[2]New Machine sheet'!$C$1:$D$101,2,0),0)</f>
        <v>Turning</v>
      </c>
      <c r="F142" s="61">
        <v>187</v>
      </c>
      <c r="G142" s="61">
        <f>IFERROR(VLOOKUP(Table2[[#This Row],[Code2]],'[2]New Machine sheet'!$F$2:$I$64,2,),0)</f>
        <v>24187</v>
      </c>
      <c r="H142" s="61" t="str">
        <f>IFERROR(VLOOKUP(Table2[[#This Row],[Code2]],'[2]New Machine sheet'!$F$2:$I$64,3,0),0)</f>
        <v>RE Bush</v>
      </c>
      <c r="I142" s="61"/>
      <c r="J142" s="61">
        <v>21</v>
      </c>
      <c r="K142" s="61" t="str">
        <f>IFERROR(VLOOKUP(Table2[[#This Row],[Code3]],'[2]New defect code '!$A$2:$D$129,2,0),0)</f>
        <v>Bush Reject of defective part</v>
      </c>
      <c r="L142" s="61" t="s">
        <v>163</v>
      </c>
      <c r="M142" s="56">
        <v>46266</v>
      </c>
      <c r="N142" s="61"/>
      <c r="O142" s="61"/>
      <c r="P142" s="61">
        <v>5</v>
      </c>
      <c r="Q142" s="61"/>
      <c r="R142" s="61">
        <f>SUBTOTAL(9,Table2[[#This Row],[1st]:[FQC]])</f>
        <v>5</v>
      </c>
      <c r="S142" s="61">
        <f>IFERROR(VLOOKUP(Table2[[#This Row],[Part No.]],'[2]New Machine sheet'!$G$2:$I$90,3,0),0)</f>
        <v>21.77</v>
      </c>
      <c r="T142" s="61">
        <f>Table2[[#This Row],[cost per piece]]*Table2[[#This Row],[Total Rej. qty]]</f>
        <v>108.85</v>
      </c>
      <c r="U142" s="61">
        <f>IFERROR(VLOOKUP(Table2[[#This Row],[Non Conformance]],'[2]New defect code '!$B$2:$C$129,2,0),0)</f>
        <v>0</v>
      </c>
      <c r="V142" s="61">
        <v>6</v>
      </c>
      <c r="W142" s="61" t="str">
        <f>IFERROR(VLOOKUP(Table2[[#This Row],[Code4]],'[2]New Reason code'!$A$2:$D$77,2,0),0)</f>
        <v>bush will not use again</v>
      </c>
      <c r="X142" s="61" t="str">
        <f>IFERROR(VLOOKUP(Table2[[#This Row],[Reason]],'[2]New Reason code'!$B$2:$D$77,2,0),0)</f>
        <v>Prod Declared</v>
      </c>
      <c r="Y142" s="61" t="str">
        <f>IFERROR(VLOOKUP(Table2[[#This Row],[Rejection Identified at]],'[2]New Reason code'!$C$2:$D$77,2,0),0)</f>
        <v>Process Issue</v>
      </c>
    </row>
    <row r="143" spans="1:25" ht="20.25" customHeight="1">
      <c r="A143" s="50">
        <v>139</v>
      </c>
      <c r="B143" s="61">
        <v>10</v>
      </c>
      <c r="C143" s="61" t="str">
        <f>IFERROR(VLOOKUP(Table2[[#This Row],[Code]],'[2]New Machine sheet'!$A$1:$D$101,2,0),0)</f>
        <v>282-10</v>
      </c>
      <c r="D143" s="61" t="str">
        <f>IFERROR(VLOOKUP(Table2[[#This Row],[M/c No]],'[2]New Machine sheet'!$B$1:$D$101,2,0),0)</f>
        <v>Mazak</v>
      </c>
      <c r="E143" s="61" t="str">
        <f>IFERROR(VLOOKUP(Table2[[#This Row],[M/c Name]],'[2]New Machine sheet'!$C$1:$D$101,2,0),0)</f>
        <v>Turning</v>
      </c>
      <c r="F143" s="61">
        <v>155</v>
      </c>
      <c r="G143" s="61">
        <f>IFERROR(VLOOKUP(Table2[[#This Row],[Code2]],'[2]New Machine sheet'!$F$2:$I$64,2,),0)</f>
        <v>24155</v>
      </c>
      <c r="H143" s="61" t="str">
        <f>IFERROR(VLOOKUP(Table2[[#This Row],[Code2]],'[2]New Machine sheet'!$F$2:$I$64,3,0),0)</f>
        <v>RE J1</v>
      </c>
      <c r="I143" s="61" t="s">
        <v>153</v>
      </c>
      <c r="J143" s="61">
        <v>5</v>
      </c>
      <c r="K143" s="61" t="str">
        <f>IFERROR(VLOOKUP(Table2[[#This Row],[Code3]],'[2]New defect code '!$A$2:$D$129,2,0),0)</f>
        <v>Bore Over size</v>
      </c>
      <c r="L143" s="61" t="s">
        <v>178</v>
      </c>
      <c r="M143" s="56">
        <v>46266</v>
      </c>
      <c r="N143" s="61">
        <v>5</v>
      </c>
      <c r="O143" s="61"/>
      <c r="P143" s="61"/>
      <c r="Q143" s="61"/>
      <c r="R143" s="61">
        <f>SUBTOTAL(9,Table2[[#This Row],[1st]:[FQC]])</f>
        <v>5</v>
      </c>
      <c r="S143" s="61">
        <f>IFERROR(VLOOKUP(Table2[[#This Row],[Part No.]],'[2]New Machine sheet'!$G$2:$I$90,3,0),0)</f>
        <v>107.67</v>
      </c>
      <c r="T143" s="61">
        <f>Table2[[#This Row],[cost per piece]]*Table2[[#This Row],[Total Rej. qty]]</f>
        <v>538.35</v>
      </c>
      <c r="U143" s="61">
        <f>IFERROR(VLOOKUP(Table2[[#This Row],[Non Conformance]],'[2]New defect code '!$B$2:$C$129,2,0),0)</f>
        <v>3243</v>
      </c>
      <c r="V143" s="61">
        <v>19</v>
      </c>
      <c r="W143" s="61" t="str">
        <f>IFERROR(VLOOKUP(Table2[[#This Row],[Code4]],'[2]New Reason code'!$A$2:$D$77,2,0),0)</f>
        <v>During Rework time</v>
      </c>
      <c r="X143" s="61" t="str">
        <f>IFERROR(VLOOKUP(Table2[[#This Row],[Reason]],'[2]New Reason code'!$B$2:$D$77,2,0),0)</f>
        <v>Due to operator</v>
      </c>
      <c r="Y143" s="61" t="str">
        <f>IFERROR(VLOOKUP(Table2[[#This Row],[Rejection Identified at]],'[2]New Reason code'!$C$2:$D$77,2,0),0)</f>
        <v xml:space="preserve">infrastructure </v>
      </c>
    </row>
    <row r="144" spans="1:25" ht="20.25" customHeight="1">
      <c r="A144" s="60">
        <v>140</v>
      </c>
      <c r="B144" s="61">
        <v>10</v>
      </c>
      <c r="C144" s="61" t="str">
        <f>IFERROR(VLOOKUP(Table2[[#This Row],[Code]],'[2]New Machine sheet'!$A$1:$D$101,2,0),0)</f>
        <v>282-10</v>
      </c>
      <c r="D144" s="61" t="str">
        <f>IFERROR(VLOOKUP(Table2[[#This Row],[M/c No]],'[2]New Machine sheet'!$B$1:$D$101,2,0),0)</f>
        <v>Mazak</v>
      </c>
      <c r="E144" s="61" t="str">
        <f>IFERROR(VLOOKUP(Table2[[#This Row],[M/c Name]],'[2]New Machine sheet'!$C$1:$D$101,2,0),0)</f>
        <v>Turning</v>
      </c>
      <c r="F144" s="61">
        <v>155</v>
      </c>
      <c r="G144" s="61">
        <f>IFERROR(VLOOKUP(Table2[[#This Row],[Code2]],'[2]New Machine sheet'!$F$2:$I$64,2,),0)</f>
        <v>24155</v>
      </c>
      <c r="H144" s="61" t="str">
        <f>IFERROR(VLOOKUP(Table2[[#This Row],[Code2]],'[2]New Machine sheet'!$F$2:$I$64,3,0),0)</f>
        <v>RE J1</v>
      </c>
      <c r="I144" s="61" t="s">
        <v>153</v>
      </c>
      <c r="J144" s="61">
        <v>93</v>
      </c>
      <c r="K144" s="61" t="str">
        <f>IFERROR(VLOOKUP(Table2[[#This Row],[Code3]],'[2]New defect code '!$A$2:$D$129,2,0),0)</f>
        <v>Thickness Under size</v>
      </c>
      <c r="L144" s="61" t="s">
        <v>178</v>
      </c>
      <c r="M144" s="56">
        <v>46266</v>
      </c>
      <c r="N144" s="61">
        <v>7</v>
      </c>
      <c r="O144" s="61"/>
      <c r="P144" s="61"/>
      <c r="Q144" s="61"/>
      <c r="R144" s="61">
        <f>SUBTOTAL(9,Table2[[#This Row],[1st]:[FQC]])</f>
        <v>7</v>
      </c>
      <c r="S144" s="61">
        <f>IFERROR(VLOOKUP(Table2[[#This Row],[Part No.]],'[2]New Machine sheet'!$G$2:$I$90,3,0),0)</f>
        <v>107.67</v>
      </c>
      <c r="T144" s="61">
        <f>Table2[[#This Row],[cost per piece]]*Table2[[#This Row],[Total Rej. qty]]</f>
        <v>753.69</v>
      </c>
      <c r="U144" s="61">
        <f>IFERROR(VLOOKUP(Table2[[#This Row],[Non Conformance]],'[2]New defect code '!$B$2:$C$129,2,0),0)</f>
        <v>3258</v>
      </c>
      <c r="V144" s="61">
        <v>19</v>
      </c>
      <c r="W144" s="61" t="str">
        <f>IFERROR(VLOOKUP(Table2[[#This Row],[Code4]],'[2]New Reason code'!$A$2:$D$77,2,0),0)</f>
        <v>During Rework time</v>
      </c>
      <c r="X144" s="61" t="str">
        <f>IFERROR(VLOOKUP(Table2[[#This Row],[Reason]],'[2]New Reason code'!$B$2:$D$77,2,0),0)</f>
        <v>Due to operator</v>
      </c>
      <c r="Y144" s="61" t="str">
        <f>IFERROR(VLOOKUP(Table2[[#This Row],[Rejection Identified at]],'[2]New Reason code'!$C$2:$D$77,2,0),0)</f>
        <v xml:space="preserve">infrastructure </v>
      </c>
    </row>
    <row r="145" spans="1:25" ht="20.25" customHeight="1">
      <c r="A145" s="60">
        <v>141</v>
      </c>
      <c r="B145" s="61">
        <v>18</v>
      </c>
      <c r="C145" s="61" t="str">
        <f>IFERROR(VLOOKUP(Table2[[#This Row],[Code]],'[2]New Machine sheet'!$A$1:$D$101,2,0),0)</f>
        <v>282-18</v>
      </c>
      <c r="D145" s="61" t="str">
        <f>IFERROR(VLOOKUP(Table2[[#This Row],[M/c No]],'[2]New Machine sheet'!$B$1:$D$101,2,0),0)</f>
        <v>Mazak</v>
      </c>
      <c r="E145" s="61" t="str">
        <f>IFERROR(VLOOKUP(Table2[[#This Row],[M/c Name]],'[2]New Machine sheet'!$C$1:$D$101,2,0),0)</f>
        <v>Turning</v>
      </c>
      <c r="F145" s="61">
        <v>178</v>
      </c>
      <c r="G145" s="61">
        <f>IFERROR(VLOOKUP(Table2[[#This Row],[Code2]],'[2]New Machine sheet'!$F$2:$I$64,2,),0)</f>
        <v>24178</v>
      </c>
      <c r="H145" s="61" t="str">
        <f>IFERROR(VLOOKUP(Table2[[#This Row],[Code2]],'[2]New Machine sheet'!$F$2:$I$64,3,0),0)</f>
        <v>RE J1</v>
      </c>
      <c r="I145" s="61" t="s">
        <v>179</v>
      </c>
      <c r="J145" s="61">
        <v>5</v>
      </c>
      <c r="K145" s="61" t="str">
        <f>IFERROR(VLOOKUP(Table2[[#This Row],[Code3]],'[2]New defect code '!$A$2:$D$129,2,0),0)</f>
        <v>Bore Over size</v>
      </c>
      <c r="L145" s="61" t="s">
        <v>178</v>
      </c>
      <c r="M145" s="56">
        <v>46266</v>
      </c>
      <c r="N145" s="61">
        <v>2</v>
      </c>
      <c r="O145" s="61"/>
      <c r="P145" s="61"/>
      <c r="Q145" s="61"/>
      <c r="R145" s="61">
        <f>SUBTOTAL(9,Table2[[#This Row],[1st]:[FQC]])</f>
        <v>2</v>
      </c>
      <c r="S145" s="61">
        <f>IFERROR(VLOOKUP(Table2[[#This Row],[Part No.]],'[2]New Machine sheet'!$G$2:$I$90,3,0),0)</f>
        <v>70.62</v>
      </c>
      <c r="T145" s="61">
        <f>Table2[[#This Row],[cost per piece]]*Table2[[#This Row],[Total Rej. qty]]</f>
        <v>141.24</v>
      </c>
      <c r="U145" s="61">
        <f>IFERROR(VLOOKUP(Table2[[#This Row],[Non Conformance]],'[2]New defect code '!$B$2:$C$129,2,0),0)</f>
        <v>3243</v>
      </c>
      <c r="V145" s="61">
        <v>18</v>
      </c>
      <c r="W145" s="61" t="str">
        <f>IFERROR(VLOOKUP(Table2[[#This Row],[Code4]],'[2]New Reason code'!$A$2:$D$77,2,0),0)</f>
        <v>During insert change</v>
      </c>
      <c r="X145" s="61" t="str">
        <f>IFERROR(VLOOKUP(Table2[[#This Row],[Reason]],'[2]New Reason code'!$B$2:$D$77,2,0),0)</f>
        <v xml:space="preserve">Due to Settup  </v>
      </c>
      <c r="Y145" s="61" t="str">
        <f>IFERROR(VLOOKUP(Table2[[#This Row],[Rejection Identified at]],'[2]New Reason code'!$C$2:$D$77,2,0),0)</f>
        <v>skill</v>
      </c>
    </row>
    <row r="146" spans="1:25" ht="20.25" customHeight="1">
      <c r="A146" s="50">
        <v>142</v>
      </c>
      <c r="B146" s="61">
        <v>23</v>
      </c>
      <c r="C146" s="61" t="str">
        <f>IFERROR(VLOOKUP(Table2[[#This Row],[Code]],'[2]New Machine sheet'!$A$1:$D$101,2,0),0)</f>
        <v>ACE-03</v>
      </c>
      <c r="D146" s="61" t="str">
        <f>IFERROR(VLOOKUP(Table2[[#This Row],[M/c No]],'[2]New Machine sheet'!$B$1:$D$101,2,0),0)</f>
        <v>Micromatic</v>
      </c>
      <c r="E146" s="61" t="str">
        <f>IFERROR(VLOOKUP(Table2[[#This Row],[M/c Name]],'[2]New Machine sheet'!$C$1:$D$101,2,0),0)</f>
        <v>Turning</v>
      </c>
      <c r="F146" s="61">
        <v>29</v>
      </c>
      <c r="G146" s="61">
        <f>IFERROR(VLOOKUP(Table2[[#This Row],[Code2]],'[2]New Machine sheet'!$F$2:$I$64,2,),0)</f>
        <v>2429</v>
      </c>
      <c r="H146" s="61" t="str">
        <f>IFERROR(VLOOKUP(Table2[[#This Row],[Code2]],'[2]New Machine sheet'!$F$2:$I$64,3,0),0)</f>
        <v>RE P1</v>
      </c>
      <c r="I146" s="61" t="s">
        <v>165</v>
      </c>
      <c r="J146" s="61">
        <v>5</v>
      </c>
      <c r="K146" s="61" t="str">
        <f>IFERROR(VLOOKUP(Table2[[#This Row],[Code3]],'[2]New defect code '!$A$2:$D$129,2,0),0)</f>
        <v>Bore Over size</v>
      </c>
      <c r="L146" s="61" t="s">
        <v>178</v>
      </c>
      <c r="M146" s="56">
        <v>46266</v>
      </c>
      <c r="N146" s="61">
        <v>10</v>
      </c>
      <c r="O146" s="61"/>
      <c r="P146" s="61"/>
      <c r="Q146" s="61"/>
      <c r="R146" s="61">
        <f>SUBTOTAL(9,Table2[[#This Row],[1st]:[FQC]])</f>
        <v>10</v>
      </c>
      <c r="S146" s="61">
        <f>IFERROR(VLOOKUP(Table2[[#This Row],[Part No.]],'[2]New Machine sheet'!$G$2:$I$90,3,0),0)</f>
        <v>142.61000000000001</v>
      </c>
      <c r="T146" s="61">
        <f>Table2[[#This Row],[cost per piece]]*Table2[[#This Row],[Total Rej. qty]]</f>
        <v>1426.1000000000001</v>
      </c>
      <c r="U146" s="61">
        <f>IFERROR(VLOOKUP(Table2[[#This Row],[Non Conformance]],'[2]New defect code '!$B$2:$C$129,2,0),0)</f>
        <v>3243</v>
      </c>
      <c r="V146" s="61">
        <v>19</v>
      </c>
      <c r="W146" s="61" t="str">
        <f>IFERROR(VLOOKUP(Table2[[#This Row],[Code4]],'[2]New Reason code'!$A$2:$D$77,2,0),0)</f>
        <v>During Rework time</v>
      </c>
      <c r="X146" s="61" t="str">
        <f>IFERROR(VLOOKUP(Table2[[#This Row],[Reason]],'[2]New Reason code'!$B$2:$D$77,2,0),0)</f>
        <v>Due to operator</v>
      </c>
      <c r="Y146" s="61" t="str">
        <f>IFERROR(VLOOKUP(Table2[[#This Row],[Rejection Identified at]],'[2]New Reason code'!$C$2:$D$77,2,0),0)</f>
        <v xml:space="preserve">infrastructure </v>
      </c>
    </row>
    <row r="147" spans="1:25" ht="20.25" customHeight="1">
      <c r="A147" s="60">
        <v>143</v>
      </c>
      <c r="B147" s="61">
        <v>23</v>
      </c>
      <c r="C147" s="61" t="str">
        <f>IFERROR(VLOOKUP(Table2[[#This Row],[Code]],'[2]New Machine sheet'!$A$1:$D$101,2,0),0)</f>
        <v>ACE-03</v>
      </c>
      <c r="D147" s="61" t="str">
        <f>IFERROR(VLOOKUP(Table2[[#This Row],[M/c No]],'[2]New Machine sheet'!$B$1:$D$101,2,0),0)</f>
        <v>Micromatic</v>
      </c>
      <c r="E147" s="61" t="str">
        <f>IFERROR(VLOOKUP(Table2[[#This Row],[M/c Name]],'[2]New Machine sheet'!$C$1:$D$101,2,0),0)</f>
        <v>Turning</v>
      </c>
      <c r="F147" s="61">
        <v>29</v>
      </c>
      <c r="G147" s="61">
        <f>IFERROR(VLOOKUP(Table2[[#This Row],[Code2]],'[2]New Machine sheet'!$F$2:$I$64,2,),0)</f>
        <v>2429</v>
      </c>
      <c r="H147" s="61" t="str">
        <f>IFERROR(VLOOKUP(Table2[[#This Row],[Code2]],'[2]New Machine sheet'!$F$2:$I$64,3,0),0)</f>
        <v>RE P1</v>
      </c>
      <c r="I147" s="61" t="s">
        <v>165</v>
      </c>
      <c r="J147" s="61">
        <v>93</v>
      </c>
      <c r="K147" s="61" t="str">
        <f>IFERROR(VLOOKUP(Table2[[#This Row],[Code3]],'[2]New defect code '!$A$2:$D$129,2,0),0)</f>
        <v>Thickness Under size</v>
      </c>
      <c r="L147" s="61" t="s">
        <v>178</v>
      </c>
      <c r="M147" s="56">
        <v>46266</v>
      </c>
      <c r="N147" s="61">
        <v>3</v>
      </c>
      <c r="O147" s="61"/>
      <c r="P147" s="61"/>
      <c r="Q147" s="61"/>
      <c r="R147" s="61">
        <f>SUBTOTAL(9,Table2[[#This Row],[1st]:[FQC]])</f>
        <v>3</v>
      </c>
      <c r="S147" s="61">
        <f>IFERROR(VLOOKUP(Table2[[#This Row],[Part No.]],'[2]New Machine sheet'!$G$2:$I$90,3,0),0)</f>
        <v>142.61000000000001</v>
      </c>
      <c r="T147" s="61">
        <f>Table2[[#This Row],[cost per piece]]*Table2[[#This Row],[Total Rej. qty]]</f>
        <v>427.83000000000004</v>
      </c>
      <c r="U147" s="61">
        <f>IFERROR(VLOOKUP(Table2[[#This Row],[Non Conformance]],'[2]New defect code '!$B$2:$C$129,2,0),0)</f>
        <v>3258</v>
      </c>
      <c r="V147" s="61">
        <v>19</v>
      </c>
      <c r="W147" s="61" t="str">
        <f>IFERROR(VLOOKUP(Table2[[#This Row],[Code4]],'[2]New Reason code'!$A$2:$D$77,2,0),0)</f>
        <v>During Rework time</v>
      </c>
      <c r="X147" s="61" t="str">
        <f>IFERROR(VLOOKUP(Table2[[#This Row],[Reason]],'[2]New Reason code'!$B$2:$D$77,2,0),0)</f>
        <v>Due to operator</v>
      </c>
      <c r="Y147" s="61" t="str">
        <f>IFERROR(VLOOKUP(Table2[[#This Row],[Rejection Identified at]],'[2]New Reason code'!$C$2:$D$77,2,0),0)</f>
        <v xml:space="preserve">infrastructure </v>
      </c>
    </row>
    <row r="148" spans="1:25" ht="20.25" customHeight="1">
      <c r="A148" s="60">
        <v>144</v>
      </c>
      <c r="B148" s="61">
        <v>13</v>
      </c>
      <c r="C148" s="61" t="str">
        <f>IFERROR(VLOOKUP(Table2[[#This Row],[Code]],'[2]New Machine sheet'!$A$1:$D$101,2,0),0)</f>
        <v>282-13</v>
      </c>
      <c r="D148" s="61" t="str">
        <f>IFERROR(VLOOKUP(Table2[[#This Row],[M/c No]],'[2]New Machine sheet'!$B$1:$D$101,2,0),0)</f>
        <v>Mazak</v>
      </c>
      <c r="E148" s="61" t="str">
        <f>IFERROR(VLOOKUP(Table2[[#This Row],[M/c Name]],'[2]New Machine sheet'!$C$1:$D$101,2,0),0)</f>
        <v>Turning</v>
      </c>
      <c r="F148" s="61">
        <v>102</v>
      </c>
      <c r="G148" s="61">
        <f>IFERROR(VLOOKUP(Table2[[#This Row],[Code2]],'[2]New Machine sheet'!$F$2:$I$64,2,),0)</f>
        <v>24102</v>
      </c>
      <c r="H148" s="61" t="str">
        <f>IFERROR(VLOOKUP(Table2[[#This Row],[Code2]],'[2]New Machine sheet'!$F$2:$I$64,3,0),0)</f>
        <v>RE J1</v>
      </c>
      <c r="I148" s="61" t="s">
        <v>180</v>
      </c>
      <c r="J148" s="61">
        <v>93</v>
      </c>
      <c r="K148" s="61" t="str">
        <f>IFERROR(VLOOKUP(Table2[[#This Row],[Code3]],'[2]New defect code '!$A$2:$D$129,2,0),0)</f>
        <v>Thickness Under size</v>
      </c>
      <c r="L148" s="61" t="s">
        <v>178</v>
      </c>
      <c r="M148" s="56">
        <v>46266</v>
      </c>
      <c r="N148" s="61">
        <v>1</v>
      </c>
      <c r="O148" s="61"/>
      <c r="P148" s="61"/>
      <c r="Q148" s="61"/>
      <c r="R148" s="61">
        <f>SUBTOTAL(9,Table2[[#This Row],[1st]:[FQC]])</f>
        <v>1</v>
      </c>
      <c r="S148" s="61">
        <f>IFERROR(VLOOKUP(Table2[[#This Row],[Part No.]],'[2]New Machine sheet'!$G$2:$I$90,3,0),0)</f>
        <v>93</v>
      </c>
      <c r="T148" s="61">
        <f>Table2[[#This Row],[cost per piece]]*Table2[[#This Row],[Total Rej. qty]]</f>
        <v>93</v>
      </c>
      <c r="U148" s="61">
        <f>IFERROR(VLOOKUP(Table2[[#This Row],[Non Conformance]],'[2]New defect code '!$B$2:$C$129,2,0),0)</f>
        <v>3258</v>
      </c>
      <c r="V148" s="61">
        <v>18</v>
      </c>
      <c r="W148" s="61" t="str">
        <f>IFERROR(VLOOKUP(Table2[[#This Row],[Code4]],'[2]New Reason code'!$A$2:$D$77,2,0),0)</f>
        <v>During insert change</v>
      </c>
      <c r="X148" s="61" t="str">
        <f>IFERROR(VLOOKUP(Table2[[#This Row],[Reason]],'[2]New Reason code'!$B$2:$D$77,2,0),0)</f>
        <v xml:space="preserve">Due to Settup  </v>
      </c>
      <c r="Y148" s="61" t="str">
        <f>IFERROR(VLOOKUP(Table2[[#This Row],[Rejection Identified at]],'[2]New Reason code'!$C$2:$D$77,2,0),0)</f>
        <v>skill</v>
      </c>
    </row>
    <row r="149" spans="1:25" ht="20.25" customHeight="1">
      <c r="A149" s="50">
        <v>145</v>
      </c>
      <c r="B149" s="61">
        <v>13</v>
      </c>
      <c r="C149" s="61" t="str">
        <f>IFERROR(VLOOKUP(Table2[[#This Row],[Code]],'[2]New Machine sheet'!$A$1:$D$101,2,0),0)</f>
        <v>282-13</v>
      </c>
      <c r="D149" s="61" t="str">
        <f>IFERROR(VLOOKUP(Table2[[#This Row],[M/c No]],'[2]New Machine sheet'!$B$1:$D$101,2,0),0)</f>
        <v>Mazak</v>
      </c>
      <c r="E149" s="61" t="str">
        <f>IFERROR(VLOOKUP(Table2[[#This Row],[M/c Name]],'[2]New Machine sheet'!$C$1:$D$101,2,0),0)</f>
        <v>Turning</v>
      </c>
      <c r="F149" s="61">
        <v>102</v>
      </c>
      <c r="G149" s="61">
        <f>IFERROR(VLOOKUP(Table2[[#This Row],[Code2]],'[2]New Machine sheet'!$F$2:$I$64,2,),0)</f>
        <v>24102</v>
      </c>
      <c r="H149" s="61" t="str">
        <f>IFERROR(VLOOKUP(Table2[[#This Row],[Code2]],'[2]New Machine sheet'!$F$2:$I$64,3,0),0)</f>
        <v>RE J1</v>
      </c>
      <c r="I149" s="61" t="s">
        <v>126</v>
      </c>
      <c r="J149" s="61">
        <v>93</v>
      </c>
      <c r="K149" s="61" t="str">
        <f>IFERROR(VLOOKUP(Table2[[#This Row],[Code3]],'[2]New defect code '!$A$2:$D$129,2,0),0)</f>
        <v>Thickness Under size</v>
      </c>
      <c r="L149" s="61" t="s">
        <v>178</v>
      </c>
      <c r="M149" s="56">
        <v>46266</v>
      </c>
      <c r="N149" s="61">
        <v>11</v>
      </c>
      <c r="O149" s="61"/>
      <c r="P149" s="61"/>
      <c r="Q149" s="61"/>
      <c r="R149" s="61">
        <f>SUBTOTAL(9,Table2[[#This Row],[1st]:[FQC]])</f>
        <v>11</v>
      </c>
      <c r="S149" s="61">
        <f>IFERROR(VLOOKUP(Table2[[#This Row],[Part No.]],'[2]New Machine sheet'!$G$2:$I$90,3,0),0)</f>
        <v>93</v>
      </c>
      <c r="T149" s="61">
        <f>Table2[[#This Row],[cost per piece]]*Table2[[#This Row],[Total Rej. qty]]</f>
        <v>1023</v>
      </c>
      <c r="U149" s="61">
        <f>IFERROR(VLOOKUP(Table2[[#This Row],[Non Conformance]],'[2]New defect code '!$B$2:$C$129,2,0),0)</f>
        <v>3258</v>
      </c>
      <c r="V149" s="61">
        <v>19</v>
      </c>
      <c r="W149" s="61" t="str">
        <f>IFERROR(VLOOKUP(Table2[[#This Row],[Code4]],'[2]New Reason code'!$A$2:$D$77,2,0),0)</f>
        <v>During Rework time</v>
      </c>
      <c r="X149" s="61" t="str">
        <f>IFERROR(VLOOKUP(Table2[[#This Row],[Reason]],'[2]New Reason code'!$B$2:$D$77,2,0),0)</f>
        <v>Due to operator</v>
      </c>
      <c r="Y149" s="61" t="str">
        <f>IFERROR(VLOOKUP(Table2[[#This Row],[Rejection Identified at]],'[2]New Reason code'!$C$2:$D$77,2,0),0)</f>
        <v xml:space="preserve">infrastructure </v>
      </c>
    </row>
    <row r="150" spans="1:25" ht="20.25" customHeight="1">
      <c r="A150" s="60">
        <v>146</v>
      </c>
      <c r="B150" s="61">
        <v>21</v>
      </c>
      <c r="C150" s="61" t="str">
        <f>IFERROR(VLOOKUP(Table2[[#This Row],[Code]],'[2]New Machine sheet'!$A$1:$D$101,2,0),0)</f>
        <v>ACE-01</v>
      </c>
      <c r="D150" s="61" t="str">
        <f>IFERROR(VLOOKUP(Table2[[#This Row],[M/c No]],'[2]New Machine sheet'!$B$1:$D$101,2,0),0)</f>
        <v>Micromatic</v>
      </c>
      <c r="E150" s="61" t="str">
        <f>IFERROR(VLOOKUP(Table2[[#This Row],[M/c Name]],'[2]New Machine sheet'!$C$1:$D$101,2,0),0)</f>
        <v>Turning</v>
      </c>
      <c r="F150" s="61">
        <v>121</v>
      </c>
      <c r="G150" s="61">
        <f>IFERROR(VLOOKUP(Table2[[#This Row],[Code2]],'[2]New Machine sheet'!$F$2:$I$64,2,),0)</f>
        <v>24121</v>
      </c>
      <c r="H150" s="61" t="str">
        <f>IFERROR(VLOOKUP(Table2[[#This Row],[Code2]],'[2]New Machine sheet'!$F$2:$I$64,3,0),0)</f>
        <v>RE J1</v>
      </c>
      <c r="I150" s="61" t="s">
        <v>128</v>
      </c>
      <c r="J150" s="61">
        <v>5</v>
      </c>
      <c r="K150" s="61" t="str">
        <f>IFERROR(VLOOKUP(Table2[[#This Row],[Code3]],'[2]New defect code '!$A$2:$D$129,2,0),0)</f>
        <v>Bore Over size</v>
      </c>
      <c r="L150" s="61" t="s">
        <v>178</v>
      </c>
      <c r="M150" s="56">
        <v>46266</v>
      </c>
      <c r="N150" s="61">
        <v>3</v>
      </c>
      <c r="O150" s="61"/>
      <c r="P150" s="61"/>
      <c r="Q150" s="61"/>
      <c r="R150" s="61">
        <f>SUBTOTAL(9,Table2[[#This Row],[1st]:[FQC]])</f>
        <v>3</v>
      </c>
      <c r="S150" s="61">
        <f>IFERROR(VLOOKUP(Table2[[#This Row],[Part No.]],'[2]New Machine sheet'!$G$2:$I$90,3,0),0)</f>
        <v>135.66999999999999</v>
      </c>
      <c r="T150" s="61">
        <f>Table2[[#This Row],[cost per piece]]*Table2[[#This Row],[Total Rej. qty]]</f>
        <v>407.01</v>
      </c>
      <c r="U150" s="61">
        <f>IFERROR(VLOOKUP(Table2[[#This Row],[Non Conformance]],'[2]New defect code '!$B$2:$C$129,2,0),0)</f>
        <v>3243</v>
      </c>
      <c r="V150" s="61">
        <v>17</v>
      </c>
      <c r="W150" s="61" t="str">
        <f>IFERROR(VLOOKUP(Table2[[#This Row],[Code4]],'[2]New Reason code'!$A$2:$D$77,2,0),0)</f>
        <v>during insert broken</v>
      </c>
      <c r="X150" s="61" t="str">
        <f>IFERROR(VLOOKUP(Table2[[#This Row],[Reason]],'[2]New Reason code'!$B$2:$D$77,2,0),0)</f>
        <v>Line audit</v>
      </c>
      <c r="Y150" s="61" t="str">
        <f>IFERROR(VLOOKUP(Table2[[#This Row],[Rejection Identified at]],'[2]New Reason code'!$C$2:$D$77,2,0),0)</f>
        <v>Process Issue</v>
      </c>
    </row>
    <row r="151" spans="1:25" ht="20.25" customHeight="1">
      <c r="A151" s="60">
        <v>147</v>
      </c>
      <c r="B151" s="61">
        <v>2</v>
      </c>
      <c r="C151" s="61" t="str">
        <f>IFERROR(VLOOKUP(Table2[[#This Row],[Code]],'[2]New Machine sheet'!$A$1:$D$101,2,0),0)</f>
        <v>282-02</v>
      </c>
      <c r="D151" s="61" t="str">
        <f>IFERROR(VLOOKUP(Table2[[#This Row],[M/c No]],'[2]New Machine sheet'!$B$1:$D$101,2,0),0)</f>
        <v>Mazak</v>
      </c>
      <c r="E151" s="61" t="str">
        <f>IFERROR(VLOOKUP(Table2[[#This Row],[M/c Name]],'[2]New Machine sheet'!$C$1:$D$101,2,0),0)</f>
        <v>Turning</v>
      </c>
      <c r="F151" s="61">
        <v>121</v>
      </c>
      <c r="G151" s="61">
        <f>IFERROR(VLOOKUP(Table2[[#This Row],[Code2]],'[2]New Machine sheet'!$F$2:$I$64,2,),0)</f>
        <v>24121</v>
      </c>
      <c r="H151" s="61" t="str">
        <f>IFERROR(VLOOKUP(Table2[[#This Row],[Code2]],'[2]New Machine sheet'!$F$2:$I$64,3,0),0)</f>
        <v>RE J1</v>
      </c>
      <c r="I151" s="61" t="s">
        <v>119</v>
      </c>
      <c r="J151" s="61">
        <v>93</v>
      </c>
      <c r="K151" s="61" t="str">
        <f>IFERROR(VLOOKUP(Table2[[#This Row],[Code3]],'[2]New defect code '!$A$2:$D$129,2,0),0)</f>
        <v>Thickness Under size</v>
      </c>
      <c r="L151" s="61" t="s">
        <v>178</v>
      </c>
      <c r="M151" s="56">
        <v>46266</v>
      </c>
      <c r="N151" s="61">
        <v>1</v>
      </c>
      <c r="O151" s="61"/>
      <c r="P151" s="61"/>
      <c r="Q151" s="61"/>
      <c r="R151" s="61">
        <f>SUBTOTAL(9,Table2[[#This Row],[1st]:[FQC]])</f>
        <v>1</v>
      </c>
      <c r="S151" s="61">
        <f>IFERROR(VLOOKUP(Table2[[#This Row],[Part No.]],'[2]New Machine sheet'!$G$2:$I$90,3,0),0)</f>
        <v>135.66999999999999</v>
      </c>
      <c r="T151" s="61">
        <f>Table2[[#This Row],[cost per piece]]*Table2[[#This Row],[Total Rej. qty]]</f>
        <v>135.66999999999999</v>
      </c>
      <c r="U151" s="61">
        <f>IFERROR(VLOOKUP(Table2[[#This Row],[Non Conformance]],'[2]New defect code '!$B$2:$C$129,2,0),0)</f>
        <v>3258</v>
      </c>
      <c r="V151" s="61">
        <v>18</v>
      </c>
      <c r="W151" s="61" t="str">
        <f>IFERROR(VLOOKUP(Table2[[#This Row],[Code4]],'[2]New Reason code'!$A$2:$D$77,2,0),0)</f>
        <v>During insert change</v>
      </c>
      <c r="X151" s="61" t="str">
        <f>IFERROR(VLOOKUP(Table2[[#This Row],[Reason]],'[2]New Reason code'!$B$2:$D$77,2,0),0)</f>
        <v xml:space="preserve">Due to Settup  </v>
      </c>
      <c r="Y151" s="61" t="str">
        <f>IFERROR(VLOOKUP(Table2[[#This Row],[Rejection Identified at]],'[2]New Reason code'!$C$2:$D$77,2,0),0)</f>
        <v>skill</v>
      </c>
    </row>
    <row r="152" spans="1:25" ht="20.25" customHeight="1">
      <c r="A152" s="50">
        <v>148</v>
      </c>
      <c r="B152" s="61">
        <v>42</v>
      </c>
      <c r="C152" s="61" t="str">
        <f>IFERROR(VLOOKUP(Table2[[#This Row],[Code]],'[2]New Machine sheet'!$A$1:$D$101,2,0),0)</f>
        <v>252-04</v>
      </c>
      <c r="D152" s="61" t="str">
        <f>IFERROR(VLOOKUP(Table2[[#This Row],[M/c No]],'[2]New Machine sheet'!$B$1:$D$101,2,0),0)</f>
        <v>VMC</v>
      </c>
      <c r="E152" s="61" t="str">
        <f>IFERROR(VLOOKUP(Table2[[#This Row],[M/c Name]],'[2]New Machine sheet'!$C$1:$D$101,2,0),0)</f>
        <v>VMC</v>
      </c>
      <c r="F152" s="61">
        <v>154</v>
      </c>
      <c r="G152" s="61">
        <f>IFERROR(VLOOKUP(Table2[[#This Row],[Code2]],'[2]New Machine sheet'!$F$2:$I$64,2,),0)</f>
        <v>24154</v>
      </c>
      <c r="H152" s="61" t="str">
        <f>IFERROR(VLOOKUP(Table2[[#This Row],[Code2]],'[2]New Machine sheet'!$F$2:$I$64,3,0),0)</f>
        <v>RE J1</v>
      </c>
      <c r="I152" s="61" t="s">
        <v>119</v>
      </c>
      <c r="J152" s="61">
        <v>32</v>
      </c>
      <c r="K152" s="61" t="str">
        <f>IFERROR(VLOOKUP(Table2[[#This Row],[Code3]],'[2]New defect code '!$A$2:$D$129,2,0),0)</f>
        <v>Double Dot Punching</v>
      </c>
      <c r="L152" s="61" t="s">
        <v>178</v>
      </c>
      <c r="M152" s="56">
        <v>46266</v>
      </c>
      <c r="N152" s="61">
        <v>4</v>
      </c>
      <c r="O152" s="61"/>
      <c r="P152" s="61"/>
      <c r="Q152" s="61"/>
      <c r="R152" s="61">
        <f>SUBTOTAL(9,Table2[[#This Row],[1st]:[FQC]])</f>
        <v>4</v>
      </c>
      <c r="S152" s="61">
        <f>IFERROR(VLOOKUP(Table2[[#This Row],[Part No.]],'[2]New Machine sheet'!$G$2:$I$90,3,0),0)</f>
        <v>82.64</v>
      </c>
      <c r="T152" s="61">
        <f>Table2[[#This Row],[cost per piece]]*Table2[[#This Row],[Total Rej. qty]]</f>
        <v>330.56</v>
      </c>
      <c r="U152" s="61">
        <f>IFERROR(VLOOKUP(Table2[[#This Row],[Non Conformance]],'[2]New defect code '!$B$2:$C$129,2,0),0)</f>
        <v>0</v>
      </c>
      <c r="V152" s="61">
        <v>19</v>
      </c>
      <c r="W152" s="61" t="str">
        <f>IFERROR(VLOOKUP(Table2[[#This Row],[Code4]],'[2]New Reason code'!$A$2:$D$77,2,0),0)</f>
        <v>During Rework time</v>
      </c>
      <c r="X152" s="61" t="str">
        <f>IFERROR(VLOOKUP(Table2[[#This Row],[Reason]],'[2]New Reason code'!$B$2:$D$77,2,0),0)</f>
        <v>Due to operator</v>
      </c>
      <c r="Y152" s="61" t="str">
        <f>IFERROR(VLOOKUP(Table2[[#This Row],[Rejection Identified at]],'[2]New Reason code'!$C$2:$D$77,2,0),0)</f>
        <v xml:space="preserve">infrastructure </v>
      </c>
    </row>
    <row r="153" spans="1:25" ht="20.25" customHeight="1">
      <c r="A153" s="60">
        <v>149</v>
      </c>
      <c r="B153" s="61">
        <v>40</v>
      </c>
      <c r="C153" s="61" t="str">
        <f>IFERROR(VLOOKUP(Table2[[#This Row],[Code]],'[2]New Machine sheet'!$A$1:$D$101,2,0),0)</f>
        <v>ACE-20</v>
      </c>
      <c r="D153" s="61" t="str">
        <f>IFERROR(VLOOKUP(Table2[[#This Row],[M/c No]],'[2]New Machine sheet'!$B$1:$D$101,2,0),0)</f>
        <v>Micromatic</v>
      </c>
      <c r="E153" s="61" t="str">
        <f>IFERROR(VLOOKUP(Table2[[#This Row],[M/c Name]],'[2]New Machine sheet'!$C$1:$D$101,2,0),0)</f>
        <v>Turning</v>
      </c>
      <c r="F153" s="61">
        <v>122</v>
      </c>
      <c r="G153" s="61">
        <f>IFERROR(VLOOKUP(Table2[[#This Row],[Code2]],'[2]New Machine sheet'!$F$2:$I$64,2,),0)</f>
        <v>24122</v>
      </c>
      <c r="H153" s="61" t="str">
        <f>IFERROR(VLOOKUP(Table2[[#This Row],[Code2]],'[2]New Machine sheet'!$F$2:$I$64,3,0),0)</f>
        <v>RE J1</v>
      </c>
      <c r="I153" s="61" t="s">
        <v>141</v>
      </c>
      <c r="J153" s="61">
        <v>66</v>
      </c>
      <c r="K153" s="61" t="str">
        <f>IFERROR(VLOOKUP(Table2[[#This Row],[Code3]],'[2]New defect code '!$A$2:$D$129,2,0),0)</f>
        <v>OD Under Size</v>
      </c>
      <c r="L153" s="61" t="s">
        <v>178</v>
      </c>
      <c r="M153" s="56">
        <v>46266</v>
      </c>
      <c r="N153" s="61">
        <v>1</v>
      </c>
      <c r="O153" s="61"/>
      <c r="P153" s="61"/>
      <c r="Q153" s="61"/>
      <c r="R153" s="61">
        <f>SUBTOTAL(9,Table2[[#This Row],[1st]:[FQC]])</f>
        <v>1</v>
      </c>
      <c r="S153" s="61">
        <f>IFERROR(VLOOKUP(Table2[[#This Row],[Part No.]],'[2]New Machine sheet'!$G$2:$I$90,3,0),0)</f>
        <v>335.39977528089889</v>
      </c>
      <c r="T153" s="61">
        <f>Table2[[#This Row],[cost per piece]]*Table2[[#This Row],[Total Rej. qty]]</f>
        <v>335.39977528089889</v>
      </c>
      <c r="U153" s="61">
        <f>IFERROR(VLOOKUP(Table2[[#This Row],[Non Conformance]],'[2]New defect code '!$B$2:$C$129,2,0),0)</f>
        <v>3242</v>
      </c>
      <c r="V153" s="61">
        <v>18</v>
      </c>
      <c r="W153" s="61" t="str">
        <f>IFERROR(VLOOKUP(Table2[[#This Row],[Code4]],'[2]New Reason code'!$A$2:$D$77,2,0),0)</f>
        <v>During insert change</v>
      </c>
      <c r="X153" s="61" t="str">
        <f>IFERROR(VLOOKUP(Table2[[#This Row],[Reason]],'[2]New Reason code'!$B$2:$D$77,2,0),0)</f>
        <v xml:space="preserve">Due to Settup  </v>
      </c>
      <c r="Y153" s="61" t="str">
        <f>IFERROR(VLOOKUP(Table2[[#This Row],[Rejection Identified at]],'[2]New Reason code'!$C$2:$D$77,2,0),0)</f>
        <v>skill</v>
      </c>
    </row>
    <row r="154" spans="1:25" ht="20.25" customHeight="1">
      <c r="A154" s="60">
        <v>150</v>
      </c>
      <c r="B154" s="61">
        <v>7</v>
      </c>
      <c r="C154" s="61" t="str">
        <f>IFERROR(VLOOKUP(Table2[[#This Row],[Code]],'[2]New Machine sheet'!$A$1:$D$101,2,0),0)</f>
        <v>282-07</v>
      </c>
      <c r="D154" s="61" t="str">
        <f>IFERROR(VLOOKUP(Table2[[#This Row],[M/c No]],'[2]New Machine sheet'!$B$1:$D$101,2,0),0)</f>
        <v>Mazak</v>
      </c>
      <c r="E154" s="61" t="str">
        <f>IFERROR(VLOOKUP(Table2[[#This Row],[M/c Name]],'[2]New Machine sheet'!$C$1:$D$101,2,0),0)</f>
        <v>Turning</v>
      </c>
      <c r="F154" s="61">
        <v>119</v>
      </c>
      <c r="G154" s="61">
        <f>IFERROR(VLOOKUP(Table2[[#This Row],[Code2]],'[2]New Machine sheet'!$F$2:$I$64,2,),0)</f>
        <v>24119</v>
      </c>
      <c r="H154" s="61" t="str">
        <f>IFERROR(VLOOKUP(Table2[[#This Row],[Code2]],'[2]New Machine sheet'!$F$2:$I$64,3,0),0)</f>
        <v>RE J1</v>
      </c>
      <c r="I154" s="61" t="s">
        <v>129</v>
      </c>
      <c r="J154" s="61">
        <v>5</v>
      </c>
      <c r="K154" s="61" t="str">
        <f>IFERROR(VLOOKUP(Table2[[#This Row],[Code3]],'[2]New defect code '!$A$2:$D$129,2,0),0)</f>
        <v>Bore Over size</v>
      </c>
      <c r="L154" s="61" t="s">
        <v>178</v>
      </c>
      <c r="M154" s="56">
        <v>46266</v>
      </c>
      <c r="N154" s="61">
        <v>7</v>
      </c>
      <c r="O154" s="61"/>
      <c r="P154" s="61"/>
      <c r="Q154" s="61"/>
      <c r="R154" s="61">
        <f>SUBTOTAL(9,Table2[[#This Row],[1st]:[FQC]])</f>
        <v>7</v>
      </c>
      <c r="S154" s="61">
        <f>IFERROR(VLOOKUP(Table2[[#This Row],[Part No.]],'[2]New Machine sheet'!$G$2:$I$90,3,0),0)</f>
        <v>103.2</v>
      </c>
      <c r="T154" s="61">
        <f>Table2[[#This Row],[cost per piece]]*Table2[[#This Row],[Total Rej. qty]]</f>
        <v>722.4</v>
      </c>
      <c r="U154" s="61">
        <f>IFERROR(VLOOKUP(Table2[[#This Row],[Non Conformance]],'[2]New defect code '!$B$2:$C$129,2,0),0)</f>
        <v>3243</v>
      </c>
      <c r="V154" s="61">
        <v>19</v>
      </c>
      <c r="W154" s="61" t="str">
        <f>IFERROR(VLOOKUP(Table2[[#This Row],[Code4]],'[2]New Reason code'!$A$2:$D$77,2,0),0)</f>
        <v>During Rework time</v>
      </c>
      <c r="X154" s="61" t="str">
        <f>IFERROR(VLOOKUP(Table2[[#This Row],[Reason]],'[2]New Reason code'!$B$2:$D$77,2,0),0)</f>
        <v>Due to operator</v>
      </c>
      <c r="Y154" s="61" t="str">
        <f>IFERROR(VLOOKUP(Table2[[#This Row],[Rejection Identified at]],'[2]New Reason code'!$C$2:$D$77,2,0),0)</f>
        <v xml:space="preserve">infrastructure </v>
      </c>
    </row>
    <row r="155" spans="1:25" ht="20.25" customHeight="1">
      <c r="A155" s="50">
        <v>151</v>
      </c>
      <c r="B155" s="61"/>
      <c r="C155" s="61">
        <f>IFERROR(VLOOKUP(Table2[[#This Row],[Code]],'[2]New Machine sheet'!$A$1:$D$101,2,0),0)</f>
        <v>0</v>
      </c>
      <c r="D155" s="61">
        <f>IFERROR(VLOOKUP(Table2[[#This Row],[M/c No]],'[2]New Machine sheet'!$B$1:$D$101,2,0),0)</f>
        <v>0</v>
      </c>
      <c r="E155" s="61">
        <f>IFERROR(VLOOKUP(Table2[[#This Row],[M/c Name]],'[2]New Machine sheet'!$C$1:$D$101,2,0),0)</f>
        <v>0</v>
      </c>
      <c r="F155" s="61">
        <v>195</v>
      </c>
      <c r="G155" s="61">
        <f>IFERROR(VLOOKUP(Table2[[#This Row],[Code2]],'[2]New Machine sheet'!$F$2:$I$64,2,),0)</f>
        <v>24195</v>
      </c>
      <c r="H155" s="61" t="str">
        <f>IFERROR(VLOOKUP(Table2[[#This Row],[Code2]],'[2]New Machine sheet'!$F$2:$I$64,3,0),0)</f>
        <v>RE Bush</v>
      </c>
      <c r="I155" s="61" t="s">
        <v>126</v>
      </c>
      <c r="J155" s="61">
        <v>14</v>
      </c>
      <c r="K155" s="61" t="str">
        <f>IFERROR(VLOOKUP(Table2[[#This Row],[Code3]],'[2]New defect code '!$A$2:$D$129,2,0),0)</f>
        <v>Bush damage</v>
      </c>
      <c r="L155" s="61" t="s">
        <v>178</v>
      </c>
      <c r="M155" s="56">
        <v>46266</v>
      </c>
      <c r="N155" s="61">
        <v>198</v>
      </c>
      <c r="O155" s="61"/>
      <c r="P155" s="61"/>
      <c r="Q155" s="61"/>
      <c r="R155" s="61">
        <f>SUBTOTAL(9,Table2[[#This Row],[1st]:[FQC]])</f>
        <v>198</v>
      </c>
      <c r="S155" s="61">
        <f>IFERROR(VLOOKUP(Table2[[#This Row],[Part No.]],'[2]New Machine sheet'!$G$2:$I$90,3,0),0)</f>
        <v>16.39</v>
      </c>
      <c r="T155" s="61">
        <f>Table2[[#This Row],[cost per piece]]*Table2[[#This Row],[Total Rej. qty]]</f>
        <v>3245.2200000000003</v>
      </c>
      <c r="U155" s="61">
        <f>IFERROR(VLOOKUP(Table2[[#This Row],[Non Conformance]],'[2]New defect code '!$B$2:$C$129,2,0),0)</f>
        <v>0</v>
      </c>
      <c r="V155" s="61">
        <v>6</v>
      </c>
      <c r="W155" s="61" t="str">
        <f>IFERROR(VLOOKUP(Table2[[#This Row],[Code4]],'[2]New Reason code'!$A$2:$D$77,2,0),0)</f>
        <v>bush will not use again</v>
      </c>
      <c r="X155" s="61" t="str">
        <f>IFERROR(VLOOKUP(Table2[[#This Row],[Reason]],'[2]New Reason code'!$B$2:$D$77,2,0),0)</f>
        <v>Prod Declared</v>
      </c>
      <c r="Y155" s="61" t="str">
        <f>IFERROR(VLOOKUP(Table2[[#This Row],[Rejection Identified at]],'[2]New Reason code'!$C$2:$D$77,2,0),0)</f>
        <v>Process Issue</v>
      </c>
    </row>
    <row r="156" spans="1:25" ht="20.25" customHeight="1">
      <c r="A156" s="60">
        <v>152</v>
      </c>
      <c r="B156" s="61">
        <v>1</v>
      </c>
      <c r="C156" s="61" t="str">
        <f>IFERROR(VLOOKUP(Table2[[#This Row],[Code]],'[2]New Machine sheet'!$A$1:$D$101,2,0),0)</f>
        <v>282-01</v>
      </c>
      <c r="D156" s="61" t="str">
        <f>IFERROR(VLOOKUP(Table2[[#This Row],[M/c No]],'[2]New Machine sheet'!$B$1:$D$101,2,0),0)</f>
        <v>Mazak</v>
      </c>
      <c r="E156" s="61" t="str">
        <f>IFERROR(VLOOKUP(Table2[[#This Row],[M/c Name]],'[2]New Machine sheet'!$C$1:$D$101,2,0),0)</f>
        <v>Turning</v>
      </c>
      <c r="F156" s="61">
        <v>73</v>
      </c>
      <c r="G156" s="61">
        <f>IFERROR(VLOOKUP(Table2[[#This Row],[Code2]],'[2]New Machine sheet'!$F$2:$I$64,2,),0)</f>
        <v>2473</v>
      </c>
      <c r="H156" s="61" t="str">
        <f>IFERROR(VLOOKUP(Table2[[#This Row],[Code2]],'[2]New Machine sheet'!$F$2:$I$64,3,0),0)</f>
        <v>RE P1</v>
      </c>
      <c r="I156" s="61"/>
      <c r="J156" s="61">
        <v>5</v>
      </c>
      <c r="K156" s="61" t="str">
        <f>IFERROR(VLOOKUP(Table2[[#This Row],[Code3]],'[2]New defect code '!$A$2:$D$129,2,0),0)</f>
        <v>Bore Over size</v>
      </c>
      <c r="L156" s="61" t="s">
        <v>178</v>
      </c>
      <c r="M156" s="56">
        <v>46266</v>
      </c>
      <c r="N156" s="61">
        <v>9</v>
      </c>
      <c r="O156" s="61"/>
      <c r="P156" s="61"/>
      <c r="Q156" s="61"/>
      <c r="R156" s="61">
        <f>SUBTOTAL(9,Table2[[#This Row],[1st]:[FQC]])</f>
        <v>9</v>
      </c>
      <c r="S156" s="61">
        <f>IFERROR(VLOOKUP(Table2[[#This Row],[Part No.]],'[2]New Machine sheet'!$G$2:$I$90,3,0),0)</f>
        <v>110.76</v>
      </c>
      <c r="T156" s="61">
        <f>Table2[[#This Row],[cost per piece]]*Table2[[#This Row],[Total Rej. qty]]</f>
        <v>996.84</v>
      </c>
      <c r="U156" s="61">
        <f>IFERROR(VLOOKUP(Table2[[#This Row],[Non Conformance]],'[2]New defect code '!$B$2:$C$129,2,0),0)</f>
        <v>3243</v>
      </c>
      <c r="V156" s="61">
        <v>19</v>
      </c>
      <c r="W156" s="61" t="str">
        <f>IFERROR(VLOOKUP(Table2[[#This Row],[Code4]],'[2]New Reason code'!$A$2:$D$77,2,0),0)</f>
        <v>During Rework time</v>
      </c>
      <c r="X156" s="61" t="str">
        <f>IFERROR(VLOOKUP(Table2[[#This Row],[Reason]],'[2]New Reason code'!$B$2:$D$77,2,0),0)</f>
        <v>Due to operator</v>
      </c>
      <c r="Y156" s="61" t="str">
        <f>IFERROR(VLOOKUP(Table2[[#This Row],[Rejection Identified at]],'[2]New Reason code'!$C$2:$D$77,2,0),0)</f>
        <v xml:space="preserve">infrastructure </v>
      </c>
    </row>
    <row r="157" spans="1:25" ht="20.25" customHeight="1">
      <c r="A157" s="60">
        <v>153</v>
      </c>
      <c r="B157" s="61">
        <v>1</v>
      </c>
      <c r="C157" s="61" t="str">
        <f>IFERROR(VLOOKUP(Table2[[#This Row],[Code]],'[2]New Machine sheet'!$A$1:$D$101,2,0),0)</f>
        <v>282-01</v>
      </c>
      <c r="D157" s="61" t="str">
        <f>IFERROR(VLOOKUP(Table2[[#This Row],[M/c No]],'[2]New Machine sheet'!$B$1:$D$101,2,0),0)</f>
        <v>Mazak</v>
      </c>
      <c r="E157" s="61" t="str">
        <f>IFERROR(VLOOKUP(Table2[[#This Row],[M/c Name]],'[2]New Machine sheet'!$C$1:$D$101,2,0),0)</f>
        <v>Turning</v>
      </c>
      <c r="F157" s="61">
        <v>73</v>
      </c>
      <c r="G157" s="61">
        <f>IFERROR(VLOOKUP(Table2[[#This Row],[Code2]],'[2]New Machine sheet'!$F$2:$I$64,2,),0)</f>
        <v>2473</v>
      </c>
      <c r="H157" s="61" t="str">
        <f>IFERROR(VLOOKUP(Table2[[#This Row],[Code2]],'[2]New Machine sheet'!$F$2:$I$64,3,0),0)</f>
        <v>RE P1</v>
      </c>
      <c r="I157" s="61"/>
      <c r="J157" s="61">
        <v>93</v>
      </c>
      <c r="K157" s="61" t="str">
        <f>IFERROR(VLOOKUP(Table2[[#This Row],[Code3]],'[2]New defect code '!$A$2:$D$129,2,0),0)</f>
        <v>Thickness Under size</v>
      </c>
      <c r="L157" s="61" t="s">
        <v>178</v>
      </c>
      <c r="M157" s="56">
        <v>46266</v>
      </c>
      <c r="N157" s="61">
        <v>8</v>
      </c>
      <c r="O157" s="61"/>
      <c r="P157" s="61"/>
      <c r="Q157" s="61"/>
      <c r="R157" s="61">
        <f>SUBTOTAL(9,Table2[[#This Row],[1st]:[FQC]])</f>
        <v>8</v>
      </c>
      <c r="S157" s="61">
        <f>IFERROR(VLOOKUP(Table2[[#This Row],[Part No.]],'[2]New Machine sheet'!$G$2:$I$90,3,0),0)</f>
        <v>110.76</v>
      </c>
      <c r="T157" s="61">
        <f>Table2[[#This Row],[cost per piece]]*Table2[[#This Row],[Total Rej. qty]]</f>
        <v>886.08</v>
      </c>
      <c r="U157" s="61">
        <f>IFERROR(VLOOKUP(Table2[[#This Row],[Non Conformance]],'[2]New defect code '!$B$2:$C$129,2,0),0)</f>
        <v>3258</v>
      </c>
      <c r="V157" s="61">
        <v>19</v>
      </c>
      <c r="W157" s="61" t="str">
        <f>IFERROR(VLOOKUP(Table2[[#This Row],[Code4]],'[2]New Reason code'!$A$2:$D$77,2,0),0)</f>
        <v>During Rework time</v>
      </c>
      <c r="X157" s="61" t="str">
        <f>IFERROR(VLOOKUP(Table2[[#This Row],[Reason]],'[2]New Reason code'!$B$2:$D$77,2,0),0)</f>
        <v>Due to operator</v>
      </c>
      <c r="Y157" s="61" t="str">
        <f>IFERROR(VLOOKUP(Table2[[#This Row],[Rejection Identified at]],'[2]New Reason code'!$C$2:$D$77,2,0),0)</f>
        <v xml:space="preserve">infrastructure </v>
      </c>
    </row>
    <row r="158" spans="1:25" ht="20.25" customHeight="1">
      <c r="A158" s="50">
        <v>154</v>
      </c>
      <c r="B158" s="61">
        <v>1</v>
      </c>
      <c r="C158" s="61" t="str">
        <f>IFERROR(VLOOKUP(Table2[[#This Row],[Code]],'[2]New Machine sheet'!$A$1:$D$101,2,0),0)</f>
        <v>282-01</v>
      </c>
      <c r="D158" s="61" t="str">
        <f>IFERROR(VLOOKUP(Table2[[#This Row],[M/c No]],'[2]New Machine sheet'!$B$1:$D$101,2,0),0)</f>
        <v>Mazak</v>
      </c>
      <c r="E158" s="61" t="str">
        <f>IFERROR(VLOOKUP(Table2[[#This Row],[M/c Name]],'[2]New Machine sheet'!$C$1:$D$101,2,0),0)</f>
        <v>Turning</v>
      </c>
      <c r="F158" s="61">
        <v>73</v>
      </c>
      <c r="G158" s="61">
        <f>IFERROR(VLOOKUP(Table2[[#This Row],[Code2]],'[2]New Machine sheet'!$F$2:$I$64,2,),0)</f>
        <v>2473</v>
      </c>
      <c r="H158" s="61" t="str">
        <f>IFERROR(VLOOKUP(Table2[[#This Row],[Code2]],'[2]New Machine sheet'!$F$2:$I$64,3,0),0)</f>
        <v>RE P1</v>
      </c>
      <c r="I158" s="61"/>
      <c r="J158" s="61">
        <v>80</v>
      </c>
      <c r="K158" s="61" t="str">
        <f>IFERROR(VLOOKUP(Table2[[#This Row],[Code3]],'[2]New defect code '!$A$2:$D$129,2,0),0)</f>
        <v xml:space="preserve">Rust </v>
      </c>
      <c r="L158" s="61" t="s">
        <v>178</v>
      </c>
      <c r="M158" s="56">
        <v>46266</v>
      </c>
      <c r="N158" s="61">
        <v>5</v>
      </c>
      <c r="O158" s="61"/>
      <c r="P158" s="61"/>
      <c r="Q158" s="61"/>
      <c r="R158" s="61">
        <f>SUBTOTAL(9,Table2[[#This Row],[1st]:[FQC]])</f>
        <v>5</v>
      </c>
      <c r="S158" s="61">
        <f>IFERROR(VLOOKUP(Table2[[#This Row],[Part No.]],'[2]New Machine sheet'!$G$2:$I$90,3,0),0)</f>
        <v>110.76</v>
      </c>
      <c r="T158" s="61">
        <f>Table2[[#This Row],[cost per piece]]*Table2[[#This Row],[Total Rej. qty]]</f>
        <v>553.80000000000007</v>
      </c>
      <c r="U158" s="61">
        <f>IFERROR(VLOOKUP(Table2[[#This Row],[Non Conformance]],'[2]New defect code '!$B$2:$C$129,2,0),0)</f>
        <v>0</v>
      </c>
      <c r="V158" s="61">
        <v>15</v>
      </c>
      <c r="W158" s="61" t="str">
        <f>IFERROR(VLOOKUP(Table2[[#This Row],[Code4]],'[2]New Reason code'!$A$2:$D$77,2,0),0)</f>
        <v>During ACMA (5S) time</v>
      </c>
      <c r="X158" s="61" t="str">
        <f>IFERROR(VLOOKUP(Table2[[#This Row],[Reason]],'[2]New Reason code'!$B$2:$D$77,2,0),0)</f>
        <v>Prod Declared</v>
      </c>
      <c r="Y158" s="61" t="str">
        <f>IFERROR(VLOOKUP(Table2[[#This Row],[Rejection Identified at]],'[2]New Reason code'!$C$2:$D$77,2,0),0)</f>
        <v>Process Issue</v>
      </c>
    </row>
    <row r="159" spans="1:25" ht="20.25" customHeight="1">
      <c r="A159" s="60">
        <v>155</v>
      </c>
      <c r="B159" s="61">
        <v>9</v>
      </c>
      <c r="C159" s="61" t="str">
        <f>IFERROR(VLOOKUP(Table2[[#This Row],[Code]],'[2]New Machine sheet'!$A$1:$D$101,2,0),0)</f>
        <v>282-09</v>
      </c>
      <c r="D159" s="61" t="str">
        <f>IFERROR(VLOOKUP(Table2[[#This Row],[M/c No]],'[2]New Machine sheet'!$B$1:$D$101,2,0),0)</f>
        <v>Mazak</v>
      </c>
      <c r="E159" s="61" t="str">
        <f>IFERROR(VLOOKUP(Table2[[#This Row],[M/c Name]],'[2]New Machine sheet'!$C$1:$D$101,2,0),0)</f>
        <v>Turning</v>
      </c>
      <c r="F159" s="61">
        <v>125</v>
      </c>
      <c r="G159" s="61">
        <f>IFERROR(VLOOKUP(Table2[[#This Row],[Code2]],'[2]New Machine sheet'!$F$2:$I$64,2,),0)</f>
        <v>24125</v>
      </c>
      <c r="H159" s="61" t="str">
        <f>IFERROR(VLOOKUP(Table2[[#This Row],[Code2]],'[2]New Machine sheet'!$F$2:$I$64,3,0),0)</f>
        <v>RE J1</v>
      </c>
      <c r="I159" s="61"/>
      <c r="J159" s="61">
        <v>5</v>
      </c>
      <c r="K159" s="61" t="str">
        <f>IFERROR(VLOOKUP(Table2[[#This Row],[Code3]],'[2]New defect code '!$A$2:$D$129,2,0),0)</f>
        <v>Bore Over size</v>
      </c>
      <c r="L159" s="61" t="s">
        <v>178</v>
      </c>
      <c r="M159" s="56">
        <v>46266</v>
      </c>
      <c r="N159" s="61">
        <v>4</v>
      </c>
      <c r="O159" s="61"/>
      <c r="P159" s="61"/>
      <c r="Q159" s="61"/>
      <c r="R159" s="61">
        <f>SUBTOTAL(9,Table2[[#This Row],[1st]:[FQC]])</f>
        <v>4</v>
      </c>
      <c r="S159" s="61">
        <f>IFERROR(VLOOKUP(Table2[[#This Row],[Part No.]],'[2]New Machine sheet'!$G$2:$I$90,3,0),0)</f>
        <v>65.17</v>
      </c>
      <c r="T159" s="61">
        <f>Table2[[#This Row],[cost per piece]]*Table2[[#This Row],[Total Rej. qty]]</f>
        <v>260.68</v>
      </c>
      <c r="U159" s="61">
        <f>IFERROR(VLOOKUP(Table2[[#This Row],[Non Conformance]],'[2]New defect code '!$B$2:$C$129,2,0),0)</f>
        <v>3243</v>
      </c>
      <c r="V159" s="61">
        <v>2</v>
      </c>
      <c r="W159" s="61" t="str">
        <f>IFERROR(VLOOKUP(Table2[[#This Row],[Code4]],'[2]New Reason code'!$A$2:$D$77,2,0),0)</f>
        <v>APG unit disturb</v>
      </c>
      <c r="X159" s="61" t="str">
        <f>IFERROR(VLOOKUP(Table2[[#This Row],[Reason]],'[2]New Reason code'!$B$2:$D$77,2,0),0)</f>
        <v>Line audit</v>
      </c>
      <c r="Y159" s="61" t="str">
        <f>IFERROR(VLOOKUP(Table2[[#This Row],[Rejection Identified at]],'[2]New Reason code'!$C$2:$D$77,2,0),0)</f>
        <v>Process Issue</v>
      </c>
    </row>
    <row r="160" spans="1:25" ht="20.25" customHeight="1">
      <c r="A160" s="60">
        <v>156</v>
      </c>
      <c r="B160" s="61">
        <v>9</v>
      </c>
      <c r="C160" s="61" t="str">
        <f>IFERROR(VLOOKUP(Table2[[#This Row],[Code]],'[2]New Machine sheet'!$A$1:$D$101,2,0),0)</f>
        <v>282-09</v>
      </c>
      <c r="D160" s="61" t="str">
        <f>IFERROR(VLOOKUP(Table2[[#This Row],[M/c No]],'[2]New Machine sheet'!$B$1:$D$101,2,0),0)</f>
        <v>Mazak</v>
      </c>
      <c r="E160" s="61" t="str">
        <f>IFERROR(VLOOKUP(Table2[[#This Row],[M/c Name]],'[2]New Machine sheet'!$C$1:$D$101,2,0),0)</f>
        <v>Turning</v>
      </c>
      <c r="F160" s="61">
        <v>125</v>
      </c>
      <c r="G160" s="61">
        <f>IFERROR(VLOOKUP(Table2[[#This Row],[Code2]],'[2]New Machine sheet'!$F$2:$I$64,2,),0)</f>
        <v>24125</v>
      </c>
      <c r="H160" s="61" t="str">
        <f>IFERROR(VLOOKUP(Table2[[#This Row],[Code2]],'[2]New Machine sheet'!$F$2:$I$64,3,0),0)</f>
        <v>RE J1</v>
      </c>
      <c r="I160" s="61"/>
      <c r="J160" s="61">
        <v>5</v>
      </c>
      <c r="K160" s="61" t="str">
        <f>IFERROR(VLOOKUP(Table2[[#This Row],[Code3]],'[2]New defect code '!$A$2:$D$129,2,0),0)</f>
        <v>Bore Over size</v>
      </c>
      <c r="L160" s="61" t="s">
        <v>178</v>
      </c>
      <c r="M160" s="56">
        <v>46266</v>
      </c>
      <c r="N160" s="61">
        <v>3</v>
      </c>
      <c r="O160" s="61"/>
      <c r="P160" s="61"/>
      <c r="Q160" s="61"/>
      <c r="R160" s="61">
        <f>SUBTOTAL(9,Table2[[#This Row],[1st]:[FQC]])</f>
        <v>3</v>
      </c>
      <c r="S160" s="61">
        <f>IFERROR(VLOOKUP(Table2[[#This Row],[Part No.]],'[2]New Machine sheet'!$G$2:$I$90,3,0),0)</f>
        <v>65.17</v>
      </c>
      <c r="T160" s="61">
        <f>Table2[[#This Row],[cost per piece]]*Table2[[#This Row],[Total Rej. qty]]</f>
        <v>195.51</v>
      </c>
      <c r="U160" s="61">
        <f>IFERROR(VLOOKUP(Table2[[#This Row],[Non Conformance]],'[2]New defect code '!$B$2:$C$129,2,0),0)</f>
        <v>3243</v>
      </c>
      <c r="V160" s="61">
        <v>18</v>
      </c>
      <c r="W160" s="61" t="str">
        <f>IFERROR(VLOOKUP(Table2[[#This Row],[Code4]],'[2]New Reason code'!$A$2:$D$77,2,0),0)</f>
        <v>During insert change</v>
      </c>
      <c r="X160" s="61" t="str">
        <f>IFERROR(VLOOKUP(Table2[[#This Row],[Reason]],'[2]New Reason code'!$B$2:$D$77,2,0),0)</f>
        <v xml:space="preserve">Due to Settup  </v>
      </c>
      <c r="Y160" s="61" t="str">
        <f>IFERROR(VLOOKUP(Table2[[#This Row],[Rejection Identified at]],'[2]New Reason code'!$C$2:$D$77,2,0),0)</f>
        <v>skill</v>
      </c>
    </row>
    <row r="161" spans="1:25" ht="20.25" customHeight="1">
      <c r="A161" s="50">
        <v>157</v>
      </c>
      <c r="B161" s="61"/>
      <c r="C161" s="61" t="s">
        <v>118</v>
      </c>
      <c r="D161" s="61" t="s">
        <v>117</v>
      </c>
      <c r="E161" s="61" t="str">
        <f>IFERROR(VLOOKUP(Table2[[#This Row],[M/c Name]],'[2]New Machine sheet'!$C$1:$D$101,2,0),0)</f>
        <v>Turning</v>
      </c>
      <c r="F161" s="61">
        <v>127</v>
      </c>
      <c r="G161" s="61">
        <f>IFERROR(VLOOKUP(Table2[[#This Row],[Code2]],'[2]New Machine sheet'!$F$2:$I$64,2,),0)</f>
        <v>24127</v>
      </c>
      <c r="H161" s="61" t="str">
        <f>IFERROR(VLOOKUP(Table2[[#This Row],[Code2]],'[2]New Machine sheet'!$F$2:$I$64,3,0),0)</f>
        <v>RE J1</v>
      </c>
      <c r="I161" s="61" t="s">
        <v>181</v>
      </c>
      <c r="J161" s="61">
        <v>66</v>
      </c>
      <c r="K161" s="61" t="str">
        <f>IFERROR(VLOOKUP(Table2[[#This Row],[Code3]],'[2]New defect code '!$A$2:$D$129,2,0),0)</f>
        <v>OD Under Size</v>
      </c>
      <c r="L161" s="61" t="s">
        <v>178</v>
      </c>
      <c r="M161" s="56">
        <v>46266</v>
      </c>
      <c r="N161" s="61"/>
      <c r="O161" s="61">
        <v>1</v>
      </c>
      <c r="P161" s="61"/>
      <c r="Q161" s="61"/>
      <c r="R161" s="61">
        <f>SUBTOTAL(9,Table2[[#This Row],[1st]:[FQC]])</f>
        <v>1</v>
      </c>
      <c r="S161" s="61">
        <f>IFERROR(VLOOKUP(Table2[[#This Row],[Part No.]],'[2]New Machine sheet'!$G$2:$I$90,3,0),0)</f>
        <v>262.81200000000001</v>
      </c>
      <c r="T161" s="61">
        <f>Table2[[#This Row],[cost per piece]]*Table2[[#This Row],[Total Rej. qty]]</f>
        <v>262.81200000000001</v>
      </c>
      <c r="U161" s="61">
        <f>IFERROR(VLOOKUP(Table2[[#This Row],[Non Conformance]],'[2]New defect code '!$B$2:$C$129,2,0),0)</f>
        <v>3242</v>
      </c>
      <c r="V161" s="61">
        <v>44</v>
      </c>
      <c r="W161" s="61" t="str">
        <f>IFERROR(VLOOKUP(Table2[[#This Row],[Code4]],'[2]New Reason code'!$A$2:$D$77,2,0),0)</f>
        <v xml:space="preserve">Power cut </v>
      </c>
      <c r="X161" s="61" t="str">
        <f>IFERROR(VLOOKUP(Table2[[#This Row],[Reason]],'[2]New Reason code'!$B$2:$D$77,2,0),0)</f>
        <v>Prod Declared</v>
      </c>
      <c r="Y161" s="61" t="str">
        <f>IFERROR(VLOOKUP(Table2[[#This Row],[Rejection Identified at]],'[2]New Reason code'!$C$2:$D$77,2,0),0)</f>
        <v>Process Issue</v>
      </c>
    </row>
    <row r="162" spans="1:25" ht="20.25" customHeight="1">
      <c r="A162" s="60">
        <v>158</v>
      </c>
      <c r="B162" s="61"/>
      <c r="C162" s="61" t="s">
        <v>118</v>
      </c>
      <c r="D162" s="61" t="s">
        <v>117</v>
      </c>
      <c r="E162" s="61" t="str">
        <f>IFERROR(VLOOKUP(Table2[[#This Row],[M/c Name]],'[2]New Machine sheet'!$C$1:$D$101,2,0),0)</f>
        <v>Turning</v>
      </c>
      <c r="F162" s="61">
        <v>127</v>
      </c>
      <c r="G162" s="61">
        <f>IFERROR(VLOOKUP(Table2[[#This Row],[Code2]],'[2]New Machine sheet'!$F$2:$I$64,2,),0)</f>
        <v>24127</v>
      </c>
      <c r="H162" s="61" t="str">
        <f>IFERROR(VLOOKUP(Table2[[#This Row],[Code2]],'[2]New Machine sheet'!$F$2:$I$64,3,0),0)</f>
        <v>RE J1</v>
      </c>
      <c r="I162" s="61" t="s">
        <v>181</v>
      </c>
      <c r="J162" s="61">
        <v>66</v>
      </c>
      <c r="K162" s="61" t="str">
        <f>IFERROR(VLOOKUP(Table2[[#This Row],[Code3]],'[2]New defect code '!$A$2:$D$129,2,0),0)</f>
        <v>OD Under Size</v>
      </c>
      <c r="L162" s="61" t="s">
        <v>178</v>
      </c>
      <c r="M162" s="56">
        <v>46266</v>
      </c>
      <c r="N162" s="61"/>
      <c r="O162" s="61">
        <v>1</v>
      </c>
      <c r="P162" s="61"/>
      <c r="Q162" s="61"/>
      <c r="R162" s="61">
        <f>SUBTOTAL(9,Table2[[#This Row],[1st]:[FQC]])</f>
        <v>1</v>
      </c>
      <c r="S162" s="61">
        <f>IFERROR(VLOOKUP(Table2[[#This Row],[Part No.]],'[2]New Machine sheet'!$G$2:$I$90,3,0),0)</f>
        <v>262.81200000000001</v>
      </c>
      <c r="T162" s="61">
        <f>Table2[[#This Row],[cost per piece]]*Table2[[#This Row],[Total Rej. qty]]</f>
        <v>262.81200000000001</v>
      </c>
      <c r="U162" s="61">
        <f>IFERROR(VLOOKUP(Table2[[#This Row],[Non Conformance]],'[2]New defect code '!$B$2:$C$129,2,0),0)</f>
        <v>3242</v>
      </c>
      <c r="V162" s="61">
        <v>18</v>
      </c>
      <c r="W162" s="61" t="str">
        <f>IFERROR(VLOOKUP(Table2[[#This Row],[Code4]],'[2]New Reason code'!$A$2:$D$77,2,0),0)</f>
        <v>During insert change</v>
      </c>
      <c r="X162" s="61" t="str">
        <f>IFERROR(VLOOKUP(Table2[[#This Row],[Reason]],'[2]New Reason code'!$B$2:$D$77,2,0),0)</f>
        <v xml:space="preserve">Due to Settup  </v>
      </c>
      <c r="Y162" s="61" t="str">
        <f>IFERROR(VLOOKUP(Table2[[#This Row],[Rejection Identified at]],'[2]New Reason code'!$C$2:$D$77,2,0),0)</f>
        <v>skill</v>
      </c>
    </row>
    <row r="163" spans="1:25" ht="20.25" customHeight="1">
      <c r="A163" s="60">
        <v>159</v>
      </c>
      <c r="B163" s="61">
        <v>8</v>
      </c>
      <c r="C163" s="61" t="str">
        <f>IFERROR(VLOOKUP(Table2[[#This Row],[Code]],'[2]New Machine sheet'!$A$1:$D$101,2,0),0)</f>
        <v>282-08</v>
      </c>
      <c r="D163" s="61" t="str">
        <f>IFERROR(VLOOKUP(Table2[[#This Row],[M/c No]],'[2]New Machine sheet'!$B$1:$D$101,2,0),0)</f>
        <v>Mazak</v>
      </c>
      <c r="E163" s="61" t="str">
        <f>IFERROR(VLOOKUP(Table2[[#This Row],[M/c Name]],'[2]New Machine sheet'!$C$1:$D$101,2,0),0)</f>
        <v>Turning</v>
      </c>
      <c r="F163" s="61">
        <v>117</v>
      </c>
      <c r="G163" s="61">
        <f>IFERROR(VLOOKUP(Table2[[#This Row],[Code2]],'[2]New Machine sheet'!$F$2:$I$64,2,),0)</f>
        <v>24117</v>
      </c>
      <c r="H163" s="61" t="str">
        <f>IFERROR(VLOOKUP(Table2[[#This Row],[Code2]],'[2]New Machine sheet'!$F$2:$I$64,3,0),0)</f>
        <v>RE J1</v>
      </c>
      <c r="I163" s="61" t="s">
        <v>154</v>
      </c>
      <c r="J163" s="61">
        <v>5</v>
      </c>
      <c r="K163" s="61" t="str">
        <f>IFERROR(VLOOKUP(Table2[[#This Row],[Code3]],'[2]New defect code '!$A$2:$D$129,2,0),0)</f>
        <v>Bore Over size</v>
      </c>
      <c r="L163" s="61" t="s">
        <v>178</v>
      </c>
      <c r="M163" s="56">
        <v>46266</v>
      </c>
      <c r="N163" s="61"/>
      <c r="O163" s="61">
        <v>1</v>
      </c>
      <c r="P163" s="61"/>
      <c r="Q163" s="61"/>
      <c r="R163" s="61">
        <f>SUBTOTAL(9,Table2[[#This Row],[1st]:[FQC]])</f>
        <v>1</v>
      </c>
      <c r="S163" s="61">
        <f>IFERROR(VLOOKUP(Table2[[#This Row],[Part No.]],'[2]New Machine sheet'!$G$2:$I$90,3,0),0)</f>
        <v>111.97</v>
      </c>
      <c r="T163" s="61">
        <f>Table2[[#This Row],[cost per piece]]*Table2[[#This Row],[Total Rej. qty]]</f>
        <v>111.97</v>
      </c>
      <c r="U163" s="61">
        <f>IFERROR(VLOOKUP(Table2[[#This Row],[Non Conformance]],'[2]New defect code '!$B$2:$C$129,2,0),0)</f>
        <v>3243</v>
      </c>
      <c r="V163" s="61">
        <v>12</v>
      </c>
      <c r="W163" s="61" t="str">
        <f>IFERROR(VLOOKUP(Table2[[#This Row],[Code4]],'[2]New Reason code'!$A$2:$D$77,2,0),0)</f>
        <v>Double loading</v>
      </c>
      <c r="X163" s="61" t="str">
        <f>IFERROR(VLOOKUP(Table2[[#This Row],[Reason]],'[2]New Reason code'!$B$2:$D$77,2,0),0)</f>
        <v>Due to operator</v>
      </c>
      <c r="Y163" s="61" t="str">
        <f>IFERROR(VLOOKUP(Table2[[#This Row],[Rejection Identified at]],'[2]New Reason code'!$C$2:$D$77,2,0),0)</f>
        <v xml:space="preserve">infrastructure </v>
      </c>
    </row>
    <row r="164" spans="1:25" ht="20.25" customHeight="1">
      <c r="A164" s="50">
        <v>160</v>
      </c>
      <c r="B164" s="61">
        <v>5</v>
      </c>
      <c r="C164" s="61" t="str">
        <f>IFERROR(VLOOKUP(Table2[[#This Row],[Code]],'[2]New Machine sheet'!$A$1:$D$101,2,0),0)</f>
        <v>282-05</v>
      </c>
      <c r="D164" s="61" t="str">
        <f>IFERROR(VLOOKUP(Table2[[#This Row],[M/c No]],'[2]New Machine sheet'!$B$1:$D$101,2,0),0)</f>
        <v>Mazak</v>
      </c>
      <c r="E164" s="61" t="str">
        <f>IFERROR(VLOOKUP(Table2[[#This Row],[M/c Name]],'[2]New Machine sheet'!$C$1:$D$101,2,0),0)</f>
        <v>Turning</v>
      </c>
      <c r="F164" s="61">
        <v>119</v>
      </c>
      <c r="G164" s="61">
        <f>IFERROR(VLOOKUP(Table2[[#This Row],[Code2]],'[2]New Machine sheet'!$F$2:$I$64,2,),0)</f>
        <v>24119</v>
      </c>
      <c r="H164" s="61" t="str">
        <f>IFERROR(VLOOKUP(Table2[[#This Row],[Code2]],'[2]New Machine sheet'!$F$2:$I$64,3,0),0)</f>
        <v>RE J1</v>
      </c>
      <c r="I164" s="61" t="s">
        <v>113</v>
      </c>
      <c r="J164" s="61">
        <v>5</v>
      </c>
      <c r="K164" s="61" t="str">
        <f>IFERROR(VLOOKUP(Table2[[#This Row],[Code3]],'[2]New defect code '!$A$2:$D$129,2,0),0)</f>
        <v>Bore Over size</v>
      </c>
      <c r="L164" s="61" t="s">
        <v>178</v>
      </c>
      <c r="M164" s="56">
        <v>46266</v>
      </c>
      <c r="N164" s="61"/>
      <c r="O164" s="61">
        <v>2</v>
      </c>
      <c r="P164" s="61"/>
      <c r="Q164" s="61"/>
      <c r="R164" s="61">
        <f>SUBTOTAL(9,Table2[[#This Row],[1st]:[FQC]])</f>
        <v>2</v>
      </c>
      <c r="S164" s="61">
        <f>IFERROR(VLOOKUP(Table2[[#This Row],[Part No.]],'[2]New Machine sheet'!$G$2:$I$90,3,0),0)</f>
        <v>103.2</v>
      </c>
      <c r="T164" s="61">
        <f>Table2[[#This Row],[cost per piece]]*Table2[[#This Row],[Total Rej. qty]]</f>
        <v>206.4</v>
      </c>
      <c r="U164" s="61">
        <f>IFERROR(VLOOKUP(Table2[[#This Row],[Non Conformance]],'[2]New defect code '!$B$2:$C$129,2,0),0)</f>
        <v>3243</v>
      </c>
      <c r="V164" s="61">
        <v>20</v>
      </c>
      <c r="W164" s="61" t="str">
        <f>IFERROR(VLOOKUP(Table2[[#This Row],[Code4]],'[2]New Reason code'!$A$2:$D$77,2,0),0)</f>
        <v xml:space="preserve">During segrigetion </v>
      </c>
      <c r="X164" s="61" t="str">
        <f>IFERROR(VLOOKUP(Table2[[#This Row],[Reason]],'[2]New Reason code'!$B$2:$D$77,2,0),0)</f>
        <v xml:space="preserve">During segrigetion </v>
      </c>
      <c r="Y164" s="61" t="str">
        <f>IFERROR(VLOOKUP(Table2[[#This Row],[Rejection Identified at]],'[2]New Reason code'!$C$2:$D$77,2,0),0)</f>
        <v>Attitude</v>
      </c>
    </row>
    <row r="165" spans="1:25" ht="20.25" customHeight="1">
      <c r="A165" s="60">
        <v>161</v>
      </c>
      <c r="B165" s="61">
        <v>41</v>
      </c>
      <c r="C165" s="61" t="str">
        <f>IFERROR(VLOOKUP(Table2[[#This Row],[Code]],'[2]New Machine sheet'!$A$1:$D$101,2,0),0)</f>
        <v>252-03</v>
      </c>
      <c r="D165" s="61" t="str">
        <f>IFERROR(VLOOKUP(Table2[[#This Row],[M/c No]],'[2]New Machine sheet'!$B$1:$D$101,2,0),0)</f>
        <v>VMC</v>
      </c>
      <c r="E165" s="61" t="str">
        <f>IFERROR(VLOOKUP(Table2[[#This Row],[M/c Name]],'[2]New Machine sheet'!$C$1:$D$101,2,0),0)</f>
        <v>VMC</v>
      </c>
      <c r="F165" s="61">
        <v>155</v>
      </c>
      <c r="G165" s="61">
        <f>IFERROR(VLOOKUP(Table2[[#This Row],[Code2]],'[2]New Machine sheet'!$F$2:$I$64,2,),0)</f>
        <v>24155</v>
      </c>
      <c r="H165" s="61" t="str">
        <f>IFERROR(VLOOKUP(Table2[[#This Row],[Code2]],'[2]New Machine sheet'!$F$2:$I$64,3,0),0)</f>
        <v>RE J1</v>
      </c>
      <c r="I165" s="61" t="s">
        <v>182</v>
      </c>
      <c r="J165" s="61">
        <v>102</v>
      </c>
      <c r="K165" s="61" t="str">
        <f>IFERROR(VLOOKUP(Table2[[#This Row],[Code3]],'[2]New defect code '!$A$2:$D$129,2,0),0)</f>
        <v>Wear out tool use</v>
      </c>
      <c r="L165" s="61" t="s">
        <v>178</v>
      </c>
      <c r="M165" s="56">
        <v>46266</v>
      </c>
      <c r="N165" s="61"/>
      <c r="O165" s="61">
        <v>1</v>
      </c>
      <c r="P165" s="61"/>
      <c r="Q165" s="61"/>
      <c r="R165" s="61">
        <f>SUBTOTAL(9,Table2[[#This Row],[1st]:[FQC]])</f>
        <v>1</v>
      </c>
      <c r="S165" s="61">
        <f>IFERROR(VLOOKUP(Table2[[#This Row],[Part No.]],'[2]New Machine sheet'!$G$2:$I$90,3,0),0)</f>
        <v>107.67</v>
      </c>
      <c r="T165" s="61">
        <f>Table2[[#This Row],[cost per piece]]*Table2[[#This Row],[Total Rej. qty]]</f>
        <v>107.67</v>
      </c>
      <c r="U165" s="61">
        <f>IFERROR(VLOOKUP(Table2[[#This Row],[Non Conformance]],'[2]New defect code '!$B$2:$C$129,2,0),0)</f>
        <v>0</v>
      </c>
      <c r="V165" s="61">
        <v>44</v>
      </c>
      <c r="W165" s="61" t="str">
        <f>IFERROR(VLOOKUP(Table2[[#This Row],[Code4]],'[2]New Reason code'!$A$2:$D$77,2,0),0)</f>
        <v xml:space="preserve">Power cut </v>
      </c>
      <c r="X165" s="61" t="str">
        <f>IFERROR(VLOOKUP(Table2[[#This Row],[Reason]],'[2]New Reason code'!$B$2:$D$77,2,0),0)</f>
        <v>Prod Declared</v>
      </c>
      <c r="Y165" s="61" t="str">
        <f>IFERROR(VLOOKUP(Table2[[#This Row],[Rejection Identified at]],'[2]New Reason code'!$C$2:$D$77,2,0),0)</f>
        <v>Process Issue</v>
      </c>
    </row>
    <row r="166" spans="1:25" ht="20.25" customHeight="1">
      <c r="A166" s="60">
        <v>162</v>
      </c>
      <c r="B166" s="61">
        <v>44</v>
      </c>
      <c r="C166" s="61" t="str">
        <f>IFERROR(VLOOKUP(Table2[[#This Row],[Code]],'[2]New Machine sheet'!$A$1:$D$101,2,0),0)</f>
        <v>LT20-NEW</v>
      </c>
      <c r="D166" s="61" t="str">
        <f>IFERROR(VLOOKUP(Table2[[#This Row],[M/c No]],'[2]New Machine sheet'!$B$1:$D$101,2,0),0)</f>
        <v>ACE</v>
      </c>
      <c r="E166" s="61" t="str">
        <f>IFERROR(VLOOKUP(Table2[[#This Row],[M/c Name]],'[2]New Machine sheet'!$C$1:$D$101,2,0),0)</f>
        <v xml:space="preserve">turning </v>
      </c>
      <c r="F166" s="61">
        <v>122</v>
      </c>
      <c r="G166" s="61">
        <f>IFERROR(VLOOKUP(Table2[[#This Row],[Code2]],'[2]New Machine sheet'!$F$2:$I$64,2,),0)</f>
        <v>24122</v>
      </c>
      <c r="H166" s="61" t="str">
        <f>IFERROR(VLOOKUP(Table2[[#This Row],[Code2]],'[2]New Machine sheet'!$F$2:$I$64,3,0),0)</f>
        <v>RE J1</v>
      </c>
      <c r="I166" s="61" t="s">
        <v>166</v>
      </c>
      <c r="J166" s="61">
        <v>66</v>
      </c>
      <c r="K166" s="61" t="str">
        <f>IFERROR(VLOOKUP(Table2[[#This Row],[Code3]],'[2]New defect code '!$A$2:$D$129,2,0),0)</f>
        <v>OD Under Size</v>
      </c>
      <c r="L166" s="61" t="s">
        <v>178</v>
      </c>
      <c r="M166" s="56">
        <v>46266</v>
      </c>
      <c r="N166" s="61"/>
      <c r="O166" s="61">
        <v>2</v>
      </c>
      <c r="P166" s="61"/>
      <c r="Q166" s="61"/>
      <c r="R166" s="61">
        <f>SUBTOTAL(9,Table2[[#This Row],[1st]:[FQC]])</f>
        <v>2</v>
      </c>
      <c r="S166" s="61">
        <f>IFERROR(VLOOKUP(Table2[[#This Row],[Part No.]],'[2]New Machine sheet'!$G$2:$I$90,3,0),0)</f>
        <v>335.39977528089889</v>
      </c>
      <c r="T166" s="61">
        <f>Table2[[#This Row],[cost per piece]]*Table2[[#This Row],[Total Rej. qty]]</f>
        <v>670.79955056179779</v>
      </c>
      <c r="U166" s="61">
        <f>IFERROR(VLOOKUP(Table2[[#This Row],[Non Conformance]],'[2]New defect code '!$B$2:$C$129,2,0),0)</f>
        <v>3242</v>
      </c>
      <c r="V166" s="61">
        <v>64</v>
      </c>
      <c r="W166" s="61" t="str">
        <f>IFERROR(VLOOKUP(Table2[[#This Row],[Code4]],'[2]New Reason code'!$A$2:$D$77,2,0),0)</f>
        <v>Wrong correction</v>
      </c>
      <c r="X166" s="61" t="str">
        <f>IFERROR(VLOOKUP(Table2[[#This Row],[Reason]],'[2]New Reason code'!$B$2:$D$77,2,0),0)</f>
        <v>Due to operator</v>
      </c>
      <c r="Y166" s="61" t="str">
        <f>IFERROR(VLOOKUP(Table2[[#This Row],[Rejection Identified at]],'[2]New Reason code'!$C$2:$D$77,2,0),0)</f>
        <v xml:space="preserve">infrastructure </v>
      </c>
    </row>
    <row r="167" spans="1:25" ht="20.25" customHeight="1">
      <c r="A167" s="50">
        <v>163</v>
      </c>
      <c r="B167" s="61">
        <v>44</v>
      </c>
      <c r="C167" s="61" t="str">
        <f>IFERROR(VLOOKUP(Table2[[#This Row],[Code]],'[2]New Machine sheet'!$A$1:$D$101,2,0),0)</f>
        <v>LT20-NEW</v>
      </c>
      <c r="D167" s="61" t="str">
        <f>IFERROR(VLOOKUP(Table2[[#This Row],[M/c No]],'[2]New Machine sheet'!$B$1:$D$101,2,0),0)</f>
        <v>ACE</v>
      </c>
      <c r="E167" s="61" t="str">
        <f>IFERROR(VLOOKUP(Table2[[#This Row],[M/c Name]],'[2]New Machine sheet'!$C$1:$D$101,2,0),0)</f>
        <v xml:space="preserve">turning </v>
      </c>
      <c r="F167" s="61">
        <v>185</v>
      </c>
      <c r="G167" s="61">
        <f>IFERROR(VLOOKUP(Table2[[#This Row],[Code2]],'[2]New Machine sheet'!$F$2:$I$64,2,),0)</f>
        <v>24185</v>
      </c>
      <c r="H167" s="61" t="str">
        <f>IFERROR(VLOOKUP(Table2[[#This Row],[Code2]],'[2]New Machine sheet'!$F$2:$I$64,3,0),0)</f>
        <v>RE Bush</v>
      </c>
      <c r="I167" s="61" t="s">
        <v>183</v>
      </c>
      <c r="J167" s="61">
        <v>14</v>
      </c>
      <c r="K167" s="61" t="str">
        <f>IFERROR(VLOOKUP(Table2[[#This Row],[Code3]],'[2]New defect code '!$A$2:$D$129,2,0),0)</f>
        <v>Bush damage</v>
      </c>
      <c r="L167" s="61" t="s">
        <v>178</v>
      </c>
      <c r="M167" s="56">
        <v>46266</v>
      </c>
      <c r="N167" s="61"/>
      <c r="O167" s="61">
        <v>91</v>
      </c>
      <c r="P167" s="61"/>
      <c r="Q167" s="61"/>
      <c r="R167" s="61">
        <f>SUBTOTAL(9,Table2[[#This Row],[1st]:[FQC]])</f>
        <v>91</v>
      </c>
      <c r="S167" s="61">
        <f>IFERROR(VLOOKUP(Table2[[#This Row],[Part No.]],'[2]New Machine sheet'!$G$2:$I$90,3,0),0)</f>
        <v>25.53</v>
      </c>
      <c r="T167" s="61">
        <f>Table2[[#This Row],[cost per piece]]*Table2[[#This Row],[Total Rej. qty]]</f>
        <v>2323.23</v>
      </c>
      <c r="U167" s="61">
        <f>IFERROR(VLOOKUP(Table2[[#This Row],[Non Conformance]],'[2]New defect code '!$B$2:$C$129,2,0),0)</f>
        <v>0</v>
      </c>
      <c r="V167" s="61">
        <v>6</v>
      </c>
      <c r="W167" s="61" t="str">
        <f>IFERROR(VLOOKUP(Table2[[#This Row],[Code4]],'[2]New Reason code'!$A$2:$D$77,2,0),0)</f>
        <v>bush will not use again</v>
      </c>
      <c r="X167" s="61" t="str">
        <f>IFERROR(VLOOKUP(Table2[[#This Row],[Reason]],'[2]New Reason code'!$B$2:$D$77,2,0),0)</f>
        <v>Prod Declared</v>
      </c>
      <c r="Y167" s="61" t="str">
        <f>IFERROR(VLOOKUP(Table2[[#This Row],[Rejection Identified at]],'[2]New Reason code'!$C$2:$D$77,2,0),0)</f>
        <v>Process Issue</v>
      </c>
    </row>
    <row r="168" spans="1:25" ht="20.25" customHeight="1">
      <c r="A168" s="60">
        <v>164</v>
      </c>
      <c r="B168" s="61">
        <v>2</v>
      </c>
      <c r="C168" s="61" t="str">
        <f>IFERROR(VLOOKUP(Table2[[#This Row],[Code]],'[2]New Machine sheet'!$A$1:$D$101,2,0),0)</f>
        <v>282-02</v>
      </c>
      <c r="D168" s="61" t="str">
        <f>IFERROR(VLOOKUP(Table2[[#This Row],[M/c No]],'[2]New Machine sheet'!$B$1:$D$101,2,0),0)</f>
        <v>Mazak</v>
      </c>
      <c r="E168" s="61" t="str">
        <f>IFERROR(VLOOKUP(Table2[[#This Row],[M/c Name]],'[2]New Machine sheet'!$C$1:$D$101,2,0),0)</f>
        <v>Turning</v>
      </c>
      <c r="F168" s="61">
        <v>121</v>
      </c>
      <c r="G168" s="61">
        <f>IFERROR(VLOOKUP(Table2[[#This Row],[Code2]],'[2]New Machine sheet'!$F$2:$I$64,2,),0)</f>
        <v>24121</v>
      </c>
      <c r="H168" s="61" t="str">
        <f>IFERROR(VLOOKUP(Table2[[#This Row],[Code2]],'[2]New Machine sheet'!$F$2:$I$64,3,0),0)</f>
        <v>RE J1</v>
      </c>
      <c r="I168" s="61" t="s">
        <v>184</v>
      </c>
      <c r="J168" s="61">
        <v>93</v>
      </c>
      <c r="K168" s="61" t="str">
        <f>IFERROR(VLOOKUP(Table2[[#This Row],[Code3]],'[2]New defect code '!$A$2:$D$129,2,0),0)</f>
        <v>Thickness Under size</v>
      </c>
      <c r="L168" s="61" t="s">
        <v>178</v>
      </c>
      <c r="M168" s="56">
        <v>46266</v>
      </c>
      <c r="N168" s="61"/>
      <c r="O168" s="61">
        <v>9</v>
      </c>
      <c r="P168" s="61"/>
      <c r="Q168" s="61"/>
      <c r="R168" s="61">
        <f>SUBTOTAL(9,Table2[[#This Row],[1st]:[FQC]])</f>
        <v>9</v>
      </c>
      <c r="S168" s="61">
        <f>IFERROR(VLOOKUP(Table2[[#This Row],[Part No.]],'[2]New Machine sheet'!$G$2:$I$90,3,0),0)</f>
        <v>135.66999999999999</v>
      </c>
      <c r="T168" s="61">
        <f>Table2[[#This Row],[cost per piece]]*Table2[[#This Row],[Total Rej. qty]]</f>
        <v>1221.03</v>
      </c>
      <c r="U168" s="61">
        <f>IFERROR(VLOOKUP(Table2[[#This Row],[Non Conformance]],'[2]New defect code '!$B$2:$C$129,2,0),0)</f>
        <v>3258</v>
      </c>
      <c r="V168" s="61">
        <v>19</v>
      </c>
      <c r="W168" s="61" t="str">
        <f>IFERROR(VLOOKUP(Table2[[#This Row],[Code4]],'[2]New Reason code'!$A$2:$D$77,2,0),0)</f>
        <v>During Rework time</v>
      </c>
      <c r="X168" s="61" t="str">
        <f>IFERROR(VLOOKUP(Table2[[#This Row],[Reason]],'[2]New Reason code'!$B$2:$D$77,2,0),0)</f>
        <v>Due to operator</v>
      </c>
      <c r="Y168" s="61" t="str">
        <f>IFERROR(VLOOKUP(Table2[[#This Row],[Rejection Identified at]],'[2]New Reason code'!$C$2:$D$77,2,0),0)</f>
        <v xml:space="preserve">infrastructure </v>
      </c>
    </row>
    <row r="169" spans="1:25" ht="20.25" customHeight="1">
      <c r="A169" s="60">
        <v>165</v>
      </c>
      <c r="B169" s="61"/>
      <c r="C169" s="61">
        <f>IFERROR(VLOOKUP(Table2[[#This Row],[Code]],'[2]New Machine sheet'!$A$1:$D$101,2,0),0)</f>
        <v>0</v>
      </c>
      <c r="D169" s="61">
        <f>IFERROR(VLOOKUP(Table2[[#This Row],[M/c No]],'[2]New Machine sheet'!$B$1:$D$101,2,0),0)</f>
        <v>0</v>
      </c>
      <c r="E169" s="61">
        <f>IFERROR(VLOOKUP(Table2[[#This Row],[M/c Name]],'[2]New Machine sheet'!$C$1:$D$101,2,0),0)</f>
        <v>0</v>
      </c>
      <c r="F169" s="61">
        <v>195</v>
      </c>
      <c r="G169" s="61">
        <f>IFERROR(VLOOKUP(Table2[[#This Row],[Code2]],'[2]New Machine sheet'!$F$2:$I$64,2,),0)</f>
        <v>24195</v>
      </c>
      <c r="H169" s="61" t="str">
        <f>IFERROR(VLOOKUP(Table2[[#This Row],[Code2]],'[2]New Machine sheet'!$F$2:$I$64,3,0),0)</f>
        <v>RE Bush</v>
      </c>
      <c r="I169" s="61"/>
      <c r="J169" s="61">
        <v>21</v>
      </c>
      <c r="K169" s="61" t="str">
        <f>IFERROR(VLOOKUP(Table2[[#This Row],[Code3]],'[2]New defect code '!$A$2:$D$129,2,0),0)</f>
        <v>Bush Reject of defective part</v>
      </c>
      <c r="L169" s="61" t="s">
        <v>178</v>
      </c>
      <c r="M169" s="56">
        <v>46266</v>
      </c>
      <c r="N169" s="61"/>
      <c r="O169" s="61">
        <v>9</v>
      </c>
      <c r="P169" s="61"/>
      <c r="Q169" s="61"/>
      <c r="R169" s="61">
        <f>SUBTOTAL(9,Table2[[#This Row],[1st]:[FQC]])</f>
        <v>9</v>
      </c>
      <c r="S169" s="61">
        <f>IFERROR(VLOOKUP(Table2[[#This Row],[Part No.]],'[2]New Machine sheet'!$G$2:$I$90,3,0),0)</f>
        <v>16.39</v>
      </c>
      <c r="T169" s="61">
        <f>Table2[[#This Row],[cost per piece]]*Table2[[#This Row],[Total Rej. qty]]</f>
        <v>147.51</v>
      </c>
      <c r="U169" s="61">
        <f>IFERROR(VLOOKUP(Table2[[#This Row],[Non Conformance]],'[2]New defect code '!$B$2:$C$129,2,0),0)</f>
        <v>0</v>
      </c>
      <c r="V169" s="61">
        <v>6</v>
      </c>
      <c r="W169" s="61" t="str">
        <f>IFERROR(VLOOKUP(Table2[[#This Row],[Code4]],'[2]New Reason code'!$A$2:$D$77,2,0),0)</f>
        <v>bush will not use again</v>
      </c>
      <c r="X169" s="61" t="str">
        <f>IFERROR(VLOOKUP(Table2[[#This Row],[Reason]],'[2]New Reason code'!$B$2:$D$77,2,0),0)</f>
        <v>Prod Declared</v>
      </c>
      <c r="Y169" s="61" t="str">
        <f>IFERROR(VLOOKUP(Table2[[#This Row],[Rejection Identified at]],'[2]New Reason code'!$C$2:$D$77,2,0),0)</f>
        <v>Process Issue</v>
      </c>
    </row>
    <row r="170" spans="1:25" ht="20.25" customHeight="1">
      <c r="A170" s="50">
        <v>166</v>
      </c>
      <c r="B170" s="61">
        <v>4</v>
      </c>
      <c r="C170" s="61" t="str">
        <f>IFERROR(VLOOKUP(Table2[[#This Row],[Code]],'[2]New Machine sheet'!$A$1:$D$101,2,0),0)</f>
        <v>282-04</v>
      </c>
      <c r="D170" s="61" t="str">
        <f>IFERROR(VLOOKUP(Table2[[#This Row],[M/c No]],'[2]New Machine sheet'!$B$1:$D$101,2,0),0)</f>
        <v>Mazak</v>
      </c>
      <c r="E170" s="61" t="str">
        <f>IFERROR(VLOOKUP(Table2[[#This Row],[M/c Name]],'[2]New Machine sheet'!$C$1:$D$101,2,0),0)</f>
        <v>Turning</v>
      </c>
      <c r="F170" s="61">
        <v>117</v>
      </c>
      <c r="G170" s="61">
        <f>IFERROR(VLOOKUP(Table2[[#This Row],[Code2]],'[2]New Machine sheet'!$F$2:$I$64,2,),0)</f>
        <v>24117</v>
      </c>
      <c r="H170" s="61" t="str">
        <f>IFERROR(VLOOKUP(Table2[[#This Row],[Code2]],'[2]New Machine sheet'!$F$2:$I$64,3,0),0)</f>
        <v>RE J1</v>
      </c>
      <c r="I170" s="61" t="s">
        <v>123</v>
      </c>
      <c r="J170" s="61">
        <v>5</v>
      </c>
      <c r="K170" s="61" t="str">
        <f>IFERROR(VLOOKUP(Table2[[#This Row],[Code3]],'[2]New defect code '!$A$2:$D$129,2,0),0)</f>
        <v>Bore Over size</v>
      </c>
      <c r="L170" s="61" t="s">
        <v>178</v>
      </c>
      <c r="M170" s="56">
        <v>46266</v>
      </c>
      <c r="N170" s="61"/>
      <c r="O170" s="61">
        <v>1</v>
      </c>
      <c r="P170" s="61"/>
      <c r="Q170" s="61"/>
      <c r="R170" s="61">
        <f>SUBTOTAL(9,Table2[[#This Row],[1st]:[FQC]])</f>
        <v>1</v>
      </c>
      <c r="S170" s="61">
        <f>IFERROR(VLOOKUP(Table2[[#This Row],[Part No.]],'[2]New Machine sheet'!$G$2:$I$90,3,0),0)</f>
        <v>111.97</v>
      </c>
      <c r="T170" s="61">
        <f>Table2[[#This Row],[cost per piece]]*Table2[[#This Row],[Total Rej. qty]]</f>
        <v>111.97</v>
      </c>
      <c r="U170" s="61">
        <f>IFERROR(VLOOKUP(Table2[[#This Row],[Non Conformance]],'[2]New defect code '!$B$2:$C$129,2,0),0)</f>
        <v>3243</v>
      </c>
      <c r="V170" s="61">
        <v>18</v>
      </c>
      <c r="W170" s="61" t="str">
        <f>IFERROR(VLOOKUP(Table2[[#This Row],[Code4]],'[2]New Reason code'!$A$2:$D$77,2,0),0)</f>
        <v>During insert change</v>
      </c>
      <c r="X170" s="61" t="str">
        <f>IFERROR(VLOOKUP(Table2[[#This Row],[Reason]],'[2]New Reason code'!$B$2:$D$77,2,0),0)</f>
        <v xml:space="preserve">Due to Settup  </v>
      </c>
      <c r="Y170" s="61" t="str">
        <f>IFERROR(VLOOKUP(Table2[[#This Row],[Rejection Identified at]],'[2]New Reason code'!$C$2:$D$77,2,0),0)</f>
        <v>skill</v>
      </c>
    </row>
    <row r="171" spans="1:25" ht="20.25" customHeight="1">
      <c r="A171" s="60">
        <v>167</v>
      </c>
      <c r="B171" s="61"/>
      <c r="C171" s="61" t="s">
        <v>150</v>
      </c>
      <c r="D171" s="61" t="s">
        <v>117</v>
      </c>
      <c r="E171" s="61" t="str">
        <f>IFERROR(VLOOKUP(Table2[[#This Row],[M/c Name]],'[2]New Machine sheet'!$C$1:$D$101,2,0),0)</f>
        <v>Turning</v>
      </c>
      <c r="F171" s="61">
        <v>122</v>
      </c>
      <c r="G171" s="61">
        <f>IFERROR(VLOOKUP(Table2[[#This Row],[Code2]],'[2]New Machine sheet'!$F$2:$I$64,2,),0)</f>
        <v>24122</v>
      </c>
      <c r="H171" s="61" t="str">
        <f>IFERROR(VLOOKUP(Table2[[#This Row],[Code2]],'[2]New Machine sheet'!$F$2:$I$64,3,0),0)</f>
        <v>RE J1</v>
      </c>
      <c r="I171" s="61" t="s">
        <v>185</v>
      </c>
      <c r="J171" s="61">
        <v>66</v>
      </c>
      <c r="K171" s="61" t="str">
        <f>IFERROR(VLOOKUP(Table2[[#This Row],[Code3]],'[2]New defect code '!$A$2:$D$129,2,0),0)</f>
        <v>OD Under Size</v>
      </c>
      <c r="L171" s="61" t="s">
        <v>178</v>
      </c>
      <c r="M171" s="56">
        <v>46266</v>
      </c>
      <c r="N171" s="61"/>
      <c r="O171" s="61">
        <v>1</v>
      </c>
      <c r="P171" s="61"/>
      <c r="Q171" s="61"/>
      <c r="R171" s="61">
        <f>SUBTOTAL(9,Table2[[#This Row],[1st]:[FQC]])</f>
        <v>1</v>
      </c>
      <c r="S171" s="61">
        <f>IFERROR(VLOOKUP(Table2[[#This Row],[Part No.]],'[2]New Machine sheet'!$G$2:$I$90,3,0),0)</f>
        <v>335.39977528089889</v>
      </c>
      <c r="T171" s="61">
        <f>Table2[[#This Row],[cost per piece]]*Table2[[#This Row],[Total Rej. qty]]</f>
        <v>335.39977528089889</v>
      </c>
      <c r="U171" s="61">
        <f>IFERROR(VLOOKUP(Table2[[#This Row],[Non Conformance]],'[2]New defect code '!$B$2:$C$129,2,0),0)</f>
        <v>3242</v>
      </c>
      <c r="V171" s="61">
        <v>12</v>
      </c>
      <c r="W171" s="61" t="str">
        <f>IFERROR(VLOOKUP(Table2[[#This Row],[Code4]],'[2]New Reason code'!$A$2:$D$77,2,0),0)</f>
        <v>Double loading</v>
      </c>
      <c r="X171" s="61" t="str">
        <f>IFERROR(VLOOKUP(Table2[[#This Row],[Reason]],'[2]New Reason code'!$B$2:$D$77,2,0),0)</f>
        <v>Due to operator</v>
      </c>
      <c r="Y171" s="61" t="str">
        <f>IFERROR(VLOOKUP(Table2[[#This Row],[Rejection Identified at]],'[2]New Reason code'!$C$2:$D$77,2,0),0)</f>
        <v xml:space="preserve">infrastructure </v>
      </c>
    </row>
    <row r="172" spans="1:25" ht="20.25" customHeight="1">
      <c r="A172" s="60">
        <v>168</v>
      </c>
      <c r="B172" s="61">
        <v>16</v>
      </c>
      <c r="C172" s="61" t="str">
        <f>IFERROR(VLOOKUP(Table2[[#This Row],[Code]],'[2]New Machine sheet'!$A$1:$D$101,2,0),0)</f>
        <v>282-16</v>
      </c>
      <c r="D172" s="61" t="str">
        <f>IFERROR(VLOOKUP(Table2[[#This Row],[M/c No]],'[2]New Machine sheet'!$B$1:$D$101,2,0),0)</f>
        <v>Mazak</v>
      </c>
      <c r="E172" s="61" t="str">
        <f>IFERROR(VLOOKUP(Table2[[#This Row],[M/c Name]],'[2]New Machine sheet'!$C$1:$D$101,2,0),0)</f>
        <v>Turning</v>
      </c>
      <c r="F172" s="61">
        <v>102</v>
      </c>
      <c r="G172" s="61">
        <f>IFERROR(VLOOKUP(Table2[[#This Row],[Code2]],'[2]New Machine sheet'!$F$2:$I$64,2,),0)</f>
        <v>24102</v>
      </c>
      <c r="H172" s="61" t="str">
        <f>IFERROR(VLOOKUP(Table2[[#This Row],[Code2]],'[2]New Machine sheet'!$F$2:$I$64,3,0),0)</f>
        <v>RE J1</v>
      </c>
      <c r="I172" s="61"/>
      <c r="J172" s="61">
        <v>93</v>
      </c>
      <c r="K172" s="61" t="str">
        <f>IFERROR(VLOOKUP(Table2[[#This Row],[Code3]],'[2]New defect code '!$A$2:$D$129,2,0),0)</f>
        <v>Thickness Under size</v>
      </c>
      <c r="L172" s="61" t="s">
        <v>178</v>
      </c>
      <c r="M172" s="56">
        <v>46266</v>
      </c>
      <c r="N172" s="61"/>
      <c r="O172" s="61">
        <v>7</v>
      </c>
      <c r="P172" s="61"/>
      <c r="Q172" s="61"/>
      <c r="R172" s="61">
        <f>SUBTOTAL(9,Table2[[#This Row],[1st]:[FQC]])</f>
        <v>7</v>
      </c>
      <c r="S172" s="61">
        <f>IFERROR(VLOOKUP(Table2[[#This Row],[Part No.]],'[2]New Machine sheet'!$G$2:$I$90,3,0),0)</f>
        <v>93</v>
      </c>
      <c r="T172" s="61">
        <f>Table2[[#This Row],[cost per piece]]*Table2[[#This Row],[Total Rej. qty]]</f>
        <v>651</v>
      </c>
      <c r="U172" s="61">
        <f>IFERROR(VLOOKUP(Table2[[#This Row],[Non Conformance]],'[2]New defect code '!$B$2:$C$129,2,0),0)</f>
        <v>3258</v>
      </c>
      <c r="V172" s="61">
        <v>64</v>
      </c>
      <c r="W172" s="61" t="str">
        <f>IFERROR(VLOOKUP(Table2[[#This Row],[Code4]],'[2]New Reason code'!$A$2:$D$77,2,0),0)</f>
        <v>Wrong correction</v>
      </c>
      <c r="X172" s="61" t="str">
        <f>IFERROR(VLOOKUP(Table2[[#This Row],[Reason]],'[2]New Reason code'!$B$2:$D$77,2,0),0)</f>
        <v>Due to operator</v>
      </c>
      <c r="Y172" s="61" t="str">
        <f>IFERROR(VLOOKUP(Table2[[#This Row],[Rejection Identified at]],'[2]New Reason code'!$C$2:$D$77,2,0),0)</f>
        <v xml:space="preserve">infrastructure </v>
      </c>
    </row>
    <row r="173" spans="1:25" ht="20.25" customHeight="1">
      <c r="A173" s="50">
        <v>169</v>
      </c>
      <c r="B173" s="61">
        <v>2</v>
      </c>
      <c r="C173" s="61" t="str">
        <f>IFERROR(VLOOKUP(Table2[[#This Row],[Code]],'[2]New Machine sheet'!$A$1:$D$101,2,0),0)</f>
        <v>282-02</v>
      </c>
      <c r="D173" s="61" t="str">
        <f>IFERROR(VLOOKUP(Table2[[#This Row],[M/c No]],'[2]New Machine sheet'!$B$1:$D$101,2,0),0)</f>
        <v>Mazak</v>
      </c>
      <c r="E173" s="61" t="str">
        <f>IFERROR(VLOOKUP(Table2[[#This Row],[M/c Name]],'[2]New Machine sheet'!$C$1:$D$101,2,0),0)</f>
        <v>Turning</v>
      </c>
      <c r="F173" s="61">
        <v>121</v>
      </c>
      <c r="G173" s="61">
        <f>IFERROR(VLOOKUP(Table2[[#This Row],[Code2]],'[2]New Machine sheet'!$F$2:$I$64,2,),0)</f>
        <v>24121</v>
      </c>
      <c r="H173" s="61" t="str">
        <f>IFERROR(VLOOKUP(Table2[[#This Row],[Code2]],'[2]New Machine sheet'!$F$2:$I$64,3,0),0)</f>
        <v>RE J1</v>
      </c>
      <c r="I173" s="61" t="s">
        <v>186</v>
      </c>
      <c r="J173" s="61">
        <v>93</v>
      </c>
      <c r="K173" s="61" t="str">
        <f>IFERROR(VLOOKUP(Table2[[#This Row],[Code3]],'[2]New defect code '!$A$2:$D$129,2,0),0)</f>
        <v>Thickness Under size</v>
      </c>
      <c r="L173" s="61" t="s">
        <v>178</v>
      </c>
      <c r="M173" s="56">
        <v>46266</v>
      </c>
      <c r="N173" s="61"/>
      <c r="O173" s="61"/>
      <c r="P173" s="61">
        <v>18</v>
      </c>
      <c r="Q173" s="61"/>
      <c r="R173" s="61">
        <f>SUBTOTAL(9,Table2[[#This Row],[1st]:[FQC]])</f>
        <v>18</v>
      </c>
      <c r="S173" s="61">
        <f>IFERROR(VLOOKUP(Table2[[#This Row],[Part No.]],'[2]New Machine sheet'!$G$2:$I$90,3,0),0)</f>
        <v>135.66999999999999</v>
      </c>
      <c r="T173" s="61">
        <f>Table2[[#This Row],[cost per piece]]*Table2[[#This Row],[Total Rej. qty]]</f>
        <v>2442.06</v>
      </c>
      <c r="U173" s="61">
        <f>IFERROR(VLOOKUP(Table2[[#This Row],[Non Conformance]],'[2]New defect code '!$B$2:$C$129,2,0),0)</f>
        <v>3258</v>
      </c>
      <c r="V173" s="61">
        <v>19</v>
      </c>
      <c r="W173" s="61" t="str">
        <f>IFERROR(VLOOKUP(Table2[[#This Row],[Code4]],'[2]New Reason code'!$A$2:$D$77,2,0),0)</f>
        <v>During Rework time</v>
      </c>
      <c r="X173" s="61" t="str">
        <f>IFERROR(VLOOKUP(Table2[[#This Row],[Reason]],'[2]New Reason code'!$B$2:$D$77,2,0),0)</f>
        <v>Due to operator</v>
      </c>
      <c r="Y173" s="61" t="str">
        <f>IFERROR(VLOOKUP(Table2[[#This Row],[Rejection Identified at]],'[2]New Reason code'!$C$2:$D$77,2,0),0)</f>
        <v xml:space="preserve">infrastructure </v>
      </c>
    </row>
    <row r="174" spans="1:25" ht="20.25" customHeight="1">
      <c r="A174" s="60">
        <v>170</v>
      </c>
      <c r="B174" s="61"/>
      <c r="C174" s="61">
        <f>IFERROR(VLOOKUP(Table2[[#This Row],[Code]],'[2]New Machine sheet'!$A$1:$D$101,2,0),0)</f>
        <v>0</v>
      </c>
      <c r="D174" s="61">
        <f>IFERROR(VLOOKUP(Table2[[#This Row],[M/c No]],'[2]New Machine sheet'!$B$1:$D$101,2,0),0)</f>
        <v>0</v>
      </c>
      <c r="E174" s="61">
        <f>IFERROR(VLOOKUP(Table2[[#This Row],[M/c Name]],'[2]New Machine sheet'!$C$1:$D$101,2,0),0)</f>
        <v>0</v>
      </c>
      <c r="F174" s="61">
        <v>195</v>
      </c>
      <c r="G174" s="61">
        <f>IFERROR(VLOOKUP(Table2[[#This Row],[Code2]],'[2]New Machine sheet'!$F$2:$I$64,2,),0)</f>
        <v>24195</v>
      </c>
      <c r="H174" s="61" t="str">
        <f>IFERROR(VLOOKUP(Table2[[#This Row],[Code2]],'[2]New Machine sheet'!$F$2:$I$64,3,0),0)</f>
        <v>RE Bush</v>
      </c>
      <c r="I174" s="61" t="s">
        <v>186</v>
      </c>
      <c r="J174" s="61">
        <v>14</v>
      </c>
      <c r="K174" s="61" t="str">
        <f>IFERROR(VLOOKUP(Table2[[#This Row],[Code3]],'[2]New defect code '!$A$2:$D$129,2,0),0)</f>
        <v>Bush damage</v>
      </c>
      <c r="L174" s="61" t="s">
        <v>178</v>
      </c>
      <c r="M174" s="56">
        <v>46266</v>
      </c>
      <c r="N174" s="61"/>
      <c r="O174" s="61"/>
      <c r="P174" s="61">
        <v>18</v>
      </c>
      <c r="Q174" s="61"/>
      <c r="R174" s="61">
        <f>SUBTOTAL(9,Table2[[#This Row],[1st]:[FQC]])</f>
        <v>18</v>
      </c>
      <c r="S174" s="61">
        <f>IFERROR(VLOOKUP(Table2[[#This Row],[Part No.]],'[2]New Machine sheet'!$G$2:$I$90,3,0),0)</f>
        <v>16.39</v>
      </c>
      <c r="T174" s="61">
        <f>Table2[[#This Row],[cost per piece]]*Table2[[#This Row],[Total Rej. qty]]</f>
        <v>295.02</v>
      </c>
      <c r="U174" s="61">
        <f>IFERROR(VLOOKUP(Table2[[#This Row],[Non Conformance]],'[2]New defect code '!$B$2:$C$129,2,0),0)</f>
        <v>0</v>
      </c>
      <c r="V174" s="61">
        <v>6</v>
      </c>
      <c r="W174" s="61" t="str">
        <f>IFERROR(VLOOKUP(Table2[[#This Row],[Code4]],'[2]New Reason code'!$A$2:$D$77,2,0),0)</f>
        <v>bush will not use again</v>
      </c>
      <c r="X174" s="61" t="str">
        <f>IFERROR(VLOOKUP(Table2[[#This Row],[Reason]],'[2]New Reason code'!$B$2:$D$77,2,0),0)</f>
        <v>Prod Declared</v>
      </c>
      <c r="Y174" s="61" t="str">
        <f>IFERROR(VLOOKUP(Table2[[#This Row],[Rejection Identified at]],'[2]New Reason code'!$C$2:$D$77,2,0),0)</f>
        <v>Process Issue</v>
      </c>
    </row>
    <row r="175" spans="1:25" ht="20.25" customHeight="1">
      <c r="A175" s="60">
        <v>171</v>
      </c>
      <c r="B175" s="61">
        <v>47</v>
      </c>
      <c r="C175" s="61" t="str">
        <f>IFERROR(VLOOKUP(Table2[[#This Row],[Code]],'[2]New Machine sheet'!$A$1:$D$101,2,0),0)</f>
        <v>MURATEC-03</v>
      </c>
      <c r="D175" s="61" t="str">
        <f>IFERROR(VLOOKUP(Table2[[#This Row],[M/c No]],'[2]New Machine sheet'!$B$1:$D$101,2,0),0)</f>
        <v>MURATEC</v>
      </c>
      <c r="E175" s="61" t="str">
        <f>IFERROR(VLOOKUP(Table2[[#This Row],[M/c Name]],'[2]New Machine sheet'!$C$1:$D$101,2,0),0)</f>
        <v xml:space="preserve">turning </v>
      </c>
      <c r="F175" s="61">
        <v>127</v>
      </c>
      <c r="G175" s="61">
        <f>IFERROR(VLOOKUP(Table2[[#This Row],[Code2]],'[2]New Machine sheet'!$F$2:$I$64,2,),0)</f>
        <v>24127</v>
      </c>
      <c r="H175" s="61" t="str">
        <f>IFERROR(VLOOKUP(Table2[[#This Row],[Code2]],'[2]New Machine sheet'!$F$2:$I$64,3,0),0)</f>
        <v>RE J1</v>
      </c>
      <c r="I175" s="61" t="s">
        <v>140</v>
      </c>
      <c r="J175" s="61">
        <v>66</v>
      </c>
      <c r="K175" s="61" t="str">
        <f>IFERROR(VLOOKUP(Table2[[#This Row],[Code3]],'[2]New defect code '!$A$2:$D$129,2,0),0)</f>
        <v>OD Under Size</v>
      </c>
      <c r="L175" s="61" t="s">
        <v>178</v>
      </c>
      <c r="M175" s="56">
        <v>46266</v>
      </c>
      <c r="N175" s="61"/>
      <c r="O175" s="61"/>
      <c r="P175" s="61">
        <v>1</v>
      </c>
      <c r="Q175" s="61"/>
      <c r="R175" s="61">
        <f>SUBTOTAL(9,Table2[[#This Row],[1st]:[FQC]])</f>
        <v>1</v>
      </c>
      <c r="S175" s="61">
        <f>IFERROR(VLOOKUP(Table2[[#This Row],[Part No.]],'[2]New Machine sheet'!$G$2:$I$90,3,0),0)</f>
        <v>262.81200000000001</v>
      </c>
      <c r="T175" s="61">
        <f>Table2[[#This Row],[cost per piece]]*Table2[[#This Row],[Total Rej. qty]]</f>
        <v>262.81200000000001</v>
      </c>
      <c r="U175" s="61">
        <f>IFERROR(VLOOKUP(Table2[[#This Row],[Non Conformance]],'[2]New defect code '!$B$2:$C$129,2,0),0)</f>
        <v>3242</v>
      </c>
      <c r="V175" s="61">
        <v>70</v>
      </c>
      <c r="W175" s="61" t="str">
        <f>IFERROR(VLOOKUP(Table2[[#This Row],[Code4]],'[2]New Reason code'!$A$2:$D$77,2,0),0)</f>
        <v>Insert Wear Out</v>
      </c>
      <c r="X175" s="61" t="str">
        <f>IFERROR(VLOOKUP(Table2[[#This Row],[Reason]],'[2]New Reason code'!$B$2:$D$77,2,0),0)</f>
        <v>Line audit</v>
      </c>
      <c r="Y175" s="61" t="str">
        <f>IFERROR(VLOOKUP(Table2[[#This Row],[Rejection Identified at]],'[2]New Reason code'!$C$2:$D$77,2,0),0)</f>
        <v>Process Issue</v>
      </c>
    </row>
    <row r="176" spans="1:25" ht="20.25" customHeight="1">
      <c r="A176" s="50">
        <v>172</v>
      </c>
      <c r="B176" s="61">
        <v>62</v>
      </c>
      <c r="C176" s="61" t="str">
        <f>IFERROR(VLOOKUP(Table2[[#This Row],[Code]],'[2]New Machine sheet'!$A$1:$D$101,2,0),0)</f>
        <v>FQC</v>
      </c>
      <c r="D176" s="61" t="str">
        <f>IFERROR(VLOOKUP(Table2[[#This Row],[M/c No]],'[2]New Machine sheet'!$B$1:$D$101,2,0),0)</f>
        <v>FQC</v>
      </c>
      <c r="E176" s="61" t="str">
        <f>IFERROR(VLOOKUP(Table2[[#This Row],[M/c Name]],'[2]New Machine sheet'!$C$1:$D$101,2,0),0)</f>
        <v>fqc</v>
      </c>
      <c r="F176" s="61">
        <v>155</v>
      </c>
      <c r="G176" s="61">
        <f>IFERROR(VLOOKUP(Table2[[#This Row],[Code2]],'[2]New Machine sheet'!$F$2:$I$64,2,),0)</f>
        <v>24155</v>
      </c>
      <c r="H176" s="61" t="str">
        <f>IFERROR(VLOOKUP(Table2[[#This Row],[Code2]],'[2]New Machine sheet'!$F$2:$I$64,3,0),0)</f>
        <v>RE J1</v>
      </c>
      <c r="I176" s="61"/>
      <c r="J176" s="61">
        <v>93</v>
      </c>
      <c r="K176" s="61" t="str">
        <f>IFERROR(VLOOKUP(Table2[[#This Row],[Code3]],'[2]New defect code '!$A$2:$D$129,2,0),0)</f>
        <v>Thickness Under size</v>
      </c>
      <c r="L176" s="61" t="s">
        <v>178</v>
      </c>
      <c r="M176" s="56">
        <v>46266</v>
      </c>
      <c r="N176" s="61"/>
      <c r="O176" s="61"/>
      <c r="P176" s="61"/>
      <c r="Q176" s="61">
        <v>10</v>
      </c>
      <c r="R176" s="61">
        <f>SUBTOTAL(9,Table2[[#This Row],[1st]:[FQC]])</f>
        <v>10</v>
      </c>
      <c r="S176" s="61">
        <f>IFERROR(VLOOKUP(Table2[[#This Row],[Part No.]],'[2]New Machine sheet'!$G$2:$I$90,3,0),0)</f>
        <v>107.67</v>
      </c>
      <c r="T176" s="61">
        <f>Table2[[#This Row],[cost per piece]]*Table2[[#This Row],[Total Rej. qty]]</f>
        <v>1076.7</v>
      </c>
      <c r="U176" s="61">
        <f>IFERROR(VLOOKUP(Table2[[#This Row],[Non Conformance]],'[2]New defect code '!$B$2:$C$129,2,0),0)</f>
        <v>3258</v>
      </c>
      <c r="V176" s="61">
        <v>24</v>
      </c>
      <c r="W176" s="61" t="str">
        <f>IFERROR(VLOOKUP(Table2[[#This Row],[Code4]],'[2]New Reason code'!$A$2:$D$77,2,0),0)</f>
        <v>FQC return</v>
      </c>
      <c r="X176" s="61" t="str">
        <f>IFERROR(VLOOKUP(Table2[[#This Row],[Reason]],'[2]New Reason code'!$B$2:$D$77,2,0),0)</f>
        <v>Due to operator</v>
      </c>
      <c r="Y176" s="61" t="str">
        <f>IFERROR(VLOOKUP(Table2[[#This Row],[Rejection Identified at]],'[2]New Reason code'!$C$2:$D$77,2,0),0)</f>
        <v xml:space="preserve">infrastructure </v>
      </c>
    </row>
    <row r="177" spans="1:25" ht="20.25" customHeight="1">
      <c r="A177" s="60">
        <v>173</v>
      </c>
      <c r="B177" s="61">
        <v>18</v>
      </c>
      <c r="C177" s="61" t="str">
        <f>IFERROR(VLOOKUP(Table2[[#This Row],[Code]],'[2]New Machine sheet'!$A$1:$D$101,2,0),0)</f>
        <v>282-18</v>
      </c>
      <c r="D177" s="61" t="str">
        <f>IFERROR(VLOOKUP(Table2[[#This Row],[M/c No]],'[2]New Machine sheet'!$B$1:$D$101,2,0),0)</f>
        <v>Mazak</v>
      </c>
      <c r="E177" s="61" t="str">
        <f>IFERROR(VLOOKUP(Table2[[#This Row],[M/c Name]],'[2]New Machine sheet'!$C$1:$D$101,2,0),0)</f>
        <v>Turning</v>
      </c>
      <c r="F177" s="61">
        <v>178</v>
      </c>
      <c r="G177" s="61">
        <f>IFERROR(VLOOKUP(Table2[[#This Row],[Code2]],'[2]New Machine sheet'!$F$2:$I$64,2,),0)</f>
        <v>24178</v>
      </c>
      <c r="H177" s="61" t="str">
        <f>IFERROR(VLOOKUP(Table2[[#This Row],[Code2]],'[2]New Machine sheet'!$F$2:$I$64,3,0),0)</f>
        <v>RE J1</v>
      </c>
      <c r="I177" s="61"/>
      <c r="J177" s="61">
        <v>5</v>
      </c>
      <c r="K177" s="61" t="str">
        <f>IFERROR(VLOOKUP(Table2[[#This Row],[Code3]],'[2]New defect code '!$A$2:$D$129,2,0),0)</f>
        <v>Bore Over size</v>
      </c>
      <c r="L177" s="61" t="s">
        <v>178</v>
      </c>
      <c r="M177" s="56">
        <v>46266</v>
      </c>
      <c r="N177" s="61"/>
      <c r="O177" s="61"/>
      <c r="P177" s="61">
        <v>7</v>
      </c>
      <c r="Q177" s="61"/>
      <c r="R177" s="61">
        <f>SUBTOTAL(9,Table2[[#This Row],[1st]:[FQC]])</f>
        <v>7</v>
      </c>
      <c r="S177" s="61">
        <f>IFERROR(VLOOKUP(Table2[[#This Row],[Part No.]],'[2]New Machine sheet'!$G$2:$I$90,3,0),0)</f>
        <v>70.62</v>
      </c>
      <c r="T177" s="61">
        <f>Table2[[#This Row],[cost per piece]]*Table2[[#This Row],[Total Rej. qty]]</f>
        <v>494.34000000000003</v>
      </c>
      <c r="U177" s="61">
        <f>IFERROR(VLOOKUP(Table2[[#This Row],[Non Conformance]],'[2]New defect code '!$B$2:$C$129,2,0),0)</f>
        <v>3243</v>
      </c>
      <c r="V177" s="61">
        <v>19</v>
      </c>
      <c r="W177" s="61" t="str">
        <f>IFERROR(VLOOKUP(Table2[[#This Row],[Code4]],'[2]New Reason code'!$A$2:$D$77,2,0),0)</f>
        <v>During Rework time</v>
      </c>
      <c r="X177" s="61" t="str">
        <f>IFERROR(VLOOKUP(Table2[[#This Row],[Reason]],'[2]New Reason code'!$B$2:$D$77,2,0),0)</f>
        <v>Due to operator</v>
      </c>
      <c r="Y177" s="61" t="str">
        <f>IFERROR(VLOOKUP(Table2[[#This Row],[Rejection Identified at]],'[2]New Reason code'!$C$2:$D$77,2,0),0)</f>
        <v xml:space="preserve">infrastructure </v>
      </c>
    </row>
    <row r="178" spans="1:25" ht="20.25" customHeight="1">
      <c r="A178" s="60">
        <v>174</v>
      </c>
      <c r="B178" s="62">
        <v>15</v>
      </c>
      <c r="C178" s="62" t="str">
        <f>IFERROR(VLOOKUP(Table2[[#This Row],[Code]],'[2]New Machine sheet'!$A$1:$D$101,2,0),0)</f>
        <v>282-15</v>
      </c>
      <c r="D178" s="62" t="str">
        <f>IFERROR(VLOOKUP(Table2[[#This Row],[M/c No]],'[2]New Machine sheet'!$B$1:$D$101,2,0),0)</f>
        <v>Mazak</v>
      </c>
      <c r="E178" s="62" t="str">
        <f>IFERROR(VLOOKUP(Table2[[#This Row],[M/c Name]],'[2]New Machine sheet'!$C$1:$D$101,2,0),0)</f>
        <v>Turning</v>
      </c>
      <c r="F178" s="62">
        <v>78</v>
      </c>
      <c r="G178" s="62">
        <f>IFERROR(VLOOKUP(Table2[[#This Row],[Code2]],'[2]New Machine sheet'!$F$2:$I$64,2,),0)</f>
        <v>2478</v>
      </c>
      <c r="H178" s="62" t="str">
        <f>IFERROR(VLOOKUP(Table2[[#This Row],[Code2]],'[2]New Machine sheet'!$F$2:$I$64,3,0),0)</f>
        <v>RE P1</v>
      </c>
      <c r="I178" s="62"/>
      <c r="J178" s="62">
        <v>80</v>
      </c>
      <c r="K178" s="62" t="str">
        <f>IFERROR(VLOOKUP(Table2[[#This Row],[Code3]],'[2]New defect code '!$A$2:$D$129,2,0),0)</f>
        <v xml:space="preserve">Rust </v>
      </c>
      <c r="L178" s="61" t="s">
        <v>178</v>
      </c>
      <c r="M178" s="56">
        <v>46266</v>
      </c>
      <c r="N178" s="62"/>
      <c r="O178" s="62"/>
      <c r="P178" s="62">
        <v>3</v>
      </c>
      <c r="Q178" s="62"/>
      <c r="R178" s="62">
        <f>SUBTOTAL(9,Table2[[#This Row],[1st]:[FQC]])</f>
        <v>3</v>
      </c>
      <c r="S178" s="62">
        <f>IFERROR(VLOOKUP(Table2[[#This Row],[Part No.]],'[2]New Machine sheet'!$G$2:$I$90,3,0),0)</f>
        <v>468.06</v>
      </c>
      <c r="T178" s="62">
        <f>Table2[[#This Row],[cost per piece]]*Table2[[#This Row],[Total Rej. qty]]</f>
        <v>1404.18</v>
      </c>
      <c r="U178" s="62">
        <f>IFERROR(VLOOKUP(Table2[[#This Row],[Non Conformance]],'[2]New defect code '!$B$2:$C$129,2,0),0)</f>
        <v>0</v>
      </c>
      <c r="V178" s="62">
        <v>15</v>
      </c>
      <c r="W178" s="62" t="str">
        <f>IFERROR(VLOOKUP(Table2[[#This Row],[Code4]],'[2]New Reason code'!$A$2:$D$77,2,0),0)</f>
        <v>During ACMA (5S) time</v>
      </c>
      <c r="X178" s="62" t="str">
        <f>IFERROR(VLOOKUP(Table2[[#This Row],[Reason]],'[2]New Reason code'!$B$2:$D$77,2,0),0)</f>
        <v>Prod Declared</v>
      </c>
      <c r="Y178" s="62" t="str">
        <f>IFERROR(VLOOKUP(Table2[[#This Row],[Rejection Identified at]],'[2]New Reason code'!$C$2:$D$77,2,0),0)</f>
        <v>Process Issue</v>
      </c>
    </row>
    <row r="179" spans="1:25" ht="20.25" customHeight="1">
      <c r="A179" s="50">
        <v>175</v>
      </c>
      <c r="B179" s="61">
        <v>15</v>
      </c>
      <c r="C179" s="61" t="str">
        <f>IFERROR(VLOOKUP(Table2[[#This Row],[Code]],'[2]New Machine sheet'!$A$1:$D$101,2,0),0)</f>
        <v>282-15</v>
      </c>
      <c r="D179" s="61" t="str">
        <f>IFERROR(VLOOKUP(Table2[[#This Row],[M/c No]],'[2]New Machine sheet'!$B$1:$D$101,2,0),0)</f>
        <v>Mazak</v>
      </c>
      <c r="E179" s="61" t="str">
        <f>IFERROR(VLOOKUP(Table2[[#This Row],[M/c Name]],'[2]New Machine sheet'!$C$1:$D$101,2,0),0)</f>
        <v>Turning</v>
      </c>
      <c r="F179" s="61">
        <v>78</v>
      </c>
      <c r="G179" s="61">
        <f>IFERROR(VLOOKUP(Table2[[#This Row],[Code2]],'[2]New Machine sheet'!$F$2:$I$64,2,),0)</f>
        <v>2478</v>
      </c>
      <c r="H179" s="61" t="str">
        <f>IFERROR(VLOOKUP(Table2[[#This Row],[Code2]],'[2]New Machine sheet'!$F$2:$I$64,3,0),0)</f>
        <v>RE P1</v>
      </c>
      <c r="I179" s="61"/>
      <c r="J179" s="61">
        <v>66</v>
      </c>
      <c r="K179" s="61" t="str">
        <f>IFERROR(VLOOKUP(Table2[[#This Row],[Code3]],'[2]New defect code '!$A$2:$D$129,2,0),0)</f>
        <v>OD Under Size</v>
      </c>
      <c r="L179" s="61" t="s">
        <v>178</v>
      </c>
      <c r="M179" s="56">
        <v>46266</v>
      </c>
      <c r="N179" s="61"/>
      <c r="O179" s="61"/>
      <c r="P179" s="61">
        <v>5</v>
      </c>
      <c r="Q179" s="61"/>
      <c r="R179" s="61">
        <f>SUBTOTAL(9,Table2[[#This Row],[1st]:[FQC]])</f>
        <v>5</v>
      </c>
      <c r="S179" s="61">
        <f>IFERROR(VLOOKUP(Table2[[#This Row],[Part No.]],'[2]New Machine sheet'!$G$2:$I$90,3,0),0)</f>
        <v>468.06</v>
      </c>
      <c r="T179" s="61">
        <f>Table2[[#This Row],[cost per piece]]*Table2[[#This Row],[Total Rej. qty]]</f>
        <v>2340.3000000000002</v>
      </c>
      <c r="U179" s="61">
        <f>IFERROR(VLOOKUP(Table2[[#This Row],[Non Conformance]],'[2]New defect code '!$B$2:$C$129,2,0),0)</f>
        <v>3242</v>
      </c>
      <c r="V179" s="61">
        <v>19</v>
      </c>
      <c r="W179" s="61" t="str">
        <f>IFERROR(VLOOKUP(Table2[[#This Row],[Code4]],'[2]New Reason code'!$A$2:$D$77,2,0),0)</f>
        <v>During Rework time</v>
      </c>
      <c r="X179" s="61" t="str">
        <f>IFERROR(VLOOKUP(Table2[[#This Row],[Reason]],'[2]New Reason code'!$B$2:$D$77,2,0),0)</f>
        <v>Due to operator</v>
      </c>
      <c r="Y179" s="61" t="str">
        <f>IFERROR(VLOOKUP(Table2[[#This Row],[Rejection Identified at]],'[2]New Reason code'!$C$2:$D$77,2,0),0)</f>
        <v xml:space="preserve">infrastructure </v>
      </c>
    </row>
    <row r="180" spans="1:25" ht="20.25" customHeight="1">
      <c r="A180" s="60">
        <v>176</v>
      </c>
      <c r="B180" s="61">
        <v>15</v>
      </c>
      <c r="C180" s="61" t="str">
        <f>IFERROR(VLOOKUP(Table2[[#This Row],[Code]],'[2]New Machine sheet'!$A$1:$D$101,2,0),0)</f>
        <v>282-15</v>
      </c>
      <c r="D180" s="61" t="str">
        <f>IFERROR(VLOOKUP(Table2[[#This Row],[M/c No]],'[2]New Machine sheet'!$B$1:$D$101,2,0),0)</f>
        <v>Mazak</v>
      </c>
      <c r="E180" s="61" t="str">
        <f>IFERROR(VLOOKUP(Table2[[#This Row],[M/c Name]],'[2]New Machine sheet'!$C$1:$D$101,2,0),0)</f>
        <v>Turning</v>
      </c>
      <c r="F180" s="61">
        <v>78</v>
      </c>
      <c r="G180" s="61">
        <f>IFERROR(VLOOKUP(Table2[[#This Row],[Code2]],'[2]New Machine sheet'!$F$2:$I$64,2,),0)</f>
        <v>2478</v>
      </c>
      <c r="H180" s="61" t="str">
        <f>IFERROR(VLOOKUP(Table2[[#This Row],[Code2]],'[2]New Machine sheet'!$F$2:$I$64,3,0),0)</f>
        <v>RE P1</v>
      </c>
      <c r="I180" s="61"/>
      <c r="J180" s="61">
        <v>93</v>
      </c>
      <c r="K180" s="61" t="str">
        <f>IFERROR(VLOOKUP(Table2[[#This Row],[Code3]],'[2]New defect code '!$A$2:$D$129,2,0),0)</f>
        <v>Thickness Under size</v>
      </c>
      <c r="L180" s="61" t="s">
        <v>178</v>
      </c>
      <c r="M180" s="56">
        <v>46266</v>
      </c>
      <c r="N180" s="61"/>
      <c r="O180" s="61"/>
      <c r="P180" s="61">
        <v>5</v>
      </c>
      <c r="Q180" s="61"/>
      <c r="R180" s="61">
        <f>SUBTOTAL(9,Table2[[#This Row],[1st]:[FQC]])</f>
        <v>5</v>
      </c>
      <c r="S180" s="61">
        <f>IFERROR(VLOOKUP(Table2[[#This Row],[Part No.]],'[2]New Machine sheet'!$G$2:$I$90,3,0),0)</f>
        <v>468.06</v>
      </c>
      <c r="T180" s="61">
        <f>Table2[[#This Row],[cost per piece]]*Table2[[#This Row],[Total Rej. qty]]</f>
        <v>2340.3000000000002</v>
      </c>
      <c r="U180" s="61">
        <f>IFERROR(VLOOKUP(Table2[[#This Row],[Non Conformance]],'[2]New defect code '!$B$2:$C$129,2,0),0)</f>
        <v>3258</v>
      </c>
      <c r="V180" s="61">
        <v>19</v>
      </c>
      <c r="W180" s="61" t="str">
        <f>IFERROR(VLOOKUP(Table2[[#This Row],[Code4]],'[2]New Reason code'!$A$2:$D$77,2,0),0)</f>
        <v>During Rework time</v>
      </c>
      <c r="X180" s="61" t="str">
        <f>IFERROR(VLOOKUP(Table2[[#This Row],[Reason]],'[2]New Reason code'!$B$2:$D$77,2,0),0)</f>
        <v>Due to operator</v>
      </c>
      <c r="Y180" s="61" t="str">
        <f>IFERROR(VLOOKUP(Table2[[#This Row],[Rejection Identified at]],'[2]New Reason code'!$C$2:$D$77,2,0),0)</f>
        <v xml:space="preserve">infrastructure </v>
      </c>
    </row>
    <row r="181" spans="1:25" ht="20.25" customHeight="1">
      <c r="A181" s="60">
        <v>177</v>
      </c>
      <c r="B181" s="61">
        <v>13</v>
      </c>
      <c r="C181" s="61" t="str">
        <f>IFERROR(VLOOKUP(Table2[[#This Row],[Code]],'[2]New Machine sheet'!$A$1:$D$101,2,0),0)</f>
        <v>282-13</v>
      </c>
      <c r="D181" s="61" t="str">
        <f>IFERROR(VLOOKUP(Table2[[#This Row],[M/c No]],'[2]New Machine sheet'!$B$1:$D$101,2,0),0)</f>
        <v>Mazak</v>
      </c>
      <c r="E181" s="61" t="str">
        <f>IFERROR(VLOOKUP(Table2[[#This Row],[M/c Name]],'[2]New Machine sheet'!$C$1:$D$101,2,0),0)</f>
        <v>Turning</v>
      </c>
      <c r="F181" s="61">
        <v>102</v>
      </c>
      <c r="G181" s="61">
        <f>IFERROR(VLOOKUP(Table2[[#This Row],[Code2]],'[2]New Machine sheet'!$F$2:$I$64,2,),0)</f>
        <v>24102</v>
      </c>
      <c r="H181" s="61" t="str">
        <f>IFERROR(VLOOKUP(Table2[[#This Row],[Code2]],'[2]New Machine sheet'!$F$2:$I$64,3,0),0)</f>
        <v>RE J1</v>
      </c>
      <c r="I181" s="61"/>
      <c r="J181" s="61">
        <v>93</v>
      </c>
      <c r="K181" s="61" t="str">
        <f>IFERROR(VLOOKUP(Table2[[#This Row],[Code3]],'[2]New defect code '!$A$2:$D$129,2,0),0)</f>
        <v>Thickness Under size</v>
      </c>
      <c r="L181" s="61" t="s">
        <v>178</v>
      </c>
      <c r="M181" s="56">
        <v>46266</v>
      </c>
      <c r="N181" s="61"/>
      <c r="O181" s="61"/>
      <c r="P181" s="61">
        <v>10</v>
      </c>
      <c r="Q181" s="61"/>
      <c r="R181" s="61">
        <f>SUBTOTAL(9,Table2[[#This Row],[1st]:[FQC]])</f>
        <v>10</v>
      </c>
      <c r="S181" s="61">
        <f>IFERROR(VLOOKUP(Table2[[#This Row],[Part No.]],'[2]New Machine sheet'!$G$2:$I$90,3,0),0)</f>
        <v>93</v>
      </c>
      <c r="T181" s="61">
        <f>Table2[[#This Row],[cost per piece]]*Table2[[#This Row],[Total Rej. qty]]</f>
        <v>930</v>
      </c>
      <c r="U181" s="61">
        <f>IFERROR(VLOOKUP(Table2[[#This Row],[Non Conformance]],'[2]New defect code '!$B$2:$C$129,2,0),0)</f>
        <v>3258</v>
      </c>
      <c r="V181" s="61">
        <v>19</v>
      </c>
      <c r="W181" s="61" t="str">
        <f>IFERROR(VLOOKUP(Table2[[#This Row],[Code4]],'[2]New Reason code'!$A$2:$D$77,2,0),0)</f>
        <v>During Rework time</v>
      </c>
      <c r="X181" s="61" t="str">
        <f>IFERROR(VLOOKUP(Table2[[#This Row],[Reason]],'[2]New Reason code'!$B$2:$D$77,2,0),0)</f>
        <v>Due to operator</v>
      </c>
      <c r="Y181" s="61" t="str">
        <f>IFERROR(VLOOKUP(Table2[[#This Row],[Rejection Identified at]],'[2]New Reason code'!$C$2:$D$77,2,0),0)</f>
        <v xml:space="preserve">infrastructure </v>
      </c>
    </row>
    <row r="182" spans="1:25" ht="20.25" customHeight="1">
      <c r="A182" s="50">
        <v>178</v>
      </c>
      <c r="B182" s="61">
        <v>16</v>
      </c>
      <c r="C182" s="61" t="str">
        <f>IFERROR(VLOOKUP(Table2[[#This Row],[Code]],'[2]New Machine sheet'!$A$1:$D$101,2,0),0)</f>
        <v>282-16</v>
      </c>
      <c r="D182" s="61" t="str">
        <f>IFERROR(VLOOKUP(Table2[[#This Row],[M/c No]],'[2]New Machine sheet'!$B$1:$D$101,2,0),0)</f>
        <v>Mazak</v>
      </c>
      <c r="E182" s="61" t="str">
        <f>IFERROR(VLOOKUP(Table2[[#This Row],[M/c Name]],'[2]New Machine sheet'!$C$1:$D$101,2,0),0)</f>
        <v>Turning</v>
      </c>
      <c r="F182" s="61">
        <v>102</v>
      </c>
      <c r="G182" s="61">
        <f>IFERROR(VLOOKUP(Table2[[#This Row],[Code2]],'[2]New Machine sheet'!$F$2:$I$64,2,),0)</f>
        <v>24102</v>
      </c>
      <c r="H182" s="61" t="str">
        <f>IFERROR(VLOOKUP(Table2[[#This Row],[Code2]],'[2]New Machine sheet'!$F$2:$I$64,3,0),0)</f>
        <v>RE J1</v>
      </c>
      <c r="I182" s="61"/>
      <c r="J182" s="61">
        <v>93</v>
      </c>
      <c r="K182" s="61" t="str">
        <f>IFERROR(VLOOKUP(Table2[[#This Row],[Code3]],'[2]New defect code '!$A$2:$D$129,2,0),0)</f>
        <v>Thickness Under size</v>
      </c>
      <c r="L182" s="61" t="s">
        <v>178</v>
      </c>
      <c r="M182" s="56">
        <v>46266</v>
      </c>
      <c r="N182" s="61"/>
      <c r="O182" s="61"/>
      <c r="P182" s="61">
        <v>3</v>
      </c>
      <c r="Q182" s="61"/>
      <c r="R182" s="61">
        <f>SUBTOTAL(9,Table2[[#This Row],[1st]:[FQC]])</f>
        <v>3</v>
      </c>
      <c r="S182" s="61">
        <f>IFERROR(VLOOKUP(Table2[[#This Row],[Part No.]],'[2]New Machine sheet'!$G$2:$I$90,3,0),0)</f>
        <v>93</v>
      </c>
      <c r="T182" s="61">
        <f>Table2[[#This Row],[cost per piece]]*Table2[[#This Row],[Total Rej. qty]]</f>
        <v>279</v>
      </c>
      <c r="U182" s="61">
        <f>IFERROR(VLOOKUP(Table2[[#This Row],[Non Conformance]],'[2]New defect code '!$B$2:$C$129,2,0),0)</f>
        <v>3258</v>
      </c>
      <c r="V182" s="61">
        <v>17</v>
      </c>
      <c r="W182" s="61" t="str">
        <f>IFERROR(VLOOKUP(Table2[[#This Row],[Code4]],'[2]New Reason code'!$A$2:$D$77,2,0),0)</f>
        <v>during insert broken</v>
      </c>
      <c r="X182" s="61" t="str">
        <f>IFERROR(VLOOKUP(Table2[[#This Row],[Reason]],'[2]New Reason code'!$B$2:$D$77,2,0),0)</f>
        <v>Line audit</v>
      </c>
      <c r="Y182" s="61" t="str">
        <f>IFERROR(VLOOKUP(Table2[[#This Row],[Rejection Identified at]],'[2]New Reason code'!$C$2:$D$77,2,0),0)</f>
        <v>Process Issue</v>
      </c>
    </row>
    <row r="183" spans="1:25" ht="20.25" customHeight="1">
      <c r="A183" s="60">
        <v>179</v>
      </c>
      <c r="B183" s="61">
        <v>24</v>
      </c>
      <c r="C183" s="61" t="str">
        <f>IFERROR(VLOOKUP(Table2[[#This Row],[Code]],'[2]New Machine sheet'!$A$1:$D$101,2,0),0)</f>
        <v>ACE-04</v>
      </c>
      <c r="D183" s="61" t="str">
        <f>IFERROR(VLOOKUP(Table2[[#This Row],[M/c No]],'[2]New Machine sheet'!$B$1:$D$101,2,0),0)</f>
        <v>Micromatic</v>
      </c>
      <c r="E183" s="61" t="str">
        <f>IFERROR(VLOOKUP(Table2[[#This Row],[M/c Name]],'[2]New Machine sheet'!$C$1:$D$101,2,0),0)</f>
        <v>Turning</v>
      </c>
      <c r="F183" s="61">
        <v>125</v>
      </c>
      <c r="G183" s="61">
        <f>IFERROR(VLOOKUP(Table2[[#This Row],[Code2]],'[2]New Machine sheet'!$F$2:$I$64,2,),0)</f>
        <v>24125</v>
      </c>
      <c r="H183" s="61" t="str">
        <f>IFERROR(VLOOKUP(Table2[[#This Row],[Code2]],'[2]New Machine sheet'!$F$2:$I$64,3,0),0)</f>
        <v>RE J1</v>
      </c>
      <c r="I183" s="61"/>
      <c r="J183" s="61">
        <v>5</v>
      </c>
      <c r="K183" s="61" t="str">
        <f>IFERROR(VLOOKUP(Table2[[#This Row],[Code3]],'[2]New defect code '!$A$2:$D$129,2,0),0)</f>
        <v>Bore Over size</v>
      </c>
      <c r="L183" s="61" t="s">
        <v>178</v>
      </c>
      <c r="M183" s="56">
        <v>46266</v>
      </c>
      <c r="N183" s="61"/>
      <c r="O183" s="61"/>
      <c r="P183" s="61">
        <v>4</v>
      </c>
      <c r="Q183" s="61"/>
      <c r="R183" s="61">
        <f>SUBTOTAL(9,Table2[[#This Row],[1st]:[FQC]])</f>
        <v>4</v>
      </c>
      <c r="S183" s="61">
        <f>IFERROR(VLOOKUP(Table2[[#This Row],[Part No.]],'[2]New Machine sheet'!$G$2:$I$90,3,0),0)</f>
        <v>65.17</v>
      </c>
      <c r="T183" s="61">
        <f>Table2[[#This Row],[cost per piece]]*Table2[[#This Row],[Total Rej. qty]]</f>
        <v>260.68</v>
      </c>
      <c r="U183" s="61">
        <f>IFERROR(VLOOKUP(Table2[[#This Row],[Non Conformance]],'[2]New defect code '!$B$2:$C$129,2,0),0)</f>
        <v>3243</v>
      </c>
      <c r="V183" s="61">
        <v>70</v>
      </c>
      <c r="W183" s="61" t="str">
        <f>IFERROR(VLOOKUP(Table2[[#This Row],[Code4]],'[2]New Reason code'!$A$2:$D$77,2,0),0)</f>
        <v>Insert Wear Out</v>
      </c>
      <c r="X183" s="61" t="str">
        <f>IFERROR(VLOOKUP(Table2[[#This Row],[Reason]],'[2]New Reason code'!$B$2:$D$77,2,0),0)</f>
        <v>Line audit</v>
      </c>
      <c r="Y183" s="61" t="str">
        <f>IFERROR(VLOOKUP(Table2[[#This Row],[Rejection Identified at]],'[2]New Reason code'!$C$2:$D$77,2,0),0)</f>
        <v>Process Issue</v>
      </c>
    </row>
    <row r="184" spans="1:25" ht="20.25" customHeight="1">
      <c r="A184" s="60">
        <v>180</v>
      </c>
      <c r="B184" s="61">
        <v>24</v>
      </c>
      <c r="C184" s="61" t="str">
        <f>IFERROR(VLOOKUP(Table2[[#This Row],[Code]],'[2]New Machine sheet'!$A$1:$D$101,2,0),0)</f>
        <v>ACE-04</v>
      </c>
      <c r="D184" s="61" t="str">
        <f>IFERROR(VLOOKUP(Table2[[#This Row],[M/c No]],'[2]New Machine sheet'!$B$1:$D$101,2,0),0)</f>
        <v>Micromatic</v>
      </c>
      <c r="E184" s="61" t="str">
        <f>IFERROR(VLOOKUP(Table2[[#This Row],[M/c Name]],'[2]New Machine sheet'!$C$1:$D$101,2,0),0)</f>
        <v>Turning</v>
      </c>
      <c r="F184" s="61">
        <v>125</v>
      </c>
      <c r="G184" s="61">
        <f>IFERROR(VLOOKUP(Table2[[#This Row],[Code2]],'[2]New Machine sheet'!$F$2:$I$64,2,),0)</f>
        <v>24125</v>
      </c>
      <c r="H184" s="61" t="str">
        <f>IFERROR(VLOOKUP(Table2[[#This Row],[Code2]],'[2]New Machine sheet'!$F$2:$I$64,3,0),0)</f>
        <v>RE J1</v>
      </c>
      <c r="I184" s="61"/>
      <c r="J184" s="61">
        <v>93</v>
      </c>
      <c r="K184" s="61" t="str">
        <f>IFERROR(VLOOKUP(Table2[[#This Row],[Code3]],'[2]New defect code '!$A$2:$D$129,2,0),0)</f>
        <v>Thickness Under size</v>
      </c>
      <c r="L184" s="61" t="s">
        <v>178</v>
      </c>
      <c r="M184" s="56">
        <v>46266</v>
      </c>
      <c r="N184" s="61"/>
      <c r="O184" s="61"/>
      <c r="P184" s="61">
        <v>1</v>
      </c>
      <c r="Q184" s="61"/>
      <c r="R184" s="61">
        <f>SUBTOTAL(9,Table2[[#This Row],[1st]:[FQC]])</f>
        <v>1</v>
      </c>
      <c r="S184" s="61">
        <f>IFERROR(VLOOKUP(Table2[[#This Row],[Part No.]],'[2]New Machine sheet'!$G$2:$I$90,3,0),0)</f>
        <v>65.17</v>
      </c>
      <c r="T184" s="61">
        <f>Table2[[#This Row],[cost per piece]]*Table2[[#This Row],[Total Rej. qty]]</f>
        <v>65.17</v>
      </c>
      <c r="U184" s="61">
        <f>IFERROR(VLOOKUP(Table2[[#This Row],[Non Conformance]],'[2]New defect code '!$B$2:$C$129,2,0),0)</f>
        <v>3258</v>
      </c>
      <c r="V184" s="61">
        <v>64</v>
      </c>
      <c r="W184" s="61" t="str">
        <f>IFERROR(VLOOKUP(Table2[[#This Row],[Code4]],'[2]New Reason code'!$A$2:$D$77,2,0),0)</f>
        <v>Wrong correction</v>
      </c>
      <c r="X184" s="61" t="str">
        <f>IFERROR(VLOOKUP(Table2[[#This Row],[Reason]],'[2]New Reason code'!$B$2:$D$77,2,0),0)</f>
        <v>Due to operator</v>
      </c>
      <c r="Y184" s="61" t="str">
        <f>IFERROR(VLOOKUP(Table2[[#This Row],[Rejection Identified at]],'[2]New Reason code'!$C$2:$D$77,2,0),0)</f>
        <v xml:space="preserve">infrastructure </v>
      </c>
    </row>
    <row r="185" spans="1:25" ht="20.25" customHeight="1">
      <c r="A185" s="50">
        <v>181</v>
      </c>
      <c r="B185" s="61">
        <v>5</v>
      </c>
      <c r="C185" s="61" t="str">
        <f>IFERROR(VLOOKUP(Table2[[#This Row],[Code]],'[2]New Machine sheet'!$A$1:$D$101,2,0),0)</f>
        <v>282-05</v>
      </c>
      <c r="D185" s="61" t="str">
        <f>IFERROR(VLOOKUP(Table2[[#This Row],[M/c No]],'[2]New Machine sheet'!$B$1:$D$101,2,0),0)</f>
        <v>Mazak</v>
      </c>
      <c r="E185" s="61" t="str">
        <f>IFERROR(VLOOKUP(Table2[[#This Row],[M/c Name]],'[2]New Machine sheet'!$C$1:$D$101,2,0),0)</f>
        <v>Turning</v>
      </c>
      <c r="F185" s="61">
        <v>119</v>
      </c>
      <c r="G185" s="61">
        <f>IFERROR(VLOOKUP(Table2[[#This Row],[Code2]],'[2]New Machine sheet'!$F$2:$I$64,2,),0)</f>
        <v>24119</v>
      </c>
      <c r="H185" s="61" t="str">
        <f>IFERROR(VLOOKUP(Table2[[#This Row],[Code2]],'[2]New Machine sheet'!$F$2:$I$64,3,0),0)</f>
        <v>RE J1</v>
      </c>
      <c r="I185" s="61"/>
      <c r="J185" s="61">
        <v>5</v>
      </c>
      <c r="K185" s="61" t="str">
        <f>IFERROR(VLOOKUP(Table2[[#This Row],[Code3]],'[2]New defect code '!$A$2:$D$129,2,0),0)</f>
        <v>Bore Over size</v>
      </c>
      <c r="L185" s="61" t="s">
        <v>178</v>
      </c>
      <c r="M185" s="56">
        <v>46266</v>
      </c>
      <c r="N185" s="61"/>
      <c r="O185" s="61"/>
      <c r="P185" s="61">
        <v>9</v>
      </c>
      <c r="Q185" s="61"/>
      <c r="R185" s="61">
        <f>SUBTOTAL(9,Table2[[#This Row],[1st]:[FQC]])</f>
        <v>9</v>
      </c>
      <c r="S185" s="61">
        <f>IFERROR(VLOOKUP(Table2[[#This Row],[Part No.]],'[2]New Machine sheet'!$G$2:$I$90,3,0),0)</f>
        <v>103.2</v>
      </c>
      <c r="T185" s="61">
        <f>Table2[[#This Row],[cost per piece]]*Table2[[#This Row],[Total Rej. qty]]</f>
        <v>928.80000000000007</v>
      </c>
      <c r="U185" s="61">
        <f>IFERROR(VLOOKUP(Table2[[#This Row],[Non Conformance]],'[2]New defect code '!$B$2:$C$129,2,0),0)</f>
        <v>3243</v>
      </c>
      <c r="V185" s="61">
        <v>19</v>
      </c>
      <c r="W185" s="61" t="str">
        <f>IFERROR(VLOOKUP(Table2[[#This Row],[Code4]],'[2]New Reason code'!$A$2:$D$77,2,0),0)</f>
        <v>During Rework time</v>
      </c>
      <c r="X185" s="61" t="str">
        <f>IFERROR(VLOOKUP(Table2[[#This Row],[Reason]],'[2]New Reason code'!$B$2:$D$77,2,0),0)</f>
        <v>Due to operator</v>
      </c>
      <c r="Y185" s="61" t="str">
        <f>IFERROR(VLOOKUP(Table2[[#This Row],[Rejection Identified at]],'[2]New Reason code'!$C$2:$D$77,2,0),0)</f>
        <v xml:space="preserve">infrastructure </v>
      </c>
    </row>
    <row r="186" spans="1:25" ht="20.25" customHeight="1">
      <c r="A186" s="60">
        <v>182</v>
      </c>
      <c r="B186" s="61">
        <v>5</v>
      </c>
      <c r="C186" s="61" t="str">
        <f>IFERROR(VLOOKUP(Table2[[#This Row],[Code]],'[2]New Machine sheet'!$A$1:$D$101,2,0),0)</f>
        <v>282-05</v>
      </c>
      <c r="D186" s="61" t="str">
        <f>IFERROR(VLOOKUP(Table2[[#This Row],[M/c No]],'[2]New Machine sheet'!$B$1:$D$101,2,0),0)</f>
        <v>Mazak</v>
      </c>
      <c r="E186" s="61" t="str">
        <f>IFERROR(VLOOKUP(Table2[[#This Row],[M/c Name]],'[2]New Machine sheet'!$C$1:$D$101,2,0),0)</f>
        <v>Turning</v>
      </c>
      <c r="F186" s="61">
        <v>119</v>
      </c>
      <c r="G186" s="61">
        <f>IFERROR(VLOOKUP(Table2[[#This Row],[Code2]],'[2]New Machine sheet'!$F$2:$I$64,2,),0)</f>
        <v>24119</v>
      </c>
      <c r="H186" s="61" t="str">
        <f>IFERROR(VLOOKUP(Table2[[#This Row],[Code2]],'[2]New Machine sheet'!$F$2:$I$64,3,0),0)</f>
        <v>RE J1</v>
      </c>
      <c r="I186" s="61"/>
      <c r="J186" s="61">
        <v>93</v>
      </c>
      <c r="K186" s="61" t="str">
        <f>IFERROR(VLOOKUP(Table2[[#This Row],[Code3]],'[2]New defect code '!$A$2:$D$129,2,0),0)</f>
        <v>Thickness Under size</v>
      </c>
      <c r="L186" s="61" t="s">
        <v>178</v>
      </c>
      <c r="M186" s="56">
        <v>46266</v>
      </c>
      <c r="N186" s="61"/>
      <c r="O186" s="61"/>
      <c r="P186" s="61">
        <v>6</v>
      </c>
      <c r="Q186" s="61"/>
      <c r="R186" s="61">
        <f>SUBTOTAL(9,Table2[[#This Row],[1st]:[FQC]])</f>
        <v>6</v>
      </c>
      <c r="S186" s="61">
        <f>IFERROR(VLOOKUP(Table2[[#This Row],[Part No.]],'[2]New Machine sheet'!$G$2:$I$90,3,0),0)</f>
        <v>103.2</v>
      </c>
      <c r="T186" s="61">
        <f>Table2[[#This Row],[cost per piece]]*Table2[[#This Row],[Total Rej. qty]]</f>
        <v>619.20000000000005</v>
      </c>
      <c r="U186" s="61">
        <f>IFERROR(VLOOKUP(Table2[[#This Row],[Non Conformance]],'[2]New defect code '!$B$2:$C$129,2,0),0)</f>
        <v>3258</v>
      </c>
      <c r="V186" s="61">
        <v>19</v>
      </c>
      <c r="W186" s="61" t="str">
        <f>IFERROR(VLOOKUP(Table2[[#This Row],[Code4]],'[2]New Reason code'!$A$2:$D$77,2,0),0)</f>
        <v>During Rework time</v>
      </c>
      <c r="X186" s="61" t="str">
        <f>IFERROR(VLOOKUP(Table2[[#This Row],[Reason]],'[2]New Reason code'!$B$2:$D$77,2,0),0)</f>
        <v>Due to operator</v>
      </c>
      <c r="Y186" s="61" t="str">
        <f>IFERROR(VLOOKUP(Table2[[#This Row],[Rejection Identified at]],'[2]New Reason code'!$C$2:$D$77,2,0),0)</f>
        <v xml:space="preserve">infrastructure </v>
      </c>
    </row>
    <row r="187" spans="1:25" ht="20.25" customHeight="1">
      <c r="A187" s="60">
        <v>183</v>
      </c>
      <c r="B187" s="61">
        <v>17</v>
      </c>
      <c r="C187" s="61" t="str">
        <f>IFERROR(VLOOKUP(Table2[[#This Row],[Code]],'[2]New Machine sheet'!$A$1:$D$101,2,0),0)</f>
        <v>282-17</v>
      </c>
      <c r="D187" s="61" t="str">
        <f>IFERROR(VLOOKUP(Table2[[#This Row],[M/c No]],'[2]New Machine sheet'!$B$1:$D$101,2,0),0)</f>
        <v>Mazak</v>
      </c>
      <c r="E187" s="61" t="str">
        <f>IFERROR(VLOOKUP(Table2[[#This Row],[M/c Name]],'[2]New Machine sheet'!$C$1:$D$101,2,0),0)</f>
        <v>Turning</v>
      </c>
      <c r="F187" s="61">
        <v>113</v>
      </c>
      <c r="G187" s="61">
        <f>IFERROR(VLOOKUP(Table2[[#This Row],[Code2]],'[2]New Machine sheet'!$F$2:$I$64,2,),0)</f>
        <v>24113</v>
      </c>
      <c r="H187" s="61" t="str">
        <f>IFERROR(VLOOKUP(Table2[[#This Row],[Code2]],'[2]New Machine sheet'!$F$2:$I$64,3,0),0)</f>
        <v>RE J1</v>
      </c>
      <c r="I187" s="61"/>
      <c r="J187" s="61">
        <v>5</v>
      </c>
      <c r="K187" s="61" t="str">
        <f>IFERROR(VLOOKUP(Table2[[#This Row],[Code3]],'[2]New defect code '!$A$2:$D$129,2,0),0)</f>
        <v>Bore Over size</v>
      </c>
      <c r="L187" s="61" t="s">
        <v>178</v>
      </c>
      <c r="M187" s="56">
        <v>46266</v>
      </c>
      <c r="N187" s="61"/>
      <c r="O187" s="61"/>
      <c r="P187" s="61">
        <v>7</v>
      </c>
      <c r="Q187" s="61"/>
      <c r="R187" s="61">
        <f>SUBTOTAL(9,Table2[[#This Row],[1st]:[FQC]])</f>
        <v>7</v>
      </c>
      <c r="S187" s="61">
        <f>IFERROR(VLOOKUP(Table2[[#This Row],[Part No.]],'[2]New Machine sheet'!$G$2:$I$90,3,0),0)</f>
        <v>90</v>
      </c>
      <c r="T187" s="61">
        <f>Table2[[#This Row],[cost per piece]]*Table2[[#This Row],[Total Rej. qty]]</f>
        <v>630</v>
      </c>
      <c r="U187" s="61">
        <f>IFERROR(VLOOKUP(Table2[[#This Row],[Non Conformance]],'[2]New defect code '!$B$2:$C$129,2,0),0)</f>
        <v>3243</v>
      </c>
      <c r="V187" s="61">
        <v>19</v>
      </c>
      <c r="W187" s="61" t="str">
        <f>IFERROR(VLOOKUP(Table2[[#This Row],[Code4]],'[2]New Reason code'!$A$2:$D$77,2,0),0)</f>
        <v>During Rework time</v>
      </c>
      <c r="X187" s="61" t="str">
        <f>IFERROR(VLOOKUP(Table2[[#This Row],[Reason]],'[2]New Reason code'!$B$2:$D$77,2,0),0)</f>
        <v>Due to operator</v>
      </c>
      <c r="Y187" s="61" t="str">
        <f>IFERROR(VLOOKUP(Table2[[#This Row],[Rejection Identified at]],'[2]New Reason code'!$C$2:$D$77,2,0),0)</f>
        <v xml:space="preserve">infrastructure </v>
      </c>
    </row>
    <row r="188" spans="1:25" ht="20.25" customHeight="1">
      <c r="A188" s="50">
        <v>184</v>
      </c>
      <c r="B188" s="61">
        <v>17</v>
      </c>
      <c r="C188" s="61" t="str">
        <f>IFERROR(VLOOKUP(Table2[[#This Row],[Code]],'[2]New Machine sheet'!$A$1:$D$101,2,0),0)</f>
        <v>282-17</v>
      </c>
      <c r="D188" s="61" t="str">
        <f>IFERROR(VLOOKUP(Table2[[#This Row],[M/c No]],'[2]New Machine sheet'!$B$1:$D$101,2,0),0)</f>
        <v>Mazak</v>
      </c>
      <c r="E188" s="61" t="str">
        <f>IFERROR(VLOOKUP(Table2[[#This Row],[M/c Name]],'[2]New Machine sheet'!$C$1:$D$101,2,0),0)</f>
        <v>Turning</v>
      </c>
      <c r="F188" s="61">
        <v>113</v>
      </c>
      <c r="G188" s="61">
        <f>IFERROR(VLOOKUP(Table2[[#This Row],[Code2]],'[2]New Machine sheet'!$F$2:$I$64,2,),0)</f>
        <v>24113</v>
      </c>
      <c r="H188" s="61" t="str">
        <f>IFERROR(VLOOKUP(Table2[[#This Row],[Code2]],'[2]New Machine sheet'!$F$2:$I$64,3,0),0)</f>
        <v>RE J1</v>
      </c>
      <c r="I188" s="61"/>
      <c r="J188" s="61">
        <v>93</v>
      </c>
      <c r="K188" s="61" t="str">
        <f>IFERROR(VLOOKUP(Table2[[#This Row],[Code3]],'[2]New defect code '!$A$2:$D$129,2,0),0)</f>
        <v>Thickness Under size</v>
      </c>
      <c r="L188" s="61" t="s">
        <v>178</v>
      </c>
      <c r="M188" s="56">
        <v>46266</v>
      </c>
      <c r="N188" s="61"/>
      <c r="O188" s="61"/>
      <c r="P188" s="61">
        <v>7</v>
      </c>
      <c r="Q188" s="61"/>
      <c r="R188" s="61">
        <f>SUBTOTAL(9,Table2[[#This Row],[1st]:[FQC]])</f>
        <v>7</v>
      </c>
      <c r="S188" s="61">
        <f>IFERROR(VLOOKUP(Table2[[#This Row],[Part No.]],'[2]New Machine sheet'!$G$2:$I$90,3,0),0)</f>
        <v>90</v>
      </c>
      <c r="T188" s="61">
        <f>Table2[[#This Row],[cost per piece]]*Table2[[#This Row],[Total Rej. qty]]</f>
        <v>630</v>
      </c>
      <c r="U188" s="61">
        <f>IFERROR(VLOOKUP(Table2[[#This Row],[Non Conformance]],'[2]New defect code '!$B$2:$C$129,2,0),0)</f>
        <v>3258</v>
      </c>
      <c r="V188" s="61">
        <v>19</v>
      </c>
      <c r="W188" s="61" t="str">
        <f>IFERROR(VLOOKUP(Table2[[#This Row],[Code4]],'[2]New Reason code'!$A$2:$D$77,2,0),0)</f>
        <v>During Rework time</v>
      </c>
      <c r="X188" s="61" t="str">
        <f>IFERROR(VLOOKUP(Table2[[#This Row],[Reason]],'[2]New Reason code'!$B$2:$D$77,2,0),0)</f>
        <v>Due to operator</v>
      </c>
      <c r="Y188" s="61" t="str">
        <f>IFERROR(VLOOKUP(Table2[[#This Row],[Rejection Identified at]],'[2]New Reason code'!$C$2:$D$77,2,0),0)</f>
        <v xml:space="preserve">infrastructure </v>
      </c>
    </row>
    <row r="189" spans="1:25" ht="20.25" customHeight="1">
      <c r="A189" s="60">
        <v>185</v>
      </c>
      <c r="B189" s="61">
        <v>6</v>
      </c>
      <c r="C189" s="61" t="str">
        <f>IFERROR(VLOOKUP(Table2[[#This Row],[Code]],'[2]New Machine sheet'!$A$1:$D$101,2,0),0)</f>
        <v>282-06</v>
      </c>
      <c r="D189" s="61" t="str">
        <f>IFERROR(VLOOKUP(Table2[[#This Row],[M/c No]],'[2]New Machine sheet'!$B$1:$D$101,2,0),0)</f>
        <v>Mazak</v>
      </c>
      <c r="E189" s="61" t="str">
        <f>IFERROR(VLOOKUP(Table2[[#This Row],[M/c Name]],'[2]New Machine sheet'!$C$1:$D$101,2,0),0)</f>
        <v>Turning</v>
      </c>
      <c r="F189" s="61">
        <v>178</v>
      </c>
      <c r="G189" s="61">
        <f>IFERROR(VLOOKUP(Table2[[#This Row],[Code2]],'[2]New Machine sheet'!$F$2:$I$64,2,),0)</f>
        <v>24178</v>
      </c>
      <c r="H189" s="61" t="str">
        <f>IFERROR(VLOOKUP(Table2[[#This Row],[Code2]],'[2]New Machine sheet'!$F$2:$I$64,3,0),0)</f>
        <v>RE J1</v>
      </c>
      <c r="I189" s="61" t="s">
        <v>179</v>
      </c>
      <c r="J189" s="61">
        <v>5</v>
      </c>
      <c r="K189" s="61" t="str">
        <f>IFERROR(VLOOKUP(Table2[[#This Row],[Code3]],'[2]New defect code '!$A$2:$D$129,2,0),0)</f>
        <v>Bore Over size</v>
      </c>
      <c r="L189" s="61" t="s">
        <v>188</v>
      </c>
      <c r="M189" s="56">
        <v>46266</v>
      </c>
      <c r="N189" s="61">
        <v>1</v>
      </c>
      <c r="O189" s="61"/>
      <c r="P189" s="61"/>
      <c r="Q189" s="61"/>
      <c r="R189" s="61">
        <f>SUBTOTAL(9,Table2[[#This Row],[1st]:[FQC]])</f>
        <v>1</v>
      </c>
      <c r="S189" s="61">
        <f>IFERROR(VLOOKUP(Table2[[#This Row],[Part No.]],'[2]New Machine sheet'!$G$2:$I$90,3,0),0)</f>
        <v>70.62</v>
      </c>
      <c r="T189" s="61">
        <f>Table2[[#This Row],[cost per piece]]*Table2[[#This Row],[Total Rej. qty]]</f>
        <v>70.62</v>
      </c>
      <c r="U189" s="61">
        <f>IFERROR(VLOOKUP(Table2[[#This Row],[Non Conformance]],'[2]New defect code '!$B$2:$C$129,2,0),0)</f>
        <v>3243</v>
      </c>
      <c r="V189" s="61">
        <v>18</v>
      </c>
      <c r="W189" s="61" t="str">
        <f>IFERROR(VLOOKUP(Table2[[#This Row],[Code4]],'[2]New Reason code'!$A$2:$D$77,2,0),0)</f>
        <v>During insert change</v>
      </c>
      <c r="X189" s="61" t="str">
        <f>IFERROR(VLOOKUP(Table2[[#This Row],[Reason]],'[2]New Reason code'!$B$2:$D$77,2,0),0)</f>
        <v xml:space="preserve">Due to Settup  </v>
      </c>
      <c r="Y189" s="61" t="str">
        <f>IFERROR(VLOOKUP(Table2[[#This Row],[Rejection Identified at]],'[2]New Reason code'!$C$2:$D$77,2,0),0)</f>
        <v>skill</v>
      </c>
    </row>
    <row r="190" spans="1:25" ht="20.25" customHeight="1">
      <c r="A190" s="60">
        <v>186</v>
      </c>
      <c r="B190" s="61">
        <v>15</v>
      </c>
      <c r="C190" s="61" t="str">
        <f>IFERROR(VLOOKUP(Table2[[#This Row],[Code]],'[2]New Machine sheet'!$A$1:$D$101,2,0),0)</f>
        <v>282-15</v>
      </c>
      <c r="D190" s="61" t="str">
        <f>IFERROR(VLOOKUP(Table2[[#This Row],[M/c No]],'[2]New Machine sheet'!$B$1:$D$101,2,0),0)</f>
        <v>Mazak</v>
      </c>
      <c r="E190" s="61" t="str">
        <f>IFERROR(VLOOKUP(Table2[[#This Row],[M/c Name]],'[2]New Machine sheet'!$C$1:$D$101,2,0),0)</f>
        <v>Turning</v>
      </c>
      <c r="F190" s="61">
        <v>78</v>
      </c>
      <c r="G190" s="61">
        <f>IFERROR(VLOOKUP(Table2[[#This Row],[Code2]],'[2]New Machine sheet'!$F$2:$I$64,2,),0)</f>
        <v>2478</v>
      </c>
      <c r="H190" s="61" t="str">
        <f>IFERROR(VLOOKUP(Table2[[#This Row],[Code2]],'[2]New Machine sheet'!$F$2:$I$64,3,0),0)</f>
        <v>RE P1</v>
      </c>
      <c r="I190" s="61" t="s">
        <v>164</v>
      </c>
      <c r="J190" s="61">
        <v>5</v>
      </c>
      <c r="K190" s="61" t="str">
        <f>IFERROR(VLOOKUP(Table2[[#This Row],[Code3]],'[2]New defect code '!$A$2:$D$129,2,0),0)</f>
        <v>Bore Over size</v>
      </c>
      <c r="L190" s="61" t="s">
        <v>188</v>
      </c>
      <c r="M190" s="56">
        <v>46266</v>
      </c>
      <c r="N190" s="61">
        <v>1</v>
      </c>
      <c r="O190" s="61"/>
      <c r="P190" s="61"/>
      <c r="Q190" s="61"/>
      <c r="R190" s="61">
        <f>SUBTOTAL(9,Table2[[#This Row],[1st]:[FQC]])</f>
        <v>1</v>
      </c>
      <c r="S190" s="61">
        <f>IFERROR(VLOOKUP(Table2[[#This Row],[Part No.]],'[2]New Machine sheet'!$G$2:$I$90,3,0),0)</f>
        <v>468.06</v>
      </c>
      <c r="T190" s="61">
        <f>Table2[[#This Row],[cost per piece]]*Table2[[#This Row],[Total Rej. qty]]</f>
        <v>468.06</v>
      </c>
      <c r="U190" s="61">
        <f>IFERROR(VLOOKUP(Table2[[#This Row],[Non Conformance]],'[2]New defect code '!$B$2:$C$129,2,0),0)</f>
        <v>3243</v>
      </c>
      <c r="V190" s="61">
        <v>18</v>
      </c>
      <c r="W190" s="61" t="str">
        <f>IFERROR(VLOOKUP(Table2[[#This Row],[Code4]],'[2]New Reason code'!$A$2:$D$77,2,0),0)</f>
        <v>During insert change</v>
      </c>
      <c r="X190" s="61" t="str">
        <f>IFERROR(VLOOKUP(Table2[[#This Row],[Reason]],'[2]New Reason code'!$B$2:$D$77,2,0),0)</f>
        <v xml:space="preserve">Due to Settup  </v>
      </c>
      <c r="Y190" s="61" t="str">
        <f>IFERROR(VLOOKUP(Table2[[#This Row],[Rejection Identified at]],'[2]New Reason code'!$C$2:$D$77,2,0),0)</f>
        <v>skill</v>
      </c>
    </row>
    <row r="191" spans="1:25" ht="20.25" customHeight="1">
      <c r="A191" s="50">
        <v>187</v>
      </c>
      <c r="B191" s="61">
        <v>47</v>
      </c>
      <c r="C191" s="61" t="str">
        <f>IFERROR(VLOOKUP(Table2[[#This Row],[Code]],'[2]New Machine sheet'!$A$1:$D$101,2,0),0)</f>
        <v>MURATEC-03</v>
      </c>
      <c r="D191" s="61" t="str">
        <f>IFERROR(VLOOKUP(Table2[[#This Row],[M/c No]],'[2]New Machine sheet'!$B$1:$D$101,2,0),0)</f>
        <v>MURATEC</v>
      </c>
      <c r="E191" s="61" t="str">
        <f>IFERROR(VLOOKUP(Table2[[#This Row],[M/c Name]],'[2]New Machine sheet'!$C$1:$D$101,2,0),0)</f>
        <v xml:space="preserve">turning </v>
      </c>
      <c r="F191" s="61">
        <v>127</v>
      </c>
      <c r="G191" s="61">
        <f>IFERROR(VLOOKUP(Table2[[#This Row],[Code2]],'[2]New Machine sheet'!$F$2:$I$64,2,),0)</f>
        <v>24127</v>
      </c>
      <c r="H191" s="61" t="str">
        <f>IFERROR(VLOOKUP(Table2[[#This Row],[Code2]],'[2]New Machine sheet'!$F$2:$I$64,3,0),0)</f>
        <v>RE J1</v>
      </c>
      <c r="I191" s="61" t="s">
        <v>130</v>
      </c>
      <c r="J191" s="61">
        <v>66</v>
      </c>
      <c r="K191" s="61" t="str">
        <f>IFERROR(VLOOKUP(Table2[[#This Row],[Code3]],'[2]New defect code '!$A$2:$D$129,2,0),0)</f>
        <v>OD Under Size</v>
      </c>
      <c r="L191" s="61" t="s">
        <v>188</v>
      </c>
      <c r="M191" s="56">
        <v>46266</v>
      </c>
      <c r="N191" s="61">
        <v>2</v>
      </c>
      <c r="O191" s="61"/>
      <c r="P191" s="61"/>
      <c r="Q191" s="61"/>
      <c r="R191" s="61">
        <f>SUBTOTAL(9,Table2[[#This Row],[1st]:[FQC]])</f>
        <v>2</v>
      </c>
      <c r="S191" s="61">
        <f>IFERROR(VLOOKUP(Table2[[#This Row],[Part No.]],'[2]New Machine sheet'!$G$2:$I$90,3,0),0)</f>
        <v>262.81200000000001</v>
      </c>
      <c r="T191" s="61">
        <f>Table2[[#This Row],[cost per piece]]*Table2[[#This Row],[Total Rej. qty]]</f>
        <v>525.62400000000002</v>
      </c>
      <c r="U191" s="61">
        <f>IFERROR(VLOOKUP(Table2[[#This Row],[Non Conformance]],'[2]New defect code '!$B$2:$C$129,2,0),0)</f>
        <v>3242</v>
      </c>
      <c r="V191" s="61">
        <v>18</v>
      </c>
      <c r="W191" s="61" t="str">
        <f>IFERROR(VLOOKUP(Table2[[#This Row],[Code4]],'[2]New Reason code'!$A$2:$D$77,2,0),0)</f>
        <v>During insert change</v>
      </c>
      <c r="X191" s="61" t="str">
        <f>IFERROR(VLOOKUP(Table2[[#This Row],[Reason]],'[2]New Reason code'!$B$2:$D$77,2,0),0)</f>
        <v xml:space="preserve">Due to Settup  </v>
      </c>
      <c r="Y191" s="61" t="str">
        <f>IFERROR(VLOOKUP(Table2[[#This Row],[Rejection Identified at]],'[2]New Reason code'!$C$2:$D$77,2,0),0)</f>
        <v>skill</v>
      </c>
    </row>
    <row r="192" spans="1:25" ht="20.25" customHeight="1">
      <c r="A192" s="60">
        <v>188</v>
      </c>
      <c r="B192" s="61">
        <v>5</v>
      </c>
      <c r="C192" s="61" t="str">
        <f>IFERROR(VLOOKUP(Table2[[#This Row],[Code]],'[2]New Machine sheet'!$A$1:$D$101,2,0),0)</f>
        <v>282-05</v>
      </c>
      <c r="D192" s="61" t="str">
        <f>IFERROR(VLOOKUP(Table2[[#This Row],[M/c No]],'[2]New Machine sheet'!$B$1:$D$101,2,0),0)</f>
        <v>Mazak</v>
      </c>
      <c r="E192" s="61" t="str">
        <f>IFERROR(VLOOKUP(Table2[[#This Row],[M/c Name]],'[2]New Machine sheet'!$C$1:$D$101,2,0),0)</f>
        <v>Turning</v>
      </c>
      <c r="F192" s="61">
        <v>119</v>
      </c>
      <c r="G192" s="61">
        <f>IFERROR(VLOOKUP(Table2[[#This Row],[Code2]],'[2]New Machine sheet'!$F$2:$I$64,2,),0)</f>
        <v>24119</v>
      </c>
      <c r="H192" s="61" t="str">
        <f>IFERROR(VLOOKUP(Table2[[#This Row],[Code2]],'[2]New Machine sheet'!$F$2:$I$64,3,0),0)</f>
        <v>RE J1</v>
      </c>
      <c r="I192" s="61" t="s">
        <v>154</v>
      </c>
      <c r="J192" s="61">
        <v>5</v>
      </c>
      <c r="K192" s="61" t="str">
        <f>IFERROR(VLOOKUP(Table2[[#This Row],[Code3]],'[2]New defect code '!$A$2:$D$129,2,0),0)</f>
        <v>Bore Over size</v>
      </c>
      <c r="L192" s="61" t="s">
        <v>188</v>
      </c>
      <c r="M192" s="56">
        <v>46266</v>
      </c>
      <c r="N192" s="61">
        <v>2</v>
      </c>
      <c r="O192" s="61"/>
      <c r="P192" s="61"/>
      <c r="Q192" s="61"/>
      <c r="R192" s="61">
        <f>SUBTOTAL(9,Table2[[#This Row],[1st]:[FQC]])</f>
        <v>2</v>
      </c>
      <c r="S192" s="61">
        <f>IFERROR(VLOOKUP(Table2[[#This Row],[Part No.]],'[2]New Machine sheet'!$G$2:$I$90,3,0),0)</f>
        <v>103.2</v>
      </c>
      <c r="T192" s="61">
        <f>Table2[[#This Row],[cost per piece]]*Table2[[#This Row],[Total Rej. qty]]</f>
        <v>206.4</v>
      </c>
      <c r="U192" s="61">
        <f>IFERROR(VLOOKUP(Table2[[#This Row],[Non Conformance]],'[2]New defect code '!$B$2:$C$129,2,0),0)</f>
        <v>3243</v>
      </c>
      <c r="V192" s="61">
        <v>18</v>
      </c>
      <c r="W192" s="61" t="str">
        <f>IFERROR(VLOOKUP(Table2[[#This Row],[Code4]],'[2]New Reason code'!$A$2:$D$77,2,0),0)</f>
        <v>During insert change</v>
      </c>
      <c r="X192" s="61" t="str">
        <f>IFERROR(VLOOKUP(Table2[[#This Row],[Reason]],'[2]New Reason code'!$B$2:$D$77,2,0),0)</f>
        <v xml:space="preserve">Due to Settup  </v>
      </c>
      <c r="Y192" s="61" t="str">
        <f>IFERROR(VLOOKUP(Table2[[#This Row],[Rejection Identified at]],'[2]New Reason code'!$C$2:$D$77,2,0),0)</f>
        <v>skill</v>
      </c>
    </row>
    <row r="193" spans="1:25" ht="20.25" customHeight="1">
      <c r="A193" s="60">
        <v>189</v>
      </c>
      <c r="B193" s="61">
        <v>23</v>
      </c>
      <c r="C193" s="61" t="str">
        <f>IFERROR(VLOOKUP(Table2[[#This Row],[Code]],'[2]New Machine sheet'!$A$1:$D$101,2,0),0)</f>
        <v>ACE-03</v>
      </c>
      <c r="D193" s="61" t="str">
        <f>IFERROR(VLOOKUP(Table2[[#This Row],[M/c No]],'[2]New Machine sheet'!$B$1:$D$101,2,0),0)</f>
        <v>Micromatic</v>
      </c>
      <c r="E193" s="61" t="str">
        <f>IFERROR(VLOOKUP(Table2[[#This Row],[M/c Name]],'[2]New Machine sheet'!$C$1:$D$101,2,0),0)</f>
        <v>Turning</v>
      </c>
      <c r="F193" s="61">
        <v>29</v>
      </c>
      <c r="G193" s="61">
        <f>IFERROR(VLOOKUP(Table2[[#This Row],[Code2]],'[2]New Machine sheet'!$F$2:$I$64,2,),0)</f>
        <v>2429</v>
      </c>
      <c r="H193" s="61" t="str">
        <f>IFERROR(VLOOKUP(Table2[[#This Row],[Code2]],'[2]New Machine sheet'!$F$2:$I$64,3,0),0)</f>
        <v>RE P1</v>
      </c>
      <c r="I193" s="61" t="s">
        <v>141</v>
      </c>
      <c r="J193" s="61">
        <v>5</v>
      </c>
      <c r="K193" s="61" t="str">
        <f>IFERROR(VLOOKUP(Table2[[#This Row],[Code3]],'[2]New defect code '!$A$2:$D$129,2,0),0)</f>
        <v>Bore Over size</v>
      </c>
      <c r="L193" s="61" t="s">
        <v>188</v>
      </c>
      <c r="M193" s="56">
        <v>46266</v>
      </c>
      <c r="N193" s="61">
        <v>6</v>
      </c>
      <c r="O193" s="61"/>
      <c r="P193" s="61"/>
      <c r="Q193" s="61"/>
      <c r="R193" s="61">
        <f>SUBTOTAL(9,Table2[[#This Row],[1st]:[FQC]])</f>
        <v>6</v>
      </c>
      <c r="S193" s="61">
        <f>IFERROR(VLOOKUP(Table2[[#This Row],[Part No.]],'[2]New Machine sheet'!$G$2:$I$90,3,0),0)</f>
        <v>142.61000000000001</v>
      </c>
      <c r="T193" s="61">
        <f>Table2[[#This Row],[cost per piece]]*Table2[[#This Row],[Total Rej. qty]]</f>
        <v>855.66000000000008</v>
      </c>
      <c r="U193" s="61">
        <f>IFERROR(VLOOKUP(Table2[[#This Row],[Non Conformance]],'[2]New defect code '!$B$2:$C$129,2,0),0)</f>
        <v>3243</v>
      </c>
      <c r="V193" s="61">
        <v>45</v>
      </c>
      <c r="W193" s="61" t="str">
        <f>IFERROR(VLOOKUP(Table2[[#This Row],[Code4]],'[2]New Reason code'!$A$2:$D$77,2,0),0)</f>
        <v>Running m/c</v>
      </c>
      <c r="X193" s="61" t="str">
        <f>IFERROR(VLOOKUP(Table2[[#This Row],[Reason]],'[2]New Reason code'!$B$2:$D$77,2,0),0)</f>
        <v xml:space="preserve">Due to machine </v>
      </c>
      <c r="Y193" s="61" t="str">
        <f>IFERROR(VLOOKUP(Table2[[#This Row],[Rejection Identified at]],'[2]New Reason code'!$C$2:$D$77,2,0),0)</f>
        <v>process</v>
      </c>
    </row>
    <row r="194" spans="1:25" ht="20.25" customHeight="1">
      <c r="A194" s="50">
        <v>190</v>
      </c>
      <c r="B194" s="61">
        <v>1</v>
      </c>
      <c r="C194" s="61" t="str">
        <f>IFERROR(VLOOKUP(Table2[[#This Row],[Code]],'[2]New Machine sheet'!$A$1:$D$101,2,0),0)</f>
        <v>282-01</v>
      </c>
      <c r="D194" s="61" t="str">
        <f>IFERROR(VLOOKUP(Table2[[#This Row],[M/c No]],'[2]New Machine sheet'!$B$1:$D$101,2,0),0)</f>
        <v>Mazak</v>
      </c>
      <c r="E194" s="61" t="str">
        <f>IFERROR(VLOOKUP(Table2[[#This Row],[M/c Name]],'[2]New Machine sheet'!$C$1:$D$101,2,0),0)</f>
        <v>Turning</v>
      </c>
      <c r="F194" s="61">
        <v>73</v>
      </c>
      <c r="G194" s="61">
        <f>IFERROR(VLOOKUP(Table2[[#This Row],[Code2]],'[2]New Machine sheet'!$F$2:$I$64,2,),0)</f>
        <v>2473</v>
      </c>
      <c r="H194" s="61" t="str">
        <f>IFERROR(VLOOKUP(Table2[[#This Row],[Code2]],'[2]New Machine sheet'!$F$2:$I$64,3,0),0)</f>
        <v>RE P1</v>
      </c>
      <c r="I194" s="61"/>
      <c r="J194" s="61">
        <v>80</v>
      </c>
      <c r="K194" s="61" t="str">
        <f>IFERROR(VLOOKUP(Table2[[#This Row],[Code3]],'[2]New defect code '!$A$2:$D$129,2,0),0)</f>
        <v xml:space="preserve">Rust </v>
      </c>
      <c r="L194" s="61" t="s">
        <v>188</v>
      </c>
      <c r="M194" s="56">
        <v>46266</v>
      </c>
      <c r="N194" s="61">
        <v>1</v>
      </c>
      <c r="O194" s="61"/>
      <c r="P194" s="61"/>
      <c r="Q194" s="61"/>
      <c r="R194" s="61">
        <f>SUBTOTAL(9,Table2[[#This Row],[1st]:[FQC]])</f>
        <v>1</v>
      </c>
      <c r="S194" s="61">
        <f>IFERROR(VLOOKUP(Table2[[#This Row],[Part No.]],'[2]New Machine sheet'!$G$2:$I$90,3,0),0)</f>
        <v>110.76</v>
      </c>
      <c r="T194" s="61">
        <f>Table2[[#This Row],[cost per piece]]*Table2[[#This Row],[Total Rej. qty]]</f>
        <v>110.76</v>
      </c>
      <c r="U194" s="61">
        <f>IFERROR(VLOOKUP(Table2[[#This Row],[Non Conformance]],'[2]New defect code '!$B$2:$C$129,2,0),0)</f>
        <v>0</v>
      </c>
      <c r="V194" s="61">
        <v>15</v>
      </c>
      <c r="W194" s="61" t="str">
        <f>IFERROR(VLOOKUP(Table2[[#This Row],[Code4]],'[2]New Reason code'!$A$2:$D$77,2,0),0)</f>
        <v>During ACMA (5S) time</v>
      </c>
      <c r="X194" s="61" t="str">
        <f>IFERROR(VLOOKUP(Table2[[#This Row],[Reason]],'[2]New Reason code'!$B$2:$D$77,2,0),0)</f>
        <v>Prod Declared</v>
      </c>
      <c r="Y194" s="61" t="str">
        <f>IFERROR(VLOOKUP(Table2[[#This Row],[Rejection Identified at]],'[2]New Reason code'!$C$2:$D$77,2,0),0)</f>
        <v>Process Issue</v>
      </c>
    </row>
    <row r="195" spans="1:25" ht="20.25" customHeight="1">
      <c r="A195" s="60">
        <v>191</v>
      </c>
      <c r="B195" s="61">
        <v>5</v>
      </c>
      <c r="C195" s="61" t="str">
        <f>IFERROR(VLOOKUP(Table2[[#This Row],[Code]],'[2]New Machine sheet'!$A$1:$D$101,2,0),0)</f>
        <v>282-05</v>
      </c>
      <c r="D195" s="61" t="str">
        <f>IFERROR(VLOOKUP(Table2[[#This Row],[M/c No]],'[2]New Machine sheet'!$B$1:$D$101,2,0),0)</f>
        <v>Mazak</v>
      </c>
      <c r="E195" s="61" t="str">
        <f>IFERROR(VLOOKUP(Table2[[#This Row],[M/c Name]],'[2]New Machine sheet'!$C$1:$D$101,2,0),0)</f>
        <v>Turning</v>
      </c>
      <c r="F195" s="61">
        <v>119</v>
      </c>
      <c r="G195" s="61">
        <f>IFERROR(VLOOKUP(Table2[[#This Row],[Code2]],'[2]New Machine sheet'!$F$2:$I$64,2,),0)</f>
        <v>24119</v>
      </c>
      <c r="H195" s="61" t="str">
        <f>IFERROR(VLOOKUP(Table2[[#This Row],[Code2]],'[2]New Machine sheet'!$F$2:$I$64,3,0),0)</f>
        <v>RE J1</v>
      </c>
      <c r="I195" s="61" t="s">
        <v>129</v>
      </c>
      <c r="J195" s="61">
        <v>5</v>
      </c>
      <c r="K195" s="61" t="str">
        <f>IFERROR(VLOOKUP(Table2[[#This Row],[Code3]],'[2]New defect code '!$A$2:$D$129,2,0),0)</f>
        <v>Bore Over size</v>
      </c>
      <c r="L195" s="61" t="s">
        <v>188</v>
      </c>
      <c r="M195" s="56">
        <v>46266</v>
      </c>
      <c r="N195" s="61">
        <v>10</v>
      </c>
      <c r="O195" s="61"/>
      <c r="P195" s="61"/>
      <c r="Q195" s="61"/>
      <c r="R195" s="61">
        <f>SUBTOTAL(9,Table2[[#This Row],[1st]:[FQC]])</f>
        <v>10</v>
      </c>
      <c r="S195" s="61">
        <f>IFERROR(VLOOKUP(Table2[[#This Row],[Part No.]],'[2]New Machine sheet'!$G$2:$I$90,3,0),0)</f>
        <v>103.2</v>
      </c>
      <c r="T195" s="61">
        <f>Table2[[#This Row],[cost per piece]]*Table2[[#This Row],[Total Rej. qty]]</f>
        <v>1032</v>
      </c>
      <c r="U195" s="61">
        <f>IFERROR(VLOOKUP(Table2[[#This Row],[Non Conformance]],'[2]New defect code '!$B$2:$C$129,2,0),0)</f>
        <v>3243</v>
      </c>
      <c r="V195" s="61">
        <v>19</v>
      </c>
      <c r="W195" s="61" t="str">
        <f>IFERROR(VLOOKUP(Table2[[#This Row],[Code4]],'[2]New Reason code'!$A$2:$D$77,2,0),0)</f>
        <v>During Rework time</v>
      </c>
      <c r="X195" s="61" t="str">
        <f>IFERROR(VLOOKUP(Table2[[#This Row],[Reason]],'[2]New Reason code'!$B$2:$D$77,2,0),0)</f>
        <v>Due to operator</v>
      </c>
      <c r="Y195" s="61" t="str">
        <f>IFERROR(VLOOKUP(Table2[[#This Row],[Rejection Identified at]],'[2]New Reason code'!$C$2:$D$77,2,0),0)</f>
        <v xml:space="preserve">infrastructure </v>
      </c>
    </row>
    <row r="196" spans="1:25" ht="20.25" customHeight="1">
      <c r="A196" s="60">
        <v>192</v>
      </c>
      <c r="B196" s="61">
        <v>5</v>
      </c>
      <c r="C196" s="61" t="str">
        <f>IFERROR(VLOOKUP(Table2[[#This Row],[Code]],'[2]New Machine sheet'!$A$1:$D$101,2,0),0)</f>
        <v>282-05</v>
      </c>
      <c r="D196" s="61" t="str">
        <f>IFERROR(VLOOKUP(Table2[[#This Row],[M/c No]],'[2]New Machine sheet'!$B$1:$D$101,2,0),0)</f>
        <v>Mazak</v>
      </c>
      <c r="E196" s="61" t="str">
        <f>IFERROR(VLOOKUP(Table2[[#This Row],[M/c Name]],'[2]New Machine sheet'!$C$1:$D$101,2,0),0)</f>
        <v>Turning</v>
      </c>
      <c r="F196" s="61">
        <v>119</v>
      </c>
      <c r="G196" s="61">
        <f>IFERROR(VLOOKUP(Table2[[#This Row],[Code2]],'[2]New Machine sheet'!$F$2:$I$64,2,),0)</f>
        <v>24119</v>
      </c>
      <c r="H196" s="61" t="str">
        <f>IFERROR(VLOOKUP(Table2[[#This Row],[Code2]],'[2]New Machine sheet'!$F$2:$I$64,3,0),0)</f>
        <v>RE J1</v>
      </c>
      <c r="I196" s="61" t="s">
        <v>129</v>
      </c>
      <c r="J196" s="61">
        <v>93</v>
      </c>
      <c r="K196" s="61" t="str">
        <f>IFERROR(VLOOKUP(Table2[[#This Row],[Code3]],'[2]New defect code '!$A$2:$D$129,2,0),0)</f>
        <v>Thickness Under size</v>
      </c>
      <c r="L196" s="61" t="s">
        <v>188</v>
      </c>
      <c r="M196" s="56">
        <v>46266</v>
      </c>
      <c r="N196" s="61">
        <v>10</v>
      </c>
      <c r="O196" s="61"/>
      <c r="P196" s="61"/>
      <c r="Q196" s="61"/>
      <c r="R196" s="61">
        <f>SUBTOTAL(9,Table2[[#This Row],[1st]:[FQC]])</f>
        <v>10</v>
      </c>
      <c r="S196" s="61">
        <f>IFERROR(VLOOKUP(Table2[[#This Row],[Part No.]],'[2]New Machine sheet'!$G$2:$I$90,3,0),0)</f>
        <v>103.2</v>
      </c>
      <c r="T196" s="61">
        <f>Table2[[#This Row],[cost per piece]]*Table2[[#This Row],[Total Rej. qty]]</f>
        <v>1032</v>
      </c>
      <c r="U196" s="61">
        <f>IFERROR(VLOOKUP(Table2[[#This Row],[Non Conformance]],'[2]New defect code '!$B$2:$C$129,2,0),0)</f>
        <v>3258</v>
      </c>
      <c r="V196" s="61">
        <v>19</v>
      </c>
      <c r="W196" s="61" t="str">
        <f>IFERROR(VLOOKUP(Table2[[#This Row],[Code4]],'[2]New Reason code'!$A$2:$D$77,2,0),0)</f>
        <v>During Rework time</v>
      </c>
      <c r="X196" s="61" t="str">
        <f>IFERROR(VLOOKUP(Table2[[#This Row],[Reason]],'[2]New Reason code'!$B$2:$D$77,2,0),0)</f>
        <v>Due to operator</v>
      </c>
      <c r="Y196" s="61" t="str">
        <f>IFERROR(VLOOKUP(Table2[[#This Row],[Rejection Identified at]],'[2]New Reason code'!$C$2:$D$77,2,0),0)</f>
        <v xml:space="preserve">infrastructure </v>
      </c>
    </row>
    <row r="197" spans="1:25" ht="20.25" customHeight="1">
      <c r="A197" s="50">
        <v>193</v>
      </c>
      <c r="B197" s="61">
        <v>1</v>
      </c>
      <c r="C197" s="61" t="str">
        <f>IFERROR(VLOOKUP(Table2[[#This Row],[Code]],'[2]New Machine sheet'!$A$1:$D$101,2,0),0)</f>
        <v>282-01</v>
      </c>
      <c r="D197" s="61" t="str">
        <f>IFERROR(VLOOKUP(Table2[[#This Row],[M/c No]],'[2]New Machine sheet'!$B$1:$D$101,2,0),0)</f>
        <v>Mazak</v>
      </c>
      <c r="E197" s="61" t="str">
        <f>IFERROR(VLOOKUP(Table2[[#This Row],[M/c Name]],'[2]New Machine sheet'!$C$1:$D$101,2,0),0)</f>
        <v>Turning</v>
      </c>
      <c r="F197" s="61">
        <v>75</v>
      </c>
      <c r="G197" s="61">
        <f>IFERROR(VLOOKUP(Table2[[#This Row],[Code2]],'[2]New Machine sheet'!$F$2:$I$64,2,),0)</f>
        <v>2475</v>
      </c>
      <c r="H197" s="61" t="str">
        <f>IFERROR(VLOOKUP(Table2[[#This Row],[Code2]],'[2]New Machine sheet'!$F$2:$I$64,3,0),0)</f>
        <v>RE P1</v>
      </c>
      <c r="I197" s="61"/>
      <c r="J197" s="61">
        <v>93</v>
      </c>
      <c r="K197" s="61" t="str">
        <f>IFERROR(VLOOKUP(Table2[[#This Row],[Code3]],'[2]New defect code '!$A$2:$D$129,2,0),0)</f>
        <v>Thickness Under size</v>
      </c>
      <c r="L197" s="61" t="s">
        <v>188</v>
      </c>
      <c r="M197" s="56">
        <v>46266</v>
      </c>
      <c r="N197" s="61">
        <v>11</v>
      </c>
      <c r="O197" s="61"/>
      <c r="P197" s="61"/>
      <c r="Q197" s="61"/>
      <c r="R197" s="61">
        <f>SUBTOTAL(9,Table2[[#This Row],[1st]:[FQC]])</f>
        <v>11</v>
      </c>
      <c r="S197" s="61">
        <f>IFERROR(VLOOKUP(Table2[[#This Row],[Part No.]],'[2]New Machine sheet'!$G$2:$I$90,3,0),0)</f>
        <v>138.77000000000001</v>
      </c>
      <c r="T197" s="61">
        <f>Table2[[#This Row],[cost per piece]]*Table2[[#This Row],[Total Rej. qty]]</f>
        <v>1526.47</v>
      </c>
      <c r="U197" s="61">
        <f>IFERROR(VLOOKUP(Table2[[#This Row],[Non Conformance]],'[2]New defect code '!$B$2:$C$129,2,0),0)</f>
        <v>3258</v>
      </c>
      <c r="V197" s="61">
        <v>19</v>
      </c>
      <c r="W197" s="61" t="str">
        <f>IFERROR(VLOOKUP(Table2[[#This Row],[Code4]],'[2]New Reason code'!$A$2:$D$77,2,0),0)</f>
        <v>During Rework time</v>
      </c>
      <c r="X197" s="61" t="str">
        <f>IFERROR(VLOOKUP(Table2[[#This Row],[Reason]],'[2]New Reason code'!$B$2:$D$77,2,0),0)</f>
        <v>Due to operator</v>
      </c>
      <c r="Y197" s="61" t="str">
        <f>IFERROR(VLOOKUP(Table2[[#This Row],[Rejection Identified at]],'[2]New Reason code'!$C$2:$D$77,2,0),0)</f>
        <v xml:space="preserve">infrastructure </v>
      </c>
    </row>
    <row r="198" spans="1:25" ht="20.25" customHeight="1">
      <c r="A198" s="60">
        <v>194</v>
      </c>
      <c r="B198" s="61">
        <v>10</v>
      </c>
      <c r="C198" s="61" t="str">
        <f>IFERROR(VLOOKUP(Table2[[#This Row],[Code]],'[2]New Machine sheet'!$A$1:$D$101,2,0),0)</f>
        <v>282-10</v>
      </c>
      <c r="D198" s="61" t="str">
        <f>IFERROR(VLOOKUP(Table2[[#This Row],[M/c No]],'[2]New Machine sheet'!$B$1:$D$101,2,0),0)</f>
        <v>Mazak</v>
      </c>
      <c r="E198" s="61" t="str">
        <f>IFERROR(VLOOKUP(Table2[[#This Row],[M/c Name]],'[2]New Machine sheet'!$C$1:$D$101,2,0),0)</f>
        <v>Turning</v>
      </c>
      <c r="F198" s="61">
        <v>155</v>
      </c>
      <c r="G198" s="61">
        <f>IFERROR(VLOOKUP(Table2[[#This Row],[Code2]],'[2]New Machine sheet'!$F$2:$I$64,2,),0)</f>
        <v>24155</v>
      </c>
      <c r="H198" s="61" t="str">
        <f>IFERROR(VLOOKUP(Table2[[#This Row],[Code2]],'[2]New Machine sheet'!$F$2:$I$64,3,0),0)</f>
        <v>RE J1</v>
      </c>
      <c r="I198" s="61"/>
      <c r="J198" s="61">
        <v>93</v>
      </c>
      <c r="K198" s="61" t="str">
        <f>IFERROR(VLOOKUP(Table2[[#This Row],[Code3]],'[2]New defect code '!$A$2:$D$129,2,0),0)</f>
        <v>Thickness Under size</v>
      </c>
      <c r="L198" s="61" t="s">
        <v>188</v>
      </c>
      <c r="M198" s="56">
        <v>46266</v>
      </c>
      <c r="N198" s="61">
        <v>5</v>
      </c>
      <c r="O198" s="61"/>
      <c r="P198" s="61"/>
      <c r="Q198" s="61"/>
      <c r="R198" s="61">
        <f>SUBTOTAL(9,Table2[[#This Row],[1st]:[FQC]])</f>
        <v>5</v>
      </c>
      <c r="S198" s="61">
        <f>IFERROR(VLOOKUP(Table2[[#This Row],[Part No.]],'[2]New Machine sheet'!$G$2:$I$90,3,0),0)</f>
        <v>107.67</v>
      </c>
      <c r="T198" s="61">
        <f>Table2[[#This Row],[cost per piece]]*Table2[[#This Row],[Total Rej. qty]]</f>
        <v>538.35</v>
      </c>
      <c r="U198" s="61">
        <f>IFERROR(VLOOKUP(Table2[[#This Row],[Non Conformance]],'[2]New defect code '!$B$2:$C$129,2,0),0)</f>
        <v>3258</v>
      </c>
      <c r="V198" s="61">
        <v>19</v>
      </c>
      <c r="W198" s="61" t="str">
        <f>IFERROR(VLOOKUP(Table2[[#This Row],[Code4]],'[2]New Reason code'!$A$2:$D$77,2,0),0)</f>
        <v>During Rework time</v>
      </c>
      <c r="X198" s="61" t="str">
        <f>IFERROR(VLOOKUP(Table2[[#This Row],[Reason]],'[2]New Reason code'!$B$2:$D$77,2,0),0)</f>
        <v>Due to operator</v>
      </c>
      <c r="Y198" s="61" t="str">
        <f>IFERROR(VLOOKUP(Table2[[#This Row],[Rejection Identified at]],'[2]New Reason code'!$C$2:$D$77,2,0),0)</f>
        <v xml:space="preserve">infrastructure </v>
      </c>
    </row>
    <row r="199" spans="1:25" ht="20.25" customHeight="1">
      <c r="A199" s="60">
        <v>195</v>
      </c>
      <c r="B199" s="61">
        <v>10</v>
      </c>
      <c r="C199" s="61" t="str">
        <f>IFERROR(VLOOKUP(Table2[[#This Row],[Code]],'[2]New Machine sheet'!$A$1:$D$101,2,0),0)</f>
        <v>282-10</v>
      </c>
      <c r="D199" s="61" t="str">
        <f>IFERROR(VLOOKUP(Table2[[#This Row],[M/c No]],'[2]New Machine sheet'!$B$1:$D$101,2,0),0)</f>
        <v>Mazak</v>
      </c>
      <c r="E199" s="61" t="str">
        <f>IFERROR(VLOOKUP(Table2[[#This Row],[M/c Name]],'[2]New Machine sheet'!$C$1:$D$101,2,0),0)</f>
        <v>Turning</v>
      </c>
      <c r="F199" s="61">
        <v>155</v>
      </c>
      <c r="G199" s="61">
        <f>IFERROR(VLOOKUP(Table2[[#This Row],[Code2]],'[2]New Machine sheet'!$F$2:$I$64,2,),0)</f>
        <v>24155</v>
      </c>
      <c r="H199" s="61" t="str">
        <f>IFERROR(VLOOKUP(Table2[[#This Row],[Code2]],'[2]New Machine sheet'!$F$2:$I$64,3,0),0)</f>
        <v>RE J1</v>
      </c>
      <c r="I199" s="61"/>
      <c r="J199" s="61">
        <v>5</v>
      </c>
      <c r="K199" s="61" t="str">
        <f>IFERROR(VLOOKUP(Table2[[#This Row],[Code3]],'[2]New defect code '!$A$2:$D$129,2,0),0)</f>
        <v>Bore Over size</v>
      </c>
      <c r="L199" s="61" t="s">
        <v>188</v>
      </c>
      <c r="M199" s="56">
        <v>46266</v>
      </c>
      <c r="N199" s="61">
        <v>5</v>
      </c>
      <c r="O199" s="61"/>
      <c r="P199" s="61"/>
      <c r="Q199" s="61"/>
      <c r="R199" s="61">
        <f>SUBTOTAL(9,Table2[[#This Row],[1st]:[FQC]])</f>
        <v>5</v>
      </c>
      <c r="S199" s="61">
        <f>IFERROR(VLOOKUP(Table2[[#This Row],[Part No.]],'[2]New Machine sheet'!$G$2:$I$90,3,0),0)</f>
        <v>107.67</v>
      </c>
      <c r="T199" s="61">
        <f>Table2[[#This Row],[cost per piece]]*Table2[[#This Row],[Total Rej. qty]]</f>
        <v>538.35</v>
      </c>
      <c r="U199" s="61">
        <f>IFERROR(VLOOKUP(Table2[[#This Row],[Non Conformance]],'[2]New defect code '!$B$2:$C$129,2,0),0)</f>
        <v>3243</v>
      </c>
      <c r="V199" s="61">
        <v>19</v>
      </c>
      <c r="W199" s="61" t="str">
        <f>IFERROR(VLOOKUP(Table2[[#This Row],[Code4]],'[2]New Reason code'!$A$2:$D$77,2,0),0)</f>
        <v>During Rework time</v>
      </c>
      <c r="X199" s="61" t="str">
        <f>IFERROR(VLOOKUP(Table2[[#This Row],[Reason]],'[2]New Reason code'!$B$2:$D$77,2,0),0)</f>
        <v>Due to operator</v>
      </c>
      <c r="Y199" s="61" t="str">
        <f>IFERROR(VLOOKUP(Table2[[#This Row],[Rejection Identified at]],'[2]New Reason code'!$C$2:$D$77,2,0),0)</f>
        <v xml:space="preserve">infrastructure </v>
      </c>
    </row>
    <row r="200" spans="1:25" ht="20.25" customHeight="1">
      <c r="A200" s="50">
        <v>196</v>
      </c>
      <c r="B200" s="61">
        <v>40</v>
      </c>
      <c r="C200" s="61" t="str">
        <f>IFERROR(VLOOKUP(Table2[[#This Row],[Code]],'[2]New Machine sheet'!$A$1:$D$101,2,0),0)</f>
        <v>ACE-20</v>
      </c>
      <c r="D200" s="61" t="str">
        <f>IFERROR(VLOOKUP(Table2[[#This Row],[M/c No]],'[2]New Machine sheet'!$B$1:$D$101,2,0),0)</f>
        <v>Micromatic</v>
      </c>
      <c r="E200" s="61" t="str">
        <f>IFERROR(VLOOKUP(Table2[[#This Row],[M/c Name]],'[2]New Machine sheet'!$C$1:$D$101,2,0),0)</f>
        <v>Turning</v>
      </c>
      <c r="F200" s="61">
        <v>122</v>
      </c>
      <c r="G200" s="61">
        <f>IFERROR(VLOOKUP(Table2[[#This Row],[Code2]],'[2]New Machine sheet'!$F$2:$I$64,2,),0)</f>
        <v>24122</v>
      </c>
      <c r="H200" s="61" t="str">
        <f>IFERROR(VLOOKUP(Table2[[#This Row],[Code2]],'[2]New Machine sheet'!$F$2:$I$64,3,0),0)</f>
        <v>RE J1</v>
      </c>
      <c r="I200" s="61" t="s">
        <v>128</v>
      </c>
      <c r="J200" s="61">
        <v>93</v>
      </c>
      <c r="K200" s="61" t="str">
        <f>IFERROR(VLOOKUP(Table2[[#This Row],[Code3]],'[2]New defect code '!$A$2:$D$129,2,0),0)</f>
        <v>Thickness Under size</v>
      </c>
      <c r="L200" s="61" t="s">
        <v>188</v>
      </c>
      <c r="M200" s="56">
        <v>46266</v>
      </c>
      <c r="N200" s="61"/>
      <c r="O200" s="61">
        <v>1</v>
      </c>
      <c r="P200" s="61"/>
      <c r="Q200" s="61"/>
      <c r="R200" s="61">
        <f>SUBTOTAL(9,Table2[[#This Row],[1st]:[FQC]])</f>
        <v>1</v>
      </c>
      <c r="S200" s="61">
        <f>IFERROR(VLOOKUP(Table2[[#This Row],[Part No.]],'[2]New Machine sheet'!$G$2:$I$90,3,0),0)</f>
        <v>335.39977528089889</v>
      </c>
      <c r="T200" s="61">
        <f>Table2[[#This Row],[cost per piece]]*Table2[[#This Row],[Total Rej. qty]]</f>
        <v>335.39977528089889</v>
      </c>
      <c r="U200" s="61">
        <f>IFERROR(VLOOKUP(Table2[[#This Row],[Non Conformance]],'[2]New defect code '!$B$2:$C$129,2,0),0)</f>
        <v>3258</v>
      </c>
      <c r="V200" s="61">
        <v>18</v>
      </c>
      <c r="W200" s="61" t="str">
        <f>IFERROR(VLOOKUP(Table2[[#This Row],[Code4]],'[2]New Reason code'!$A$2:$D$77,2,0),0)</f>
        <v>During insert change</v>
      </c>
      <c r="X200" s="61" t="str">
        <f>IFERROR(VLOOKUP(Table2[[#This Row],[Reason]],'[2]New Reason code'!$B$2:$D$77,2,0),0)</f>
        <v xml:space="preserve">Due to Settup  </v>
      </c>
      <c r="Y200" s="61" t="str">
        <f>IFERROR(VLOOKUP(Table2[[#This Row],[Rejection Identified at]],'[2]New Reason code'!$C$2:$D$77,2,0),0)</f>
        <v>skill</v>
      </c>
    </row>
    <row r="201" spans="1:25" ht="20.25" customHeight="1">
      <c r="A201" s="60">
        <v>197</v>
      </c>
      <c r="B201" s="61">
        <v>5</v>
      </c>
      <c r="C201" s="61" t="str">
        <f>IFERROR(VLOOKUP(Table2[[#This Row],[Code]],'[2]New Machine sheet'!$A$1:$D$101,2,0),0)</f>
        <v>282-05</v>
      </c>
      <c r="D201" s="61" t="str">
        <f>IFERROR(VLOOKUP(Table2[[#This Row],[M/c No]],'[2]New Machine sheet'!$B$1:$D$101,2,0),0)</f>
        <v>Mazak</v>
      </c>
      <c r="E201" s="61" t="str">
        <f>IFERROR(VLOOKUP(Table2[[#This Row],[M/c Name]],'[2]New Machine sheet'!$C$1:$D$101,2,0),0)</f>
        <v>Turning</v>
      </c>
      <c r="F201" s="61">
        <v>119</v>
      </c>
      <c r="G201" s="61">
        <f>IFERROR(VLOOKUP(Table2[[#This Row],[Code2]],'[2]New Machine sheet'!$F$2:$I$64,2,),0)</f>
        <v>24119</v>
      </c>
      <c r="H201" s="61" t="str">
        <f>IFERROR(VLOOKUP(Table2[[#This Row],[Code2]],'[2]New Machine sheet'!$F$2:$I$64,3,0),0)</f>
        <v>RE J1</v>
      </c>
      <c r="I201" s="61" t="s">
        <v>113</v>
      </c>
      <c r="J201" s="61">
        <v>5</v>
      </c>
      <c r="K201" s="61" t="str">
        <f>IFERROR(VLOOKUP(Table2[[#This Row],[Code3]],'[2]New defect code '!$A$2:$D$129,2,0),0)</f>
        <v>Bore Over size</v>
      </c>
      <c r="L201" s="61" t="s">
        <v>188</v>
      </c>
      <c r="M201" s="56">
        <v>46266</v>
      </c>
      <c r="N201" s="61"/>
      <c r="O201" s="61">
        <v>2</v>
      </c>
      <c r="P201" s="61"/>
      <c r="Q201" s="61"/>
      <c r="R201" s="61">
        <f>SUBTOTAL(9,Table2[[#This Row],[1st]:[FQC]])</f>
        <v>2</v>
      </c>
      <c r="S201" s="61">
        <f>IFERROR(VLOOKUP(Table2[[#This Row],[Part No.]],'[2]New Machine sheet'!$G$2:$I$90,3,0),0)</f>
        <v>103.2</v>
      </c>
      <c r="T201" s="61">
        <f>Table2[[#This Row],[cost per piece]]*Table2[[#This Row],[Total Rej. qty]]</f>
        <v>206.4</v>
      </c>
      <c r="U201" s="61">
        <f>IFERROR(VLOOKUP(Table2[[#This Row],[Non Conformance]],'[2]New defect code '!$B$2:$C$129,2,0),0)</f>
        <v>3243</v>
      </c>
      <c r="V201" s="61">
        <v>18</v>
      </c>
      <c r="W201" s="61" t="str">
        <f>IFERROR(VLOOKUP(Table2[[#This Row],[Code4]],'[2]New Reason code'!$A$2:$D$77,2,0),0)</f>
        <v>During insert change</v>
      </c>
      <c r="X201" s="61" t="str">
        <f>IFERROR(VLOOKUP(Table2[[#This Row],[Reason]],'[2]New Reason code'!$B$2:$D$77,2,0),0)</f>
        <v xml:space="preserve">Due to Settup  </v>
      </c>
      <c r="Y201" s="61" t="str">
        <f>IFERROR(VLOOKUP(Table2[[#This Row],[Rejection Identified at]],'[2]New Reason code'!$C$2:$D$77,2,0),0)</f>
        <v>skill</v>
      </c>
    </row>
    <row r="202" spans="1:25" ht="20.25" customHeight="1">
      <c r="A202" s="60">
        <v>198</v>
      </c>
      <c r="B202" s="61">
        <v>5</v>
      </c>
      <c r="C202" s="61" t="str">
        <f>IFERROR(VLOOKUP(Table2[[#This Row],[Code]],'[2]New Machine sheet'!$A$1:$D$101,2,0),0)</f>
        <v>282-05</v>
      </c>
      <c r="D202" s="61" t="str">
        <f>IFERROR(VLOOKUP(Table2[[#This Row],[M/c No]],'[2]New Machine sheet'!$B$1:$D$101,2,0),0)</f>
        <v>Mazak</v>
      </c>
      <c r="E202" s="61" t="str">
        <f>IFERROR(VLOOKUP(Table2[[#This Row],[M/c Name]],'[2]New Machine sheet'!$C$1:$D$101,2,0),0)</f>
        <v>Turning</v>
      </c>
      <c r="F202" s="61">
        <v>119</v>
      </c>
      <c r="G202" s="61">
        <f>IFERROR(VLOOKUP(Table2[[#This Row],[Code2]],'[2]New Machine sheet'!$F$2:$I$64,2,),0)</f>
        <v>24119</v>
      </c>
      <c r="H202" s="61" t="str">
        <f>IFERROR(VLOOKUP(Table2[[#This Row],[Code2]],'[2]New Machine sheet'!$F$2:$I$64,3,0),0)</f>
        <v>RE J1</v>
      </c>
      <c r="I202" s="61" t="s">
        <v>122</v>
      </c>
      <c r="J202" s="61">
        <v>5</v>
      </c>
      <c r="K202" s="61" t="str">
        <f>IFERROR(VLOOKUP(Table2[[#This Row],[Code3]],'[2]New defect code '!$A$2:$D$129,2,0),0)</f>
        <v>Bore Over size</v>
      </c>
      <c r="L202" s="61" t="s">
        <v>188</v>
      </c>
      <c r="M202" s="56">
        <v>46266</v>
      </c>
      <c r="N202" s="61"/>
      <c r="O202" s="61">
        <v>1</v>
      </c>
      <c r="P202" s="61"/>
      <c r="Q202" s="61"/>
      <c r="R202" s="61">
        <f>SUBTOTAL(9,Table2[[#This Row],[1st]:[FQC]])</f>
        <v>1</v>
      </c>
      <c r="S202" s="61">
        <f>IFERROR(VLOOKUP(Table2[[#This Row],[Part No.]],'[2]New Machine sheet'!$G$2:$I$90,3,0),0)</f>
        <v>103.2</v>
      </c>
      <c r="T202" s="61">
        <f>Table2[[#This Row],[cost per piece]]*Table2[[#This Row],[Total Rej. qty]]</f>
        <v>103.2</v>
      </c>
      <c r="U202" s="61">
        <f>IFERROR(VLOOKUP(Table2[[#This Row],[Non Conformance]],'[2]New defect code '!$B$2:$C$129,2,0),0)</f>
        <v>3243</v>
      </c>
      <c r="V202" s="61">
        <v>20</v>
      </c>
      <c r="W202" s="61" t="str">
        <f>IFERROR(VLOOKUP(Table2[[#This Row],[Code4]],'[2]New Reason code'!$A$2:$D$77,2,0),0)</f>
        <v xml:space="preserve">During segrigetion </v>
      </c>
      <c r="X202" s="61" t="str">
        <f>IFERROR(VLOOKUP(Table2[[#This Row],[Reason]],'[2]New Reason code'!$B$2:$D$77,2,0),0)</f>
        <v xml:space="preserve">During segrigetion </v>
      </c>
      <c r="Y202" s="61" t="str">
        <f>IFERROR(VLOOKUP(Table2[[#This Row],[Rejection Identified at]],'[2]New Reason code'!$C$2:$D$77,2,0),0)</f>
        <v>Attitude</v>
      </c>
    </row>
    <row r="203" spans="1:25" ht="20.25" customHeight="1">
      <c r="A203" s="50">
        <v>199</v>
      </c>
      <c r="B203" s="61">
        <v>8</v>
      </c>
      <c r="C203" s="61" t="str">
        <f>IFERROR(VLOOKUP(Table2[[#This Row],[Code]],'[2]New Machine sheet'!$A$1:$D$101,2,0),0)</f>
        <v>282-08</v>
      </c>
      <c r="D203" s="61" t="str">
        <f>IFERROR(VLOOKUP(Table2[[#This Row],[M/c No]],'[2]New Machine sheet'!$B$1:$D$101,2,0),0)</f>
        <v>Mazak</v>
      </c>
      <c r="E203" s="61" t="str">
        <f>IFERROR(VLOOKUP(Table2[[#This Row],[M/c Name]],'[2]New Machine sheet'!$C$1:$D$101,2,0),0)</f>
        <v>Turning</v>
      </c>
      <c r="F203" s="61">
        <v>117</v>
      </c>
      <c r="G203" s="61">
        <f>IFERROR(VLOOKUP(Table2[[#This Row],[Code2]],'[2]New Machine sheet'!$F$2:$I$64,2,),0)</f>
        <v>24117</v>
      </c>
      <c r="H203" s="61" t="str">
        <f>IFERROR(VLOOKUP(Table2[[#This Row],[Code2]],'[2]New Machine sheet'!$F$2:$I$64,3,0),0)</f>
        <v>RE J1</v>
      </c>
      <c r="I203" s="61" t="s">
        <v>122</v>
      </c>
      <c r="J203" s="61">
        <v>5</v>
      </c>
      <c r="K203" s="61" t="str">
        <f>IFERROR(VLOOKUP(Table2[[#This Row],[Code3]],'[2]New defect code '!$A$2:$D$129,2,0),0)</f>
        <v>Bore Over size</v>
      </c>
      <c r="L203" s="61" t="s">
        <v>188</v>
      </c>
      <c r="M203" s="56">
        <v>46266</v>
      </c>
      <c r="N203" s="61"/>
      <c r="O203" s="61">
        <v>2</v>
      </c>
      <c r="P203" s="61"/>
      <c r="Q203" s="61"/>
      <c r="R203" s="61">
        <f>SUBTOTAL(9,Table2[[#This Row],[1st]:[FQC]])</f>
        <v>2</v>
      </c>
      <c r="S203" s="61">
        <f>IFERROR(VLOOKUP(Table2[[#This Row],[Part No.]],'[2]New Machine sheet'!$G$2:$I$90,3,0),0)</f>
        <v>111.97</v>
      </c>
      <c r="T203" s="61">
        <f>Table2[[#This Row],[cost per piece]]*Table2[[#This Row],[Total Rej. qty]]</f>
        <v>223.94</v>
      </c>
      <c r="U203" s="61">
        <f>IFERROR(VLOOKUP(Table2[[#This Row],[Non Conformance]],'[2]New defect code '!$B$2:$C$129,2,0),0)</f>
        <v>3243</v>
      </c>
      <c r="V203" s="61">
        <v>20</v>
      </c>
      <c r="W203" s="61" t="str">
        <f>IFERROR(VLOOKUP(Table2[[#This Row],[Code4]],'[2]New Reason code'!$A$2:$D$77,2,0),0)</f>
        <v xml:space="preserve">During segrigetion </v>
      </c>
      <c r="X203" s="61" t="str">
        <f>IFERROR(VLOOKUP(Table2[[#This Row],[Reason]],'[2]New Reason code'!$B$2:$D$77,2,0),0)</f>
        <v xml:space="preserve">During segrigetion </v>
      </c>
      <c r="Y203" s="61" t="str">
        <f>IFERROR(VLOOKUP(Table2[[#This Row],[Rejection Identified at]],'[2]New Reason code'!$C$2:$D$77,2,0),0)</f>
        <v>Attitude</v>
      </c>
    </row>
    <row r="204" spans="1:25" ht="20.25" customHeight="1">
      <c r="A204" s="60">
        <v>200</v>
      </c>
      <c r="B204" s="61">
        <v>17</v>
      </c>
      <c r="C204" s="61" t="str">
        <f>IFERROR(VLOOKUP(Table2[[#This Row],[Code]],'[2]New Machine sheet'!$A$1:$D$101,2,0),0)</f>
        <v>282-17</v>
      </c>
      <c r="D204" s="61" t="str">
        <f>IFERROR(VLOOKUP(Table2[[#This Row],[M/c No]],'[2]New Machine sheet'!$B$1:$D$101,2,0),0)</f>
        <v>Mazak</v>
      </c>
      <c r="E204" s="61" t="str">
        <f>IFERROR(VLOOKUP(Table2[[#This Row],[M/c Name]],'[2]New Machine sheet'!$C$1:$D$101,2,0),0)</f>
        <v>Turning</v>
      </c>
      <c r="F204" s="61">
        <v>113</v>
      </c>
      <c r="G204" s="61">
        <f>IFERROR(VLOOKUP(Table2[[#This Row],[Code2]],'[2]New Machine sheet'!$F$2:$I$64,2,),0)</f>
        <v>24113</v>
      </c>
      <c r="H204" s="61" t="str">
        <f>IFERROR(VLOOKUP(Table2[[#This Row],[Code2]],'[2]New Machine sheet'!$F$2:$I$64,3,0),0)</f>
        <v>RE J1</v>
      </c>
      <c r="I204" s="61" t="s">
        <v>122</v>
      </c>
      <c r="J204" s="61">
        <v>5</v>
      </c>
      <c r="K204" s="61" t="str">
        <f>IFERROR(VLOOKUP(Table2[[#This Row],[Code3]],'[2]New defect code '!$A$2:$D$129,2,0),0)</f>
        <v>Bore Over size</v>
      </c>
      <c r="L204" s="61" t="s">
        <v>188</v>
      </c>
      <c r="M204" s="56">
        <v>46266</v>
      </c>
      <c r="N204" s="61"/>
      <c r="O204" s="61">
        <v>1</v>
      </c>
      <c r="P204" s="61"/>
      <c r="Q204" s="61"/>
      <c r="R204" s="61">
        <f>SUBTOTAL(9,Table2[[#This Row],[1st]:[FQC]])</f>
        <v>1</v>
      </c>
      <c r="S204" s="61">
        <f>IFERROR(VLOOKUP(Table2[[#This Row],[Part No.]],'[2]New Machine sheet'!$G$2:$I$90,3,0),0)</f>
        <v>90</v>
      </c>
      <c r="T204" s="61">
        <f>Table2[[#This Row],[cost per piece]]*Table2[[#This Row],[Total Rej. qty]]</f>
        <v>90</v>
      </c>
      <c r="U204" s="61">
        <f>IFERROR(VLOOKUP(Table2[[#This Row],[Non Conformance]],'[2]New defect code '!$B$2:$C$129,2,0),0)</f>
        <v>3243</v>
      </c>
      <c r="V204" s="61">
        <v>20</v>
      </c>
      <c r="W204" s="61" t="str">
        <f>IFERROR(VLOOKUP(Table2[[#This Row],[Code4]],'[2]New Reason code'!$A$2:$D$77,2,0),0)</f>
        <v xml:space="preserve">During segrigetion </v>
      </c>
      <c r="X204" s="61" t="str">
        <f>IFERROR(VLOOKUP(Table2[[#This Row],[Reason]],'[2]New Reason code'!$B$2:$D$77,2,0),0)</f>
        <v xml:space="preserve">During segrigetion </v>
      </c>
      <c r="Y204" s="61" t="str">
        <f>IFERROR(VLOOKUP(Table2[[#This Row],[Rejection Identified at]],'[2]New Reason code'!$C$2:$D$77,2,0),0)</f>
        <v>Attitude</v>
      </c>
    </row>
    <row r="205" spans="1:25" ht="20.25" customHeight="1">
      <c r="A205" s="60">
        <v>201</v>
      </c>
      <c r="B205" s="61">
        <v>2</v>
      </c>
      <c r="C205" s="61" t="str">
        <f>IFERROR(VLOOKUP(Table2[[#This Row],[Code]],'[2]New Machine sheet'!$A$1:$D$101,2,0),0)</f>
        <v>282-02</v>
      </c>
      <c r="D205" s="61" t="str">
        <f>IFERROR(VLOOKUP(Table2[[#This Row],[M/c No]],'[2]New Machine sheet'!$B$1:$D$101,2,0),0)</f>
        <v>Mazak</v>
      </c>
      <c r="E205" s="61" t="str">
        <f>IFERROR(VLOOKUP(Table2[[#This Row],[M/c Name]],'[2]New Machine sheet'!$C$1:$D$101,2,0),0)</f>
        <v>Turning</v>
      </c>
      <c r="F205" s="61">
        <v>178</v>
      </c>
      <c r="G205" s="61">
        <f>IFERROR(VLOOKUP(Table2[[#This Row],[Code2]],'[2]New Machine sheet'!$F$2:$I$64,2,),0)</f>
        <v>24178</v>
      </c>
      <c r="H205" s="61" t="str">
        <f>IFERROR(VLOOKUP(Table2[[#This Row],[Code2]],'[2]New Machine sheet'!$F$2:$I$64,3,0),0)</f>
        <v>RE J1</v>
      </c>
      <c r="I205" s="61" t="s">
        <v>184</v>
      </c>
      <c r="J205" s="61">
        <v>5</v>
      </c>
      <c r="K205" s="61" t="str">
        <f>IFERROR(VLOOKUP(Table2[[#This Row],[Code3]],'[2]New defect code '!$A$2:$D$129,2,0),0)</f>
        <v>Bore Over size</v>
      </c>
      <c r="L205" s="61" t="s">
        <v>188</v>
      </c>
      <c r="M205" s="56">
        <v>46266</v>
      </c>
      <c r="N205" s="61"/>
      <c r="O205" s="61">
        <v>1</v>
      </c>
      <c r="P205" s="61"/>
      <c r="Q205" s="61"/>
      <c r="R205" s="61">
        <f>SUBTOTAL(9,Table2[[#This Row],[1st]:[FQC]])</f>
        <v>1</v>
      </c>
      <c r="S205" s="61">
        <f>IFERROR(VLOOKUP(Table2[[#This Row],[Part No.]],'[2]New Machine sheet'!$G$2:$I$90,3,0),0)</f>
        <v>70.62</v>
      </c>
      <c r="T205" s="61">
        <f>Table2[[#This Row],[cost per piece]]*Table2[[#This Row],[Total Rej. qty]]</f>
        <v>70.62</v>
      </c>
      <c r="U205" s="61">
        <f>IFERROR(VLOOKUP(Table2[[#This Row],[Non Conformance]],'[2]New defect code '!$B$2:$C$129,2,0),0)</f>
        <v>3243</v>
      </c>
      <c r="V205" s="61">
        <v>21</v>
      </c>
      <c r="W205" s="61" t="str">
        <f>IFERROR(VLOOKUP(Table2[[#This Row],[Code4]],'[2]New Reason code'!$A$2:$D$77,2,0),0)</f>
        <v>During setup time</v>
      </c>
      <c r="X205" s="61" t="str">
        <f>IFERROR(VLOOKUP(Table2[[#This Row],[Reason]],'[2]New Reason code'!$B$2:$D$77,2,0),0)</f>
        <v xml:space="preserve">Due to Settup  </v>
      </c>
      <c r="Y205" s="61" t="str">
        <f>IFERROR(VLOOKUP(Table2[[#This Row],[Rejection Identified at]],'[2]New Reason code'!$C$2:$D$77,2,0),0)</f>
        <v>skill</v>
      </c>
    </row>
    <row r="206" spans="1:25" ht="20.25" customHeight="1">
      <c r="A206" s="50">
        <v>202</v>
      </c>
      <c r="B206" s="61">
        <v>16</v>
      </c>
      <c r="C206" s="61" t="str">
        <f>IFERROR(VLOOKUP(Table2[[#This Row],[Code]],'[2]New Machine sheet'!$A$1:$D$101,2,0),0)</f>
        <v>282-16</v>
      </c>
      <c r="D206" s="61" t="str">
        <f>IFERROR(VLOOKUP(Table2[[#This Row],[M/c No]],'[2]New Machine sheet'!$B$1:$D$101,2,0),0)</f>
        <v>Mazak</v>
      </c>
      <c r="E206" s="61" t="str">
        <f>IFERROR(VLOOKUP(Table2[[#This Row],[M/c Name]],'[2]New Machine sheet'!$C$1:$D$101,2,0),0)</f>
        <v>Turning</v>
      </c>
      <c r="F206" s="61">
        <v>102</v>
      </c>
      <c r="G206" s="61">
        <f>IFERROR(VLOOKUP(Table2[[#This Row],[Code2]],'[2]New Machine sheet'!$F$2:$I$64,2,),0)</f>
        <v>24102</v>
      </c>
      <c r="H206" s="61" t="str">
        <f>IFERROR(VLOOKUP(Table2[[#This Row],[Code2]],'[2]New Machine sheet'!$F$2:$I$64,3,0),0)</f>
        <v>RE J1</v>
      </c>
      <c r="I206" s="61" t="s">
        <v>122</v>
      </c>
      <c r="J206" s="61">
        <v>93</v>
      </c>
      <c r="K206" s="61" t="str">
        <f>IFERROR(VLOOKUP(Table2[[#This Row],[Code3]],'[2]New defect code '!$A$2:$D$129,2,0),0)</f>
        <v>Thickness Under size</v>
      </c>
      <c r="L206" s="61" t="s">
        <v>188</v>
      </c>
      <c r="M206" s="56">
        <v>46266</v>
      </c>
      <c r="N206" s="61"/>
      <c r="O206" s="61">
        <v>1</v>
      </c>
      <c r="P206" s="61"/>
      <c r="Q206" s="61"/>
      <c r="R206" s="61">
        <f>SUBTOTAL(9,Table2[[#This Row],[1st]:[FQC]])</f>
        <v>1</v>
      </c>
      <c r="S206" s="61">
        <f>IFERROR(VLOOKUP(Table2[[#This Row],[Part No.]],'[2]New Machine sheet'!$G$2:$I$90,3,0),0)</f>
        <v>93</v>
      </c>
      <c r="T206" s="61">
        <f>Table2[[#This Row],[cost per piece]]*Table2[[#This Row],[Total Rej. qty]]</f>
        <v>93</v>
      </c>
      <c r="U206" s="61">
        <f>IFERROR(VLOOKUP(Table2[[#This Row],[Non Conformance]],'[2]New defect code '!$B$2:$C$129,2,0),0)</f>
        <v>3258</v>
      </c>
      <c r="V206" s="61">
        <v>18</v>
      </c>
      <c r="W206" s="61" t="str">
        <f>IFERROR(VLOOKUP(Table2[[#This Row],[Code4]],'[2]New Reason code'!$A$2:$D$77,2,0),0)</f>
        <v>During insert change</v>
      </c>
      <c r="X206" s="61" t="str">
        <f>IFERROR(VLOOKUP(Table2[[#This Row],[Reason]],'[2]New Reason code'!$B$2:$D$77,2,0),0)</f>
        <v xml:space="preserve">Due to Settup  </v>
      </c>
      <c r="Y206" s="61" t="str">
        <f>IFERROR(VLOOKUP(Table2[[#This Row],[Rejection Identified at]],'[2]New Reason code'!$C$2:$D$77,2,0),0)</f>
        <v>skill</v>
      </c>
    </row>
    <row r="207" spans="1:25" ht="20.25" customHeight="1">
      <c r="A207" s="60">
        <v>203</v>
      </c>
      <c r="B207" s="61">
        <v>15</v>
      </c>
      <c r="C207" s="61" t="str">
        <f>IFERROR(VLOOKUP(Table2[[#This Row],[Code]],'[2]New Machine sheet'!$A$1:$D$101,2,0),0)</f>
        <v>282-15</v>
      </c>
      <c r="D207" s="61" t="str">
        <f>IFERROR(VLOOKUP(Table2[[#This Row],[M/c No]],'[2]New Machine sheet'!$B$1:$D$101,2,0),0)</f>
        <v>Mazak</v>
      </c>
      <c r="E207" s="61" t="str">
        <f>IFERROR(VLOOKUP(Table2[[#This Row],[M/c Name]],'[2]New Machine sheet'!$C$1:$D$101,2,0),0)</f>
        <v>Turning</v>
      </c>
      <c r="F207" s="61">
        <v>78</v>
      </c>
      <c r="G207" s="61">
        <f>IFERROR(VLOOKUP(Table2[[#This Row],[Code2]],'[2]New Machine sheet'!$F$2:$I$64,2,),0)</f>
        <v>2478</v>
      </c>
      <c r="H207" s="61" t="str">
        <f>IFERROR(VLOOKUP(Table2[[#This Row],[Code2]],'[2]New Machine sheet'!$F$2:$I$64,3,0),0)</f>
        <v>RE P1</v>
      </c>
      <c r="I207" s="61" t="s">
        <v>167</v>
      </c>
      <c r="J207" s="61">
        <v>5</v>
      </c>
      <c r="K207" s="61" t="str">
        <f>IFERROR(VLOOKUP(Table2[[#This Row],[Code3]],'[2]New defect code '!$A$2:$D$129,2,0),0)</f>
        <v>Bore Over size</v>
      </c>
      <c r="L207" s="61" t="s">
        <v>188</v>
      </c>
      <c r="M207" s="56">
        <v>46266</v>
      </c>
      <c r="N207" s="61"/>
      <c r="O207" s="61">
        <v>1</v>
      </c>
      <c r="P207" s="61"/>
      <c r="Q207" s="61"/>
      <c r="R207" s="61">
        <f>SUBTOTAL(9,Table2[[#This Row],[1st]:[FQC]])</f>
        <v>1</v>
      </c>
      <c r="S207" s="61">
        <f>IFERROR(VLOOKUP(Table2[[#This Row],[Part No.]],'[2]New Machine sheet'!$G$2:$I$90,3,0),0)</f>
        <v>468.06</v>
      </c>
      <c r="T207" s="61">
        <f>Table2[[#This Row],[cost per piece]]*Table2[[#This Row],[Total Rej. qty]]</f>
        <v>468.06</v>
      </c>
      <c r="U207" s="61">
        <f>IFERROR(VLOOKUP(Table2[[#This Row],[Non Conformance]],'[2]New defect code '!$B$2:$C$129,2,0),0)</f>
        <v>3243</v>
      </c>
      <c r="V207" s="61">
        <v>20</v>
      </c>
      <c r="W207" s="61" t="str">
        <f>IFERROR(VLOOKUP(Table2[[#This Row],[Code4]],'[2]New Reason code'!$A$2:$D$77,2,0),0)</f>
        <v xml:space="preserve">During segrigetion </v>
      </c>
      <c r="X207" s="61" t="str">
        <f>IFERROR(VLOOKUP(Table2[[#This Row],[Reason]],'[2]New Reason code'!$B$2:$D$77,2,0),0)</f>
        <v xml:space="preserve">During segrigetion </v>
      </c>
      <c r="Y207" s="61" t="str">
        <f>IFERROR(VLOOKUP(Table2[[#This Row],[Rejection Identified at]],'[2]New Reason code'!$C$2:$D$77,2,0),0)</f>
        <v>Attitude</v>
      </c>
    </row>
    <row r="208" spans="1:25" ht="20.25" customHeight="1">
      <c r="A208" s="60">
        <v>204</v>
      </c>
      <c r="B208" s="61">
        <v>47</v>
      </c>
      <c r="C208" s="61" t="str">
        <f>IFERROR(VLOOKUP(Table2[[#This Row],[Code]],'[2]New Machine sheet'!$A$1:$D$101,2,0),0)</f>
        <v>MURATEC-03</v>
      </c>
      <c r="D208" s="61" t="str">
        <f>IFERROR(VLOOKUP(Table2[[#This Row],[M/c No]],'[2]New Machine sheet'!$B$1:$D$101,2,0),0)</f>
        <v>MURATEC</v>
      </c>
      <c r="E208" s="61" t="str">
        <f>IFERROR(VLOOKUP(Table2[[#This Row],[M/c Name]],'[2]New Machine sheet'!$C$1:$D$101,2,0),0)</f>
        <v xml:space="preserve">turning </v>
      </c>
      <c r="F208" s="61">
        <v>127</v>
      </c>
      <c r="G208" s="61">
        <f>IFERROR(VLOOKUP(Table2[[#This Row],[Code2]],'[2]New Machine sheet'!$F$2:$I$64,2,),0)</f>
        <v>24127</v>
      </c>
      <c r="H208" s="61" t="str">
        <f>IFERROR(VLOOKUP(Table2[[#This Row],[Code2]],'[2]New Machine sheet'!$F$2:$I$64,3,0),0)</f>
        <v>RE J1</v>
      </c>
      <c r="I208" s="61" t="s">
        <v>170</v>
      </c>
      <c r="J208" s="61">
        <v>66</v>
      </c>
      <c r="K208" s="61" t="str">
        <f>IFERROR(VLOOKUP(Table2[[#This Row],[Code3]],'[2]New defect code '!$A$2:$D$129,2,0),0)</f>
        <v>OD Under Size</v>
      </c>
      <c r="L208" s="61" t="s">
        <v>188</v>
      </c>
      <c r="M208" s="56">
        <v>46266</v>
      </c>
      <c r="N208" s="61"/>
      <c r="O208" s="61">
        <v>1</v>
      </c>
      <c r="P208" s="61"/>
      <c r="Q208" s="61"/>
      <c r="R208" s="61">
        <f>SUBTOTAL(9,Table2[[#This Row],[1st]:[FQC]])</f>
        <v>1</v>
      </c>
      <c r="S208" s="61">
        <f>IFERROR(VLOOKUP(Table2[[#This Row],[Part No.]],'[2]New Machine sheet'!$G$2:$I$90,3,0),0)</f>
        <v>262.81200000000001</v>
      </c>
      <c r="T208" s="61">
        <f>Table2[[#This Row],[cost per piece]]*Table2[[#This Row],[Total Rej. qty]]</f>
        <v>262.81200000000001</v>
      </c>
      <c r="U208" s="61">
        <f>IFERROR(VLOOKUP(Table2[[#This Row],[Non Conformance]],'[2]New defect code '!$B$2:$C$129,2,0),0)</f>
        <v>3242</v>
      </c>
      <c r="V208" s="61">
        <v>18</v>
      </c>
      <c r="W208" s="61" t="str">
        <f>IFERROR(VLOOKUP(Table2[[#This Row],[Code4]],'[2]New Reason code'!$A$2:$D$77,2,0),0)</f>
        <v>During insert change</v>
      </c>
      <c r="X208" s="61" t="str">
        <f>IFERROR(VLOOKUP(Table2[[#This Row],[Reason]],'[2]New Reason code'!$B$2:$D$77,2,0),0)</f>
        <v xml:space="preserve">Due to Settup  </v>
      </c>
      <c r="Y208" s="61" t="str">
        <f>IFERROR(VLOOKUP(Table2[[#This Row],[Rejection Identified at]],'[2]New Reason code'!$C$2:$D$77,2,0),0)</f>
        <v>skill</v>
      </c>
    </row>
    <row r="209" spans="1:25" ht="20.25" customHeight="1">
      <c r="A209" s="50">
        <v>205</v>
      </c>
      <c r="B209" s="61">
        <v>6</v>
      </c>
      <c r="C209" s="61" t="str">
        <f>IFERROR(VLOOKUP(Table2[[#This Row],[Code]],'[2]New Machine sheet'!$A$1:$D$101,2,0),0)</f>
        <v>282-06</v>
      </c>
      <c r="D209" s="61" t="str">
        <f>IFERROR(VLOOKUP(Table2[[#This Row],[M/c No]],'[2]New Machine sheet'!$B$1:$D$101,2,0),0)</f>
        <v>Mazak</v>
      </c>
      <c r="E209" s="61" t="str">
        <f>IFERROR(VLOOKUP(Table2[[#This Row],[M/c Name]],'[2]New Machine sheet'!$C$1:$D$101,2,0),0)</f>
        <v>Turning</v>
      </c>
      <c r="F209" s="61">
        <v>178</v>
      </c>
      <c r="G209" s="61">
        <f>IFERROR(VLOOKUP(Table2[[#This Row],[Code2]],'[2]New Machine sheet'!$F$2:$I$64,2,),0)</f>
        <v>24178</v>
      </c>
      <c r="H209" s="61" t="str">
        <f>IFERROR(VLOOKUP(Table2[[#This Row],[Code2]],'[2]New Machine sheet'!$F$2:$I$64,3,0),0)</f>
        <v>RE J1</v>
      </c>
      <c r="I209" s="61" t="s">
        <v>133</v>
      </c>
      <c r="J209" s="61">
        <v>5</v>
      </c>
      <c r="K209" s="61" t="str">
        <f>IFERROR(VLOOKUP(Table2[[#This Row],[Code3]],'[2]New defect code '!$A$2:$D$129,2,0),0)</f>
        <v>Bore Over size</v>
      </c>
      <c r="L209" s="61" t="s">
        <v>188</v>
      </c>
      <c r="M209" s="56">
        <v>46266</v>
      </c>
      <c r="N209" s="61"/>
      <c r="O209" s="61"/>
      <c r="P209" s="61">
        <v>16</v>
      </c>
      <c r="Q209" s="61"/>
      <c r="R209" s="61">
        <f>SUBTOTAL(9,Table2[[#This Row],[1st]:[FQC]])</f>
        <v>16</v>
      </c>
      <c r="S209" s="61">
        <f>IFERROR(VLOOKUP(Table2[[#This Row],[Part No.]],'[2]New Machine sheet'!$G$2:$I$90,3,0),0)</f>
        <v>70.62</v>
      </c>
      <c r="T209" s="61">
        <f>Table2[[#This Row],[cost per piece]]*Table2[[#This Row],[Total Rej. qty]]</f>
        <v>1129.92</v>
      </c>
      <c r="U209" s="61">
        <f>IFERROR(VLOOKUP(Table2[[#This Row],[Non Conformance]],'[2]New defect code '!$B$2:$C$129,2,0),0)</f>
        <v>3243</v>
      </c>
      <c r="V209" s="61">
        <v>20</v>
      </c>
      <c r="W209" s="61" t="str">
        <f>IFERROR(VLOOKUP(Table2[[#This Row],[Code4]],'[2]New Reason code'!$A$2:$D$77,2,0),0)</f>
        <v xml:space="preserve">During segrigetion </v>
      </c>
      <c r="X209" s="61" t="str">
        <f>IFERROR(VLOOKUP(Table2[[#This Row],[Reason]],'[2]New Reason code'!$B$2:$D$77,2,0),0)</f>
        <v xml:space="preserve">During segrigetion </v>
      </c>
      <c r="Y209" s="61" t="str">
        <f>IFERROR(VLOOKUP(Table2[[#This Row],[Rejection Identified at]],'[2]New Reason code'!$C$2:$D$77,2,0),0)</f>
        <v>Attitude</v>
      </c>
    </row>
    <row r="210" spans="1:25" ht="20.25" customHeight="1">
      <c r="A210" s="60">
        <v>206</v>
      </c>
      <c r="B210" s="61">
        <v>20</v>
      </c>
      <c r="C210" s="61" t="str">
        <f>IFERROR(VLOOKUP(Table2[[#This Row],[Code]],'[2]New Machine sheet'!$A$1:$D$101,2,0),0)</f>
        <v>282-20</v>
      </c>
      <c r="D210" s="61" t="str">
        <f>IFERROR(VLOOKUP(Table2[[#This Row],[M/c No]],'[2]New Machine sheet'!$B$1:$D$101,2,0),0)</f>
        <v>Mazak</v>
      </c>
      <c r="E210" s="61" t="str">
        <f>IFERROR(VLOOKUP(Table2[[#This Row],[M/c Name]],'[2]New Machine sheet'!$C$1:$D$101,2,0),0)</f>
        <v>Turning</v>
      </c>
      <c r="F210" s="61">
        <v>115</v>
      </c>
      <c r="G210" s="61">
        <f>IFERROR(VLOOKUP(Table2[[#This Row],[Code2]],'[2]New Machine sheet'!$F$2:$I$64,2,),0)</f>
        <v>24115</v>
      </c>
      <c r="H210" s="61" t="str">
        <f>IFERROR(VLOOKUP(Table2[[#This Row],[Code2]],'[2]New Machine sheet'!$F$2:$I$64,3,0),0)</f>
        <v>RE J1</v>
      </c>
      <c r="I210" s="61" t="s">
        <v>133</v>
      </c>
      <c r="J210" s="61">
        <v>5</v>
      </c>
      <c r="K210" s="61" t="str">
        <f>IFERROR(VLOOKUP(Table2[[#This Row],[Code3]],'[2]New defect code '!$A$2:$D$129,2,0),0)</f>
        <v>Bore Over size</v>
      </c>
      <c r="L210" s="61" t="s">
        <v>188</v>
      </c>
      <c r="M210" s="56">
        <v>46266</v>
      </c>
      <c r="N210" s="61"/>
      <c r="O210" s="61"/>
      <c r="P210" s="61">
        <v>3</v>
      </c>
      <c r="Q210" s="61"/>
      <c r="R210" s="61">
        <f>SUBTOTAL(9,Table2[[#This Row],[1st]:[FQC]])</f>
        <v>3</v>
      </c>
      <c r="S210" s="61">
        <f>IFERROR(VLOOKUP(Table2[[#This Row],[Part No.]],'[2]New Machine sheet'!$G$2:$I$90,3,0),0)</f>
        <v>66.900000000000006</v>
      </c>
      <c r="T210" s="61">
        <f>Table2[[#This Row],[cost per piece]]*Table2[[#This Row],[Total Rej. qty]]</f>
        <v>200.70000000000002</v>
      </c>
      <c r="U210" s="61">
        <f>IFERROR(VLOOKUP(Table2[[#This Row],[Non Conformance]],'[2]New defect code '!$B$2:$C$129,2,0),0)</f>
        <v>3243</v>
      </c>
      <c r="V210" s="61">
        <v>20</v>
      </c>
      <c r="W210" s="61" t="str">
        <f>IFERROR(VLOOKUP(Table2[[#This Row],[Code4]],'[2]New Reason code'!$A$2:$D$77,2,0),0)</f>
        <v xml:space="preserve">During segrigetion </v>
      </c>
      <c r="X210" s="61" t="str">
        <f>IFERROR(VLOOKUP(Table2[[#This Row],[Reason]],'[2]New Reason code'!$B$2:$D$77,2,0),0)</f>
        <v xml:space="preserve">During segrigetion </v>
      </c>
      <c r="Y210" s="61" t="str">
        <f>IFERROR(VLOOKUP(Table2[[#This Row],[Rejection Identified at]],'[2]New Reason code'!$C$2:$D$77,2,0),0)</f>
        <v>Attitude</v>
      </c>
    </row>
    <row r="211" spans="1:25" ht="20.25" customHeight="1">
      <c r="A211" s="60">
        <v>207</v>
      </c>
      <c r="B211" s="61">
        <v>11</v>
      </c>
      <c r="C211" s="61" t="str">
        <f>IFERROR(VLOOKUP(Table2[[#This Row],[Code]],'[2]New Machine sheet'!$A$1:$D$101,2,0),0)</f>
        <v>282-11</v>
      </c>
      <c r="D211" s="61" t="str">
        <f>IFERROR(VLOOKUP(Table2[[#This Row],[M/c No]],'[2]New Machine sheet'!$B$1:$D$101,2,0),0)</f>
        <v>Mazak</v>
      </c>
      <c r="E211" s="61" t="str">
        <f>IFERROR(VLOOKUP(Table2[[#This Row],[M/c Name]],'[2]New Machine sheet'!$C$1:$D$101,2,0),0)</f>
        <v>Turning</v>
      </c>
      <c r="F211" s="61">
        <v>121</v>
      </c>
      <c r="G211" s="61">
        <f>IFERROR(VLOOKUP(Table2[[#This Row],[Code2]],'[2]New Machine sheet'!$F$2:$I$64,2,),0)</f>
        <v>24121</v>
      </c>
      <c r="H211" s="61" t="str">
        <f>IFERROR(VLOOKUP(Table2[[#This Row],[Code2]],'[2]New Machine sheet'!$F$2:$I$64,3,0),0)</f>
        <v>RE J1</v>
      </c>
      <c r="I211" s="61" t="s">
        <v>113</v>
      </c>
      <c r="J211" s="61">
        <v>40</v>
      </c>
      <c r="K211" s="61" t="str">
        <f>IFERROR(VLOOKUP(Table2[[#This Row],[Code3]],'[2]New defect code '!$A$2:$D$129,2,0),0)</f>
        <v>FACE Damage</v>
      </c>
      <c r="L211" s="61" t="s">
        <v>188</v>
      </c>
      <c r="M211" s="56">
        <v>46266</v>
      </c>
      <c r="N211" s="61"/>
      <c r="O211" s="61"/>
      <c r="P211" s="61">
        <v>1</v>
      </c>
      <c r="Q211" s="61"/>
      <c r="R211" s="61">
        <f>SUBTOTAL(9,Table2[[#This Row],[1st]:[FQC]])</f>
        <v>1</v>
      </c>
      <c r="S211" s="61">
        <f>IFERROR(VLOOKUP(Table2[[#This Row],[Part No.]],'[2]New Machine sheet'!$G$2:$I$90,3,0),0)</f>
        <v>135.66999999999999</v>
      </c>
      <c r="T211" s="61">
        <f>Table2[[#This Row],[cost per piece]]*Table2[[#This Row],[Total Rej. qty]]</f>
        <v>135.66999999999999</v>
      </c>
      <c r="U211" s="61">
        <f>IFERROR(VLOOKUP(Table2[[#This Row],[Non Conformance]],'[2]New defect code '!$B$2:$C$129,2,0),0)</f>
        <v>3229</v>
      </c>
      <c r="V211" s="61">
        <v>20</v>
      </c>
      <c r="W211" s="61" t="str">
        <f>IFERROR(VLOOKUP(Table2[[#This Row],[Code4]],'[2]New Reason code'!$A$2:$D$77,2,0),0)</f>
        <v xml:space="preserve">During segrigetion </v>
      </c>
      <c r="X211" s="61" t="str">
        <f>IFERROR(VLOOKUP(Table2[[#This Row],[Reason]],'[2]New Reason code'!$B$2:$D$77,2,0),0)</f>
        <v xml:space="preserve">During segrigetion </v>
      </c>
      <c r="Y211" s="61" t="str">
        <f>IFERROR(VLOOKUP(Table2[[#This Row],[Rejection Identified at]],'[2]New Reason code'!$C$2:$D$77,2,0),0)</f>
        <v>Attitude</v>
      </c>
    </row>
    <row r="212" spans="1:25" ht="20.25" customHeight="1">
      <c r="A212" s="50">
        <v>208</v>
      </c>
      <c r="B212" s="61">
        <v>62</v>
      </c>
      <c r="C212" s="61" t="str">
        <f>IFERROR(VLOOKUP(Table2[[#This Row],[Code]],'[2]New Machine sheet'!$A$1:$D$101,2,0),0)</f>
        <v>FQC</v>
      </c>
      <c r="D212" s="61" t="str">
        <f>IFERROR(VLOOKUP(Table2[[#This Row],[M/c No]],'[2]New Machine sheet'!$B$1:$D$101,2,0),0)</f>
        <v>FQC</v>
      </c>
      <c r="E212" s="61" t="str">
        <f>IFERROR(VLOOKUP(Table2[[#This Row],[M/c Name]],'[2]New Machine sheet'!$C$1:$D$101,2,0),0)</f>
        <v>fqc</v>
      </c>
      <c r="F212" s="61">
        <v>127</v>
      </c>
      <c r="G212" s="61">
        <f>IFERROR(VLOOKUP(Table2[[#This Row],[Code2]],'[2]New Machine sheet'!$F$2:$I$64,2,),0)</f>
        <v>24127</v>
      </c>
      <c r="H212" s="61" t="str">
        <f>IFERROR(VLOOKUP(Table2[[#This Row],[Code2]],'[2]New Machine sheet'!$F$2:$I$64,3,0),0)</f>
        <v>RE J1</v>
      </c>
      <c r="I212" s="61"/>
      <c r="J212" s="61">
        <v>66</v>
      </c>
      <c r="K212" s="61" t="str">
        <f>IFERROR(VLOOKUP(Table2[[#This Row],[Code3]],'[2]New defect code '!$A$2:$D$129,2,0),0)</f>
        <v>OD Under Size</v>
      </c>
      <c r="L212" s="61" t="s">
        <v>188</v>
      </c>
      <c r="M212" s="56">
        <v>46266</v>
      </c>
      <c r="N212" s="61"/>
      <c r="O212" s="61"/>
      <c r="P212" s="61">
        <v>3</v>
      </c>
      <c r="Q212" s="61"/>
      <c r="R212" s="61">
        <f>SUBTOTAL(9,Table2[[#This Row],[1st]:[FQC]])</f>
        <v>3</v>
      </c>
      <c r="S212" s="61">
        <f>IFERROR(VLOOKUP(Table2[[#This Row],[Part No.]],'[2]New Machine sheet'!$G$2:$I$90,3,0),0)</f>
        <v>262.81200000000001</v>
      </c>
      <c r="T212" s="61">
        <f>Table2[[#This Row],[cost per piece]]*Table2[[#This Row],[Total Rej. qty]]</f>
        <v>788.43600000000004</v>
      </c>
      <c r="U212" s="61">
        <f>IFERROR(VLOOKUP(Table2[[#This Row],[Non Conformance]],'[2]New defect code '!$B$2:$C$129,2,0),0)</f>
        <v>3242</v>
      </c>
      <c r="V212" s="61">
        <v>24</v>
      </c>
      <c r="W212" s="61" t="str">
        <f>IFERROR(VLOOKUP(Table2[[#This Row],[Code4]],'[2]New Reason code'!$A$2:$D$77,2,0),0)</f>
        <v>FQC return</v>
      </c>
      <c r="X212" s="61" t="str">
        <f>IFERROR(VLOOKUP(Table2[[#This Row],[Reason]],'[2]New Reason code'!$B$2:$D$77,2,0),0)</f>
        <v>Due to operator</v>
      </c>
      <c r="Y212" s="61" t="str">
        <f>IFERROR(VLOOKUP(Table2[[#This Row],[Rejection Identified at]],'[2]New Reason code'!$C$2:$D$77,2,0),0)</f>
        <v xml:space="preserve">infrastructure </v>
      </c>
    </row>
    <row r="213" spans="1:25" ht="20.25" customHeight="1">
      <c r="A213" s="60">
        <v>209</v>
      </c>
      <c r="B213" s="61">
        <v>3</v>
      </c>
      <c r="C213" s="61" t="str">
        <f>IFERROR(VLOOKUP(Table2[[#This Row],[Code]],'[2]New Machine sheet'!$A$1:$D$101,2,0),0)</f>
        <v>282-03</v>
      </c>
      <c r="D213" s="61" t="str">
        <f>IFERROR(VLOOKUP(Table2[[#This Row],[M/c No]],'[2]New Machine sheet'!$B$1:$D$101,2,0),0)</f>
        <v>Mazak</v>
      </c>
      <c r="E213" s="61" t="str">
        <f>IFERROR(VLOOKUP(Table2[[#This Row],[M/c Name]],'[2]New Machine sheet'!$C$1:$D$101,2,0),0)</f>
        <v>Turning</v>
      </c>
      <c r="F213" s="61">
        <v>178</v>
      </c>
      <c r="G213" s="61">
        <f>IFERROR(VLOOKUP(Table2[[#This Row],[Code2]],'[2]New Machine sheet'!$F$2:$I$64,2,),0)</f>
        <v>24178</v>
      </c>
      <c r="H213" s="61" t="str">
        <f>IFERROR(VLOOKUP(Table2[[#This Row],[Code2]],'[2]New Machine sheet'!$F$2:$I$64,3,0),0)</f>
        <v>RE J1</v>
      </c>
      <c r="I213" s="61" t="s">
        <v>162</v>
      </c>
      <c r="J213" s="61">
        <v>5</v>
      </c>
      <c r="K213" s="61" t="str">
        <f>IFERROR(VLOOKUP(Table2[[#This Row],[Code3]],'[2]New defect code '!$A$2:$D$129,2,0),0)</f>
        <v>Bore Over size</v>
      </c>
      <c r="L213" s="61" t="s">
        <v>188</v>
      </c>
      <c r="M213" s="56">
        <v>46266</v>
      </c>
      <c r="N213" s="61"/>
      <c r="O213" s="61"/>
      <c r="P213" s="61">
        <v>1</v>
      </c>
      <c r="Q213" s="61"/>
      <c r="R213" s="61">
        <f>SUBTOTAL(9,Table2[[#This Row],[1st]:[FQC]])</f>
        <v>1</v>
      </c>
      <c r="S213" s="61">
        <f>IFERROR(VLOOKUP(Table2[[#This Row],[Part No.]],'[2]New Machine sheet'!$G$2:$I$90,3,0),0)</f>
        <v>70.62</v>
      </c>
      <c r="T213" s="61">
        <f>Table2[[#This Row],[cost per piece]]*Table2[[#This Row],[Total Rej. qty]]</f>
        <v>70.62</v>
      </c>
      <c r="U213" s="61">
        <f>IFERROR(VLOOKUP(Table2[[#This Row],[Non Conformance]],'[2]New defect code '!$B$2:$C$129,2,0),0)</f>
        <v>3243</v>
      </c>
      <c r="V213" s="61">
        <v>18</v>
      </c>
      <c r="W213" s="61" t="str">
        <f>IFERROR(VLOOKUP(Table2[[#This Row],[Code4]],'[2]New Reason code'!$A$2:$D$77,2,0),0)</f>
        <v>During insert change</v>
      </c>
      <c r="X213" s="61" t="str">
        <f>IFERROR(VLOOKUP(Table2[[#This Row],[Reason]],'[2]New Reason code'!$B$2:$D$77,2,0),0)</f>
        <v xml:space="preserve">Due to Settup  </v>
      </c>
      <c r="Y213" s="61" t="str">
        <f>IFERROR(VLOOKUP(Table2[[#This Row],[Rejection Identified at]],'[2]New Reason code'!$C$2:$D$77,2,0),0)</f>
        <v>skill</v>
      </c>
    </row>
    <row r="214" spans="1:25" ht="20.25" customHeight="1">
      <c r="A214" s="60">
        <v>210</v>
      </c>
      <c r="B214" s="61">
        <v>23</v>
      </c>
      <c r="C214" s="61" t="str">
        <f>IFERROR(VLOOKUP(Table2[[#This Row],[Code]],'[2]New Machine sheet'!$A$1:$D$101,2,0),0)</f>
        <v>ACE-03</v>
      </c>
      <c r="D214" s="61" t="str">
        <f>IFERROR(VLOOKUP(Table2[[#This Row],[M/c No]],'[2]New Machine sheet'!$B$1:$D$101,2,0),0)</f>
        <v>Micromatic</v>
      </c>
      <c r="E214" s="61" t="str">
        <f>IFERROR(VLOOKUP(Table2[[#This Row],[M/c Name]],'[2]New Machine sheet'!$C$1:$D$101,2,0),0)</f>
        <v>Turning</v>
      </c>
      <c r="F214" s="61">
        <v>29</v>
      </c>
      <c r="G214" s="61">
        <f>IFERROR(VLOOKUP(Table2[[#This Row],[Code2]],'[2]New Machine sheet'!$F$2:$I$64,2,),0)</f>
        <v>2429</v>
      </c>
      <c r="H214" s="61" t="str">
        <f>IFERROR(VLOOKUP(Table2[[#This Row],[Code2]],'[2]New Machine sheet'!$F$2:$I$64,3,0),0)</f>
        <v>RE P1</v>
      </c>
      <c r="I214" s="61" t="s">
        <v>171</v>
      </c>
      <c r="J214" s="61">
        <v>93</v>
      </c>
      <c r="K214" s="61" t="str">
        <f>IFERROR(VLOOKUP(Table2[[#This Row],[Code3]],'[2]New defect code '!$A$2:$D$129,2,0),0)</f>
        <v>Thickness Under size</v>
      </c>
      <c r="L214" s="61" t="s">
        <v>188</v>
      </c>
      <c r="M214" s="56">
        <v>46266</v>
      </c>
      <c r="N214" s="61"/>
      <c r="O214" s="61"/>
      <c r="P214" s="61">
        <v>1</v>
      </c>
      <c r="Q214" s="61"/>
      <c r="R214" s="61">
        <f>SUBTOTAL(9,Table2[[#This Row],[1st]:[FQC]])</f>
        <v>1</v>
      </c>
      <c r="S214" s="61">
        <f>IFERROR(VLOOKUP(Table2[[#This Row],[Part No.]],'[2]New Machine sheet'!$G$2:$I$90,3,0),0)</f>
        <v>142.61000000000001</v>
      </c>
      <c r="T214" s="61">
        <f>Table2[[#This Row],[cost per piece]]*Table2[[#This Row],[Total Rej. qty]]</f>
        <v>142.61000000000001</v>
      </c>
      <c r="U214" s="61">
        <f>IFERROR(VLOOKUP(Table2[[#This Row],[Non Conformance]],'[2]New defect code '!$B$2:$C$129,2,0),0)</f>
        <v>3258</v>
      </c>
      <c r="V214" s="61">
        <v>19</v>
      </c>
      <c r="W214" s="61" t="str">
        <f>IFERROR(VLOOKUP(Table2[[#This Row],[Code4]],'[2]New Reason code'!$A$2:$D$77,2,0),0)</f>
        <v>During Rework time</v>
      </c>
      <c r="X214" s="61" t="str">
        <f>IFERROR(VLOOKUP(Table2[[#This Row],[Reason]],'[2]New Reason code'!$B$2:$D$77,2,0),0)</f>
        <v>Due to operator</v>
      </c>
      <c r="Y214" s="61" t="str">
        <f>IFERROR(VLOOKUP(Table2[[#This Row],[Rejection Identified at]],'[2]New Reason code'!$C$2:$D$77,2,0),0)</f>
        <v xml:space="preserve">infrastructure </v>
      </c>
    </row>
    <row r="215" spans="1:25" ht="20.25" customHeight="1">
      <c r="A215" s="50">
        <v>211</v>
      </c>
      <c r="B215" s="61">
        <v>40</v>
      </c>
      <c r="C215" s="61" t="str">
        <f>IFERROR(VLOOKUP(Table2[[#This Row],[Code]],'[2]New Machine sheet'!$A$1:$D$101,2,0),0)</f>
        <v>ACE-20</v>
      </c>
      <c r="D215" s="61" t="str">
        <f>IFERROR(VLOOKUP(Table2[[#This Row],[M/c No]],'[2]New Machine sheet'!$B$1:$D$101,2,0),0)</f>
        <v>Micromatic</v>
      </c>
      <c r="E215" s="61" t="str">
        <f>IFERROR(VLOOKUP(Table2[[#This Row],[M/c Name]],'[2]New Machine sheet'!$C$1:$D$101,2,0),0)</f>
        <v>Turning</v>
      </c>
      <c r="F215" s="61">
        <v>122</v>
      </c>
      <c r="G215" s="61">
        <f>IFERROR(VLOOKUP(Table2[[#This Row],[Code2]],'[2]New Machine sheet'!$F$2:$I$64,2,),0)</f>
        <v>24122</v>
      </c>
      <c r="H215" s="61" t="str">
        <f>IFERROR(VLOOKUP(Table2[[#This Row],[Code2]],'[2]New Machine sheet'!$F$2:$I$64,3,0),0)</f>
        <v>RE J1</v>
      </c>
      <c r="I215" s="61" t="s">
        <v>194</v>
      </c>
      <c r="J215" s="61">
        <v>93</v>
      </c>
      <c r="K215" s="61" t="str">
        <f>IFERROR(VLOOKUP(Table2[[#This Row],[Code3]],'[2]New defect code '!$A$2:$D$129,2,0),0)</f>
        <v>Thickness Under size</v>
      </c>
      <c r="L215" s="61" t="s">
        <v>189</v>
      </c>
      <c r="M215" s="56">
        <v>46266</v>
      </c>
      <c r="N215" s="61">
        <v>1</v>
      </c>
      <c r="O215" s="61"/>
      <c r="P215" s="61"/>
      <c r="Q215" s="61"/>
      <c r="R215" s="61">
        <f>SUBTOTAL(9,Table2[[#This Row],[1st]:[FQC]])</f>
        <v>1</v>
      </c>
      <c r="S215" s="61">
        <f>IFERROR(VLOOKUP(Table2[[#This Row],[Part No.]],'[2]New Machine sheet'!$G$2:$I$90,3,0),0)</f>
        <v>335.39977528089889</v>
      </c>
      <c r="T215" s="61">
        <f>Table2[[#This Row],[cost per piece]]*Table2[[#This Row],[Total Rej. qty]]</f>
        <v>335.39977528089889</v>
      </c>
      <c r="U215" s="61">
        <f>IFERROR(VLOOKUP(Table2[[#This Row],[Non Conformance]],'[2]New defect code '!$B$2:$C$129,2,0),0)</f>
        <v>3258</v>
      </c>
      <c r="V215" s="61">
        <v>18</v>
      </c>
      <c r="W215" s="61" t="str">
        <f>IFERROR(VLOOKUP(Table2[[#This Row],[Code4]],'[2]New Reason code'!$A$2:$D$77,2,0),0)</f>
        <v>During insert change</v>
      </c>
      <c r="X215" s="61" t="str">
        <f>IFERROR(VLOOKUP(Table2[[#This Row],[Reason]],'[2]New Reason code'!$B$2:$D$77,2,0),0)</f>
        <v xml:space="preserve">Due to Settup  </v>
      </c>
      <c r="Y215" s="61" t="str">
        <f>IFERROR(VLOOKUP(Table2[[#This Row],[Rejection Identified at]],'[2]New Reason code'!$C$2:$D$77,2,0),0)</f>
        <v>skill</v>
      </c>
    </row>
    <row r="216" spans="1:25" ht="20.25" customHeight="1">
      <c r="A216" s="60">
        <v>212</v>
      </c>
      <c r="B216" s="61">
        <v>3</v>
      </c>
      <c r="C216" s="61" t="str">
        <f>IFERROR(VLOOKUP(Table2[[#This Row],[Code]],'[2]New Machine sheet'!$A$1:$D$101,2,0),0)</f>
        <v>282-03</v>
      </c>
      <c r="D216" s="61" t="str">
        <f>IFERROR(VLOOKUP(Table2[[#This Row],[M/c No]],'[2]New Machine sheet'!$B$1:$D$101,2,0),0)</f>
        <v>Mazak</v>
      </c>
      <c r="E216" s="61" t="str">
        <f>IFERROR(VLOOKUP(Table2[[#This Row],[M/c Name]],'[2]New Machine sheet'!$C$1:$D$101,2,0),0)</f>
        <v>Turning</v>
      </c>
      <c r="F216" s="61">
        <v>47</v>
      </c>
      <c r="G216" s="61">
        <f>IFERROR(VLOOKUP(Table2[[#This Row],[Code2]],'[2]New Machine sheet'!$F$2:$I$64,2,),0)</f>
        <v>2447</v>
      </c>
      <c r="H216" s="61" t="str">
        <f>IFERROR(VLOOKUP(Table2[[#This Row],[Code2]],'[2]New Machine sheet'!$F$2:$I$64,3,0),0)</f>
        <v>RE D1</v>
      </c>
      <c r="I216" s="61" t="s">
        <v>125</v>
      </c>
      <c r="J216" s="61">
        <v>5</v>
      </c>
      <c r="K216" s="61" t="str">
        <f>IFERROR(VLOOKUP(Table2[[#This Row],[Code3]],'[2]New defect code '!$A$2:$D$129,2,0),0)</f>
        <v>Bore Over size</v>
      </c>
      <c r="L216" s="61" t="s">
        <v>189</v>
      </c>
      <c r="M216" s="56">
        <v>46266</v>
      </c>
      <c r="N216" s="61">
        <v>3</v>
      </c>
      <c r="O216" s="61"/>
      <c r="P216" s="61"/>
      <c r="Q216" s="61"/>
      <c r="R216" s="61">
        <f>SUBTOTAL(9,Table2[[#This Row],[1st]:[FQC]])</f>
        <v>3</v>
      </c>
      <c r="S216" s="61">
        <f>IFERROR(VLOOKUP(Table2[[#This Row],[Part No.]],'[2]New Machine sheet'!$G$2:$I$90,3,0),0)</f>
        <v>112.01</v>
      </c>
      <c r="T216" s="61">
        <f>Table2[[#This Row],[cost per piece]]*Table2[[#This Row],[Total Rej. qty]]</f>
        <v>336.03000000000003</v>
      </c>
      <c r="U216" s="61">
        <f>IFERROR(VLOOKUP(Table2[[#This Row],[Non Conformance]],'[2]New defect code '!$B$2:$C$129,2,0),0)</f>
        <v>3243</v>
      </c>
      <c r="V216" s="61">
        <v>21</v>
      </c>
      <c r="W216" s="61" t="str">
        <f>IFERROR(VLOOKUP(Table2[[#This Row],[Code4]],'[2]New Reason code'!$A$2:$D$77,2,0),0)</f>
        <v>During setup time</v>
      </c>
      <c r="X216" s="61" t="str">
        <f>IFERROR(VLOOKUP(Table2[[#This Row],[Reason]],'[2]New Reason code'!$B$2:$D$77,2,0),0)</f>
        <v xml:space="preserve">Due to Settup  </v>
      </c>
      <c r="Y216" s="61" t="str">
        <f>IFERROR(VLOOKUP(Table2[[#This Row],[Rejection Identified at]],'[2]New Reason code'!$C$2:$D$77,2,0),0)</f>
        <v>skill</v>
      </c>
    </row>
    <row r="217" spans="1:25" ht="20.25" customHeight="1">
      <c r="A217" s="60">
        <v>213</v>
      </c>
      <c r="B217" s="61">
        <v>10</v>
      </c>
      <c r="C217" s="61" t="str">
        <f>IFERROR(VLOOKUP(Table2[[#This Row],[Code]],'[2]New Machine sheet'!$A$1:$D$101,2,0),0)</f>
        <v>282-10</v>
      </c>
      <c r="D217" s="61" t="str">
        <f>IFERROR(VLOOKUP(Table2[[#This Row],[M/c No]],'[2]New Machine sheet'!$B$1:$D$101,2,0),0)</f>
        <v>Mazak</v>
      </c>
      <c r="E217" s="61" t="str">
        <f>IFERROR(VLOOKUP(Table2[[#This Row],[M/c Name]],'[2]New Machine sheet'!$C$1:$D$101,2,0),0)</f>
        <v>Turning</v>
      </c>
      <c r="F217" s="61">
        <v>155</v>
      </c>
      <c r="G217" s="61">
        <f>IFERROR(VLOOKUP(Table2[[#This Row],[Code2]],'[2]New Machine sheet'!$F$2:$I$64,2,),0)</f>
        <v>24155</v>
      </c>
      <c r="H217" s="61" t="str">
        <f>IFERROR(VLOOKUP(Table2[[#This Row],[Code2]],'[2]New Machine sheet'!$F$2:$I$64,3,0),0)</f>
        <v>RE J1</v>
      </c>
      <c r="I217" s="61" t="s">
        <v>153</v>
      </c>
      <c r="J217" s="61">
        <v>5</v>
      </c>
      <c r="K217" s="61" t="str">
        <f>IFERROR(VLOOKUP(Table2[[#This Row],[Code3]],'[2]New defect code '!$A$2:$D$129,2,0),0)</f>
        <v>Bore Over size</v>
      </c>
      <c r="L217" s="61" t="s">
        <v>189</v>
      </c>
      <c r="M217" s="56">
        <v>46266</v>
      </c>
      <c r="N217" s="61">
        <v>5</v>
      </c>
      <c r="O217" s="61"/>
      <c r="P217" s="61"/>
      <c r="Q217" s="61"/>
      <c r="R217" s="61">
        <f>SUBTOTAL(9,Table2[[#This Row],[1st]:[FQC]])</f>
        <v>5</v>
      </c>
      <c r="S217" s="61">
        <f>IFERROR(VLOOKUP(Table2[[#This Row],[Part No.]],'[2]New Machine sheet'!$G$2:$I$90,3,0),0)</f>
        <v>107.67</v>
      </c>
      <c r="T217" s="61">
        <f>Table2[[#This Row],[cost per piece]]*Table2[[#This Row],[Total Rej. qty]]</f>
        <v>538.35</v>
      </c>
      <c r="U217" s="61">
        <f>IFERROR(VLOOKUP(Table2[[#This Row],[Non Conformance]],'[2]New defect code '!$B$2:$C$129,2,0),0)</f>
        <v>3243</v>
      </c>
      <c r="V217" s="61">
        <v>19</v>
      </c>
      <c r="W217" s="61" t="str">
        <f>IFERROR(VLOOKUP(Table2[[#This Row],[Code4]],'[2]New Reason code'!$A$2:$D$77,2,0),0)</f>
        <v>During Rework time</v>
      </c>
      <c r="X217" s="61" t="str">
        <f>IFERROR(VLOOKUP(Table2[[#This Row],[Reason]],'[2]New Reason code'!$B$2:$D$77,2,0),0)</f>
        <v>Due to operator</v>
      </c>
      <c r="Y217" s="61" t="str">
        <f>IFERROR(VLOOKUP(Table2[[#This Row],[Rejection Identified at]],'[2]New Reason code'!$C$2:$D$77,2,0),0)</f>
        <v xml:space="preserve">infrastructure </v>
      </c>
    </row>
    <row r="218" spans="1:25" ht="20.25" customHeight="1">
      <c r="A218" s="50">
        <v>214</v>
      </c>
      <c r="B218" s="61">
        <v>41</v>
      </c>
      <c r="C218" s="61" t="str">
        <f>IFERROR(VLOOKUP(Table2[[#This Row],[Code]],'[2]New Machine sheet'!$A$1:$D$101,2,0),0)</f>
        <v>252-03</v>
      </c>
      <c r="D218" s="61" t="str">
        <f>IFERROR(VLOOKUP(Table2[[#This Row],[M/c No]],'[2]New Machine sheet'!$B$1:$D$101,2,0),0)</f>
        <v>VMC</v>
      </c>
      <c r="E218" s="61" t="str">
        <f>IFERROR(VLOOKUP(Table2[[#This Row],[M/c Name]],'[2]New Machine sheet'!$C$1:$D$101,2,0),0)</f>
        <v>VMC</v>
      </c>
      <c r="F218" s="61">
        <v>155</v>
      </c>
      <c r="G218" s="61">
        <f>IFERROR(VLOOKUP(Table2[[#This Row],[Code2]],'[2]New Machine sheet'!$F$2:$I$64,2,),0)</f>
        <v>24155</v>
      </c>
      <c r="H218" s="61" t="str">
        <f>IFERROR(VLOOKUP(Table2[[#This Row],[Code2]],'[2]New Machine sheet'!$F$2:$I$64,3,0),0)</f>
        <v>RE J1</v>
      </c>
      <c r="I218" s="61" t="s">
        <v>182</v>
      </c>
      <c r="J218" s="61">
        <v>32</v>
      </c>
      <c r="K218" s="61" t="str">
        <f>IFERROR(VLOOKUP(Table2[[#This Row],[Code3]],'[2]New defect code '!$A$2:$D$129,2,0),0)</f>
        <v>Double Dot Punching</v>
      </c>
      <c r="L218" s="61" t="s">
        <v>189</v>
      </c>
      <c r="M218" s="56">
        <v>46266</v>
      </c>
      <c r="N218" s="61">
        <v>24</v>
      </c>
      <c r="O218" s="61"/>
      <c r="P218" s="61"/>
      <c r="Q218" s="61"/>
      <c r="R218" s="61">
        <f>SUBTOTAL(9,Table2[[#This Row],[1st]:[FQC]])</f>
        <v>24</v>
      </c>
      <c r="S218" s="61">
        <f>IFERROR(VLOOKUP(Table2[[#This Row],[Part No.]],'[2]New Machine sheet'!$G$2:$I$90,3,0),0)</f>
        <v>107.67</v>
      </c>
      <c r="T218" s="61">
        <f>Table2[[#This Row],[cost per piece]]*Table2[[#This Row],[Total Rej. qty]]</f>
        <v>2584.08</v>
      </c>
      <c r="U218" s="61">
        <f>IFERROR(VLOOKUP(Table2[[#This Row],[Non Conformance]],'[2]New defect code '!$B$2:$C$129,2,0),0)</f>
        <v>0</v>
      </c>
      <c r="V218" s="61">
        <v>19</v>
      </c>
      <c r="W218" s="61" t="str">
        <f>IFERROR(VLOOKUP(Table2[[#This Row],[Code4]],'[2]New Reason code'!$A$2:$D$77,2,0),0)</f>
        <v>During Rework time</v>
      </c>
      <c r="X218" s="61" t="str">
        <f>IFERROR(VLOOKUP(Table2[[#This Row],[Reason]],'[2]New Reason code'!$B$2:$D$77,2,0),0)</f>
        <v>Due to operator</v>
      </c>
      <c r="Y218" s="61" t="str">
        <f>IFERROR(VLOOKUP(Table2[[#This Row],[Rejection Identified at]],'[2]New Reason code'!$C$2:$D$77,2,0),0)</f>
        <v xml:space="preserve">infrastructure </v>
      </c>
    </row>
    <row r="219" spans="1:25" ht="20.25" customHeight="1">
      <c r="A219" s="60">
        <v>215</v>
      </c>
      <c r="B219" s="61">
        <v>41</v>
      </c>
      <c r="C219" s="61" t="str">
        <f>IFERROR(VLOOKUP(Table2[[#This Row],[Code]],'[2]New Machine sheet'!$A$1:$D$101,2,0),0)</f>
        <v>252-03</v>
      </c>
      <c r="D219" s="61" t="str">
        <f>IFERROR(VLOOKUP(Table2[[#This Row],[M/c No]],'[2]New Machine sheet'!$B$1:$D$101,2,0),0)</f>
        <v>VMC</v>
      </c>
      <c r="E219" s="61" t="str">
        <f>IFERROR(VLOOKUP(Table2[[#This Row],[M/c Name]],'[2]New Machine sheet'!$C$1:$D$101,2,0),0)</f>
        <v>VMC</v>
      </c>
      <c r="F219" s="61">
        <v>155</v>
      </c>
      <c r="G219" s="61">
        <f>IFERROR(VLOOKUP(Table2[[#This Row],[Code2]],'[2]New Machine sheet'!$F$2:$I$64,2,),0)</f>
        <v>24155</v>
      </c>
      <c r="H219" s="61" t="str">
        <f>IFERROR(VLOOKUP(Table2[[#This Row],[Code2]],'[2]New Machine sheet'!$F$2:$I$64,3,0),0)</f>
        <v>RE J1</v>
      </c>
      <c r="I219" s="61" t="s">
        <v>182</v>
      </c>
      <c r="J219" s="61">
        <v>72</v>
      </c>
      <c r="K219" s="61" t="str">
        <f>IFERROR(VLOOKUP(Table2[[#This Row],[Code3]],'[2]New defect code '!$A$2:$D$129,2,0),0)</f>
        <v xml:space="preserve">PG No Go pass </v>
      </c>
      <c r="L219" s="61" t="s">
        <v>189</v>
      </c>
      <c r="M219" s="56">
        <v>46266</v>
      </c>
      <c r="N219" s="61">
        <v>5</v>
      </c>
      <c r="O219" s="61"/>
      <c r="P219" s="61"/>
      <c r="Q219" s="61"/>
      <c r="R219" s="61">
        <f>SUBTOTAL(9,Table2[[#This Row],[1st]:[FQC]])</f>
        <v>5</v>
      </c>
      <c r="S219" s="61">
        <f>IFERROR(VLOOKUP(Table2[[#This Row],[Part No.]],'[2]New Machine sheet'!$G$2:$I$90,3,0),0)</f>
        <v>107.67</v>
      </c>
      <c r="T219" s="61">
        <f>Table2[[#This Row],[cost per piece]]*Table2[[#This Row],[Total Rej. qty]]</f>
        <v>538.35</v>
      </c>
      <c r="U219" s="61">
        <f>IFERROR(VLOOKUP(Table2[[#This Row],[Non Conformance]],'[2]New defect code '!$B$2:$C$129,2,0),0)</f>
        <v>0</v>
      </c>
      <c r="V219" s="61">
        <v>19</v>
      </c>
      <c r="W219" s="61" t="str">
        <f>IFERROR(VLOOKUP(Table2[[#This Row],[Code4]],'[2]New Reason code'!$A$2:$D$77,2,0),0)</f>
        <v>During Rework time</v>
      </c>
      <c r="X219" s="61" t="str">
        <f>IFERROR(VLOOKUP(Table2[[#This Row],[Reason]],'[2]New Reason code'!$B$2:$D$77,2,0),0)</f>
        <v>Due to operator</v>
      </c>
      <c r="Y219" s="61" t="str">
        <f>IFERROR(VLOOKUP(Table2[[#This Row],[Rejection Identified at]],'[2]New Reason code'!$C$2:$D$77,2,0),0)</f>
        <v xml:space="preserve">infrastructure </v>
      </c>
    </row>
    <row r="220" spans="1:25" ht="20.25" customHeight="1">
      <c r="A220" s="60">
        <v>216</v>
      </c>
      <c r="B220" s="61">
        <v>14</v>
      </c>
      <c r="C220" s="61" t="str">
        <f>IFERROR(VLOOKUP(Table2[[#This Row],[Code]],'[2]New Machine sheet'!$A$1:$D$101,2,0),0)</f>
        <v>282-14</v>
      </c>
      <c r="D220" s="61" t="str">
        <f>IFERROR(VLOOKUP(Table2[[#This Row],[M/c No]],'[2]New Machine sheet'!$B$1:$D$101,2,0),0)</f>
        <v>Mazak</v>
      </c>
      <c r="E220" s="61" t="str">
        <f>IFERROR(VLOOKUP(Table2[[#This Row],[M/c Name]],'[2]New Machine sheet'!$C$1:$D$101,2,0),0)</f>
        <v>Turning</v>
      </c>
      <c r="F220" s="61">
        <v>155</v>
      </c>
      <c r="G220" s="61">
        <f>IFERROR(VLOOKUP(Table2[[#This Row],[Code2]],'[2]New Machine sheet'!$F$2:$I$64,2,),0)</f>
        <v>24155</v>
      </c>
      <c r="H220" s="61" t="str">
        <f>IFERROR(VLOOKUP(Table2[[#This Row],[Code2]],'[2]New Machine sheet'!$F$2:$I$64,3,0),0)</f>
        <v>RE J1</v>
      </c>
      <c r="I220" s="61" t="s">
        <v>153</v>
      </c>
      <c r="J220" s="61">
        <v>93</v>
      </c>
      <c r="K220" s="61" t="str">
        <f>IFERROR(VLOOKUP(Table2[[#This Row],[Code3]],'[2]New defect code '!$A$2:$D$129,2,0),0)</f>
        <v>Thickness Under size</v>
      </c>
      <c r="L220" s="61" t="s">
        <v>189</v>
      </c>
      <c r="M220" s="56">
        <v>46266</v>
      </c>
      <c r="N220" s="61">
        <v>10</v>
      </c>
      <c r="O220" s="61"/>
      <c r="P220" s="61"/>
      <c r="Q220" s="61"/>
      <c r="R220" s="61">
        <f>SUBTOTAL(9,Table2[[#This Row],[1st]:[FQC]])</f>
        <v>10</v>
      </c>
      <c r="S220" s="61">
        <f>IFERROR(VLOOKUP(Table2[[#This Row],[Part No.]],'[2]New Machine sheet'!$G$2:$I$90,3,0),0)</f>
        <v>107.67</v>
      </c>
      <c r="T220" s="61">
        <f>Table2[[#This Row],[cost per piece]]*Table2[[#This Row],[Total Rej. qty]]</f>
        <v>1076.7</v>
      </c>
      <c r="U220" s="61">
        <f>IFERROR(VLOOKUP(Table2[[#This Row],[Non Conformance]],'[2]New defect code '!$B$2:$C$129,2,0),0)</f>
        <v>3258</v>
      </c>
      <c r="V220" s="61">
        <v>19</v>
      </c>
      <c r="W220" s="61" t="str">
        <f>IFERROR(VLOOKUP(Table2[[#This Row],[Code4]],'[2]New Reason code'!$A$2:$D$77,2,0),0)</f>
        <v>During Rework time</v>
      </c>
      <c r="X220" s="61" t="str">
        <f>IFERROR(VLOOKUP(Table2[[#This Row],[Reason]],'[2]New Reason code'!$B$2:$D$77,2,0),0)</f>
        <v>Due to operator</v>
      </c>
      <c r="Y220" s="61" t="str">
        <f>IFERROR(VLOOKUP(Table2[[#This Row],[Rejection Identified at]],'[2]New Reason code'!$C$2:$D$77,2,0),0)</f>
        <v xml:space="preserve">infrastructure </v>
      </c>
    </row>
    <row r="221" spans="1:25" ht="20.25" customHeight="1">
      <c r="A221" s="50">
        <v>217</v>
      </c>
      <c r="B221" s="61">
        <v>41</v>
      </c>
      <c r="C221" s="61" t="str">
        <f>IFERROR(VLOOKUP(Table2[[#This Row],[Code]],'[2]New Machine sheet'!$A$1:$D$101,2,0),0)</f>
        <v>252-03</v>
      </c>
      <c r="D221" s="61" t="str">
        <f>IFERROR(VLOOKUP(Table2[[#This Row],[M/c No]],'[2]New Machine sheet'!$B$1:$D$101,2,0),0)</f>
        <v>VMC</v>
      </c>
      <c r="E221" s="61" t="str">
        <f>IFERROR(VLOOKUP(Table2[[#This Row],[M/c Name]],'[2]New Machine sheet'!$C$1:$D$101,2,0),0)</f>
        <v>VMC</v>
      </c>
      <c r="F221" s="61">
        <v>155</v>
      </c>
      <c r="G221" s="61">
        <f>IFERROR(VLOOKUP(Table2[[#This Row],[Code2]],'[2]New Machine sheet'!$F$2:$I$64,2,),0)</f>
        <v>24155</v>
      </c>
      <c r="H221" s="61" t="str">
        <f>IFERROR(VLOOKUP(Table2[[#This Row],[Code2]],'[2]New Machine sheet'!$F$2:$I$64,3,0),0)</f>
        <v>RE J1</v>
      </c>
      <c r="I221" s="61" t="s">
        <v>182</v>
      </c>
      <c r="J221" s="61">
        <v>48</v>
      </c>
      <c r="K221" s="61" t="str">
        <f>IFERROR(VLOOKUP(Table2[[#This Row],[Code3]],'[2]New defect code '!$A$2:$D$129,2,0),0)</f>
        <v>Heavy Dot Punching</v>
      </c>
      <c r="L221" s="61" t="s">
        <v>189</v>
      </c>
      <c r="M221" s="56">
        <v>46266</v>
      </c>
      <c r="N221" s="61">
        <v>6</v>
      </c>
      <c r="O221" s="61"/>
      <c r="P221" s="61"/>
      <c r="Q221" s="61"/>
      <c r="R221" s="61">
        <f>SUBTOTAL(9,Table2[[#This Row],[1st]:[FQC]])</f>
        <v>6</v>
      </c>
      <c r="S221" s="61">
        <f>IFERROR(VLOOKUP(Table2[[#This Row],[Part No.]],'[2]New Machine sheet'!$G$2:$I$90,3,0),0)</f>
        <v>107.67</v>
      </c>
      <c r="T221" s="61">
        <f>Table2[[#This Row],[cost per piece]]*Table2[[#This Row],[Total Rej. qty]]</f>
        <v>646.02</v>
      </c>
      <c r="U221" s="61">
        <f>IFERROR(VLOOKUP(Table2[[#This Row],[Non Conformance]],'[2]New defect code '!$B$2:$C$129,2,0),0)</f>
        <v>3246</v>
      </c>
      <c r="V221" s="61">
        <v>19</v>
      </c>
      <c r="W221" s="61" t="str">
        <f>IFERROR(VLOOKUP(Table2[[#This Row],[Code4]],'[2]New Reason code'!$A$2:$D$77,2,0),0)</f>
        <v>During Rework time</v>
      </c>
      <c r="X221" s="61" t="str">
        <f>IFERROR(VLOOKUP(Table2[[#This Row],[Reason]],'[2]New Reason code'!$B$2:$D$77,2,0),0)</f>
        <v>Due to operator</v>
      </c>
      <c r="Y221" s="61" t="str">
        <f>IFERROR(VLOOKUP(Table2[[#This Row],[Rejection Identified at]],'[2]New Reason code'!$C$2:$D$77,2,0),0)</f>
        <v xml:space="preserve">infrastructure </v>
      </c>
    </row>
    <row r="222" spans="1:25" ht="20.25" customHeight="1">
      <c r="A222" s="60">
        <v>218</v>
      </c>
      <c r="B222" s="61">
        <v>12</v>
      </c>
      <c r="C222" s="61" t="str">
        <f>IFERROR(VLOOKUP(Table2[[#This Row],[Code]],'[2]New Machine sheet'!$A$1:$D$101,2,0),0)</f>
        <v>282-12</v>
      </c>
      <c r="D222" s="61" t="str">
        <f>IFERROR(VLOOKUP(Table2[[#This Row],[M/c No]],'[2]New Machine sheet'!$B$1:$D$101,2,0),0)</f>
        <v>Mazak</v>
      </c>
      <c r="E222" s="61" t="str">
        <f>IFERROR(VLOOKUP(Table2[[#This Row],[M/c Name]],'[2]New Machine sheet'!$C$1:$D$101,2,0),0)</f>
        <v>Turning</v>
      </c>
      <c r="F222" s="61">
        <v>119</v>
      </c>
      <c r="G222" s="61">
        <f>IFERROR(VLOOKUP(Table2[[#This Row],[Code2]],'[2]New Machine sheet'!$F$2:$I$64,2,),0)</f>
        <v>24119</v>
      </c>
      <c r="H222" s="61" t="str">
        <f>IFERROR(VLOOKUP(Table2[[#This Row],[Code2]],'[2]New Machine sheet'!$F$2:$I$64,3,0),0)</f>
        <v>RE J1</v>
      </c>
      <c r="I222" s="61" t="s">
        <v>129</v>
      </c>
      <c r="J222" s="61">
        <v>5</v>
      </c>
      <c r="K222" s="61" t="str">
        <f>IFERROR(VLOOKUP(Table2[[#This Row],[Code3]],'[2]New defect code '!$A$2:$D$129,2,0),0)</f>
        <v>Bore Over size</v>
      </c>
      <c r="L222" s="61" t="s">
        <v>189</v>
      </c>
      <c r="M222" s="56">
        <v>46266</v>
      </c>
      <c r="N222" s="61">
        <v>13</v>
      </c>
      <c r="O222" s="61"/>
      <c r="P222" s="61"/>
      <c r="Q222" s="61"/>
      <c r="R222" s="61">
        <f>SUBTOTAL(9,Table2[[#This Row],[1st]:[FQC]])</f>
        <v>13</v>
      </c>
      <c r="S222" s="61">
        <f>IFERROR(VLOOKUP(Table2[[#This Row],[Part No.]],'[2]New Machine sheet'!$G$2:$I$90,3,0),0)</f>
        <v>103.2</v>
      </c>
      <c r="T222" s="61">
        <f>Table2[[#This Row],[cost per piece]]*Table2[[#This Row],[Total Rej. qty]]</f>
        <v>1341.6000000000001</v>
      </c>
      <c r="U222" s="61">
        <f>IFERROR(VLOOKUP(Table2[[#This Row],[Non Conformance]],'[2]New defect code '!$B$2:$C$129,2,0),0)</f>
        <v>3243</v>
      </c>
      <c r="V222" s="61">
        <v>19</v>
      </c>
      <c r="W222" s="61" t="str">
        <f>IFERROR(VLOOKUP(Table2[[#This Row],[Code4]],'[2]New Reason code'!$A$2:$D$77,2,0),0)</f>
        <v>During Rework time</v>
      </c>
      <c r="X222" s="61" t="str">
        <f>IFERROR(VLOOKUP(Table2[[#This Row],[Reason]],'[2]New Reason code'!$B$2:$D$77,2,0),0)</f>
        <v>Due to operator</v>
      </c>
      <c r="Y222" s="61" t="str">
        <f>IFERROR(VLOOKUP(Table2[[#This Row],[Rejection Identified at]],'[2]New Reason code'!$C$2:$D$77,2,0),0)</f>
        <v xml:space="preserve">infrastructure </v>
      </c>
    </row>
    <row r="223" spans="1:25" ht="20.25" customHeight="1">
      <c r="A223" s="60">
        <v>219</v>
      </c>
      <c r="B223" s="61">
        <v>12</v>
      </c>
      <c r="C223" s="61" t="str">
        <f>IFERROR(VLOOKUP(Table2[[#This Row],[Code]],'[2]New Machine sheet'!$A$1:$D$101,2,0),0)</f>
        <v>282-12</v>
      </c>
      <c r="D223" s="61" t="str">
        <f>IFERROR(VLOOKUP(Table2[[#This Row],[M/c No]],'[2]New Machine sheet'!$B$1:$D$101,2,0),0)</f>
        <v>Mazak</v>
      </c>
      <c r="E223" s="61" t="str">
        <f>IFERROR(VLOOKUP(Table2[[#This Row],[M/c Name]],'[2]New Machine sheet'!$C$1:$D$101,2,0),0)</f>
        <v>Turning</v>
      </c>
      <c r="F223" s="61">
        <v>119</v>
      </c>
      <c r="G223" s="61">
        <f>IFERROR(VLOOKUP(Table2[[#This Row],[Code2]],'[2]New Machine sheet'!$F$2:$I$64,2,),0)</f>
        <v>24119</v>
      </c>
      <c r="H223" s="61" t="str">
        <f>IFERROR(VLOOKUP(Table2[[#This Row],[Code2]],'[2]New Machine sheet'!$F$2:$I$64,3,0),0)</f>
        <v>RE J1</v>
      </c>
      <c r="I223" s="61" t="s">
        <v>129</v>
      </c>
      <c r="J223" s="61">
        <v>93</v>
      </c>
      <c r="K223" s="61" t="str">
        <f>IFERROR(VLOOKUP(Table2[[#This Row],[Code3]],'[2]New defect code '!$A$2:$D$129,2,0),0)</f>
        <v>Thickness Under size</v>
      </c>
      <c r="L223" s="61" t="s">
        <v>189</v>
      </c>
      <c r="M223" s="56">
        <v>46266</v>
      </c>
      <c r="N223" s="61">
        <v>5</v>
      </c>
      <c r="O223" s="61"/>
      <c r="P223" s="61"/>
      <c r="Q223" s="61"/>
      <c r="R223" s="61">
        <f>SUBTOTAL(9,Table2[[#This Row],[1st]:[FQC]])</f>
        <v>5</v>
      </c>
      <c r="S223" s="61">
        <f>IFERROR(VLOOKUP(Table2[[#This Row],[Part No.]],'[2]New Machine sheet'!$G$2:$I$90,3,0),0)</f>
        <v>103.2</v>
      </c>
      <c r="T223" s="61">
        <f>Table2[[#This Row],[cost per piece]]*Table2[[#This Row],[Total Rej. qty]]</f>
        <v>516</v>
      </c>
      <c r="U223" s="61">
        <f>IFERROR(VLOOKUP(Table2[[#This Row],[Non Conformance]],'[2]New defect code '!$B$2:$C$129,2,0),0)</f>
        <v>3258</v>
      </c>
      <c r="V223" s="61">
        <v>19</v>
      </c>
      <c r="W223" s="61" t="str">
        <f>IFERROR(VLOOKUP(Table2[[#This Row],[Code4]],'[2]New Reason code'!$A$2:$D$77,2,0),0)</f>
        <v>During Rework time</v>
      </c>
      <c r="X223" s="61" t="str">
        <f>IFERROR(VLOOKUP(Table2[[#This Row],[Reason]],'[2]New Reason code'!$B$2:$D$77,2,0),0)</f>
        <v>Due to operator</v>
      </c>
      <c r="Y223" s="61" t="str">
        <f>IFERROR(VLOOKUP(Table2[[#This Row],[Rejection Identified at]],'[2]New Reason code'!$C$2:$D$77,2,0),0)</f>
        <v xml:space="preserve">infrastructure </v>
      </c>
    </row>
    <row r="224" spans="1:25" ht="20.25" customHeight="1">
      <c r="A224" s="50">
        <v>220</v>
      </c>
      <c r="B224" s="61">
        <v>19</v>
      </c>
      <c r="C224" s="61" t="str">
        <f>IFERROR(VLOOKUP(Table2[[#This Row],[Code]],'[2]New Machine sheet'!$A$1:$D$101,2,0),0)</f>
        <v>282-19</v>
      </c>
      <c r="D224" s="61" t="str">
        <f>IFERROR(VLOOKUP(Table2[[#This Row],[M/c No]],'[2]New Machine sheet'!$B$1:$D$101,2,0),0)</f>
        <v>Mazak</v>
      </c>
      <c r="E224" s="61" t="str">
        <f>IFERROR(VLOOKUP(Table2[[#This Row],[M/c Name]],'[2]New Machine sheet'!$C$1:$D$101,2,0),0)</f>
        <v>Turning</v>
      </c>
      <c r="F224" s="61">
        <v>122</v>
      </c>
      <c r="G224" s="61">
        <f>IFERROR(VLOOKUP(Table2[[#This Row],[Code2]],'[2]New Machine sheet'!$F$2:$I$64,2,),0)</f>
        <v>24122</v>
      </c>
      <c r="H224" s="61" t="str">
        <f>IFERROR(VLOOKUP(Table2[[#This Row],[Code2]],'[2]New Machine sheet'!$F$2:$I$64,3,0),0)</f>
        <v>RE J1</v>
      </c>
      <c r="I224" s="61" t="s">
        <v>126</v>
      </c>
      <c r="J224" s="61">
        <v>5</v>
      </c>
      <c r="K224" s="61" t="str">
        <f>IFERROR(VLOOKUP(Table2[[#This Row],[Code3]],'[2]New defect code '!$A$2:$D$129,2,0),0)</f>
        <v>Bore Over size</v>
      </c>
      <c r="L224" s="61" t="s">
        <v>189</v>
      </c>
      <c r="M224" s="56">
        <v>46266</v>
      </c>
      <c r="N224" s="61">
        <v>1</v>
      </c>
      <c r="O224" s="61"/>
      <c r="P224" s="61"/>
      <c r="Q224" s="61"/>
      <c r="R224" s="61">
        <f>SUBTOTAL(9,Table2[[#This Row],[1st]:[FQC]])</f>
        <v>1</v>
      </c>
      <c r="S224" s="61">
        <f>IFERROR(VLOOKUP(Table2[[#This Row],[Part No.]],'[2]New Machine sheet'!$G$2:$I$90,3,0),0)</f>
        <v>335.39977528089889</v>
      </c>
      <c r="T224" s="61">
        <f>Table2[[#This Row],[cost per piece]]*Table2[[#This Row],[Total Rej. qty]]</f>
        <v>335.39977528089889</v>
      </c>
      <c r="U224" s="61">
        <f>IFERROR(VLOOKUP(Table2[[#This Row],[Non Conformance]],'[2]New defect code '!$B$2:$C$129,2,0),0)</f>
        <v>3243</v>
      </c>
      <c r="V224" s="61">
        <v>18</v>
      </c>
      <c r="W224" s="61" t="str">
        <f>IFERROR(VLOOKUP(Table2[[#This Row],[Code4]],'[2]New Reason code'!$A$2:$D$77,2,0),0)</f>
        <v>During insert change</v>
      </c>
      <c r="X224" s="61" t="str">
        <f>IFERROR(VLOOKUP(Table2[[#This Row],[Reason]],'[2]New Reason code'!$B$2:$D$77,2,0),0)</f>
        <v xml:space="preserve">Due to Settup  </v>
      </c>
      <c r="Y224" s="61" t="str">
        <f>IFERROR(VLOOKUP(Table2[[#This Row],[Rejection Identified at]],'[2]New Reason code'!$C$2:$D$77,2,0),0)</f>
        <v>skill</v>
      </c>
    </row>
    <row r="225" spans="1:25" ht="20.25" customHeight="1">
      <c r="A225" s="60">
        <v>221</v>
      </c>
      <c r="B225" s="61">
        <v>8</v>
      </c>
      <c r="C225" s="61" t="str">
        <f>IFERROR(VLOOKUP(Table2[[#This Row],[Code]],'[2]New Machine sheet'!$A$1:$D$101,2,0),0)</f>
        <v>282-08</v>
      </c>
      <c r="D225" s="61" t="str">
        <f>IFERROR(VLOOKUP(Table2[[#This Row],[M/c No]],'[2]New Machine sheet'!$B$1:$D$101,2,0),0)</f>
        <v>Mazak</v>
      </c>
      <c r="E225" s="61" t="str">
        <f>IFERROR(VLOOKUP(Table2[[#This Row],[M/c Name]],'[2]New Machine sheet'!$C$1:$D$101,2,0),0)</f>
        <v>Turning</v>
      </c>
      <c r="F225" s="61">
        <v>117</v>
      </c>
      <c r="G225" s="61">
        <f>IFERROR(VLOOKUP(Table2[[#This Row],[Code2]],'[2]New Machine sheet'!$F$2:$I$64,2,),0)</f>
        <v>24117</v>
      </c>
      <c r="H225" s="61" t="str">
        <f>IFERROR(VLOOKUP(Table2[[#This Row],[Code2]],'[2]New Machine sheet'!$F$2:$I$64,3,0),0)</f>
        <v>RE J1</v>
      </c>
      <c r="I225" s="61" t="s">
        <v>129</v>
      </c>
      <c r="J225" s="61">
        <v>5</v>
      </c>
      <c r="K225" s="61" t="str">
        <f>IFERROR(VLOOKUP(Table2[[#This Row],[Code3]],'[2]New defect code '!$A$2:$D$129,2,0),0)</f>
        <v>Bore Over size</v>
      </c>
      <c r="L225" s="61" t="s">
        <v>189</v>
      </c>
      <c r="M225" s="56">
        <v>46266</v>
      </c>
      <c r="N225" s="61">
        <v>5</v>
      </c>
      <c r="O225" s="61"/>
      <c r="P225" s="61"/>
      <c r="Q225" s="61"/>
      <c r="R225" s="61">
        <f>SUBTOTAL(9,Table2[[#This Row],[1st]:[FQC]])</f>
        <v>5</v>
      </c>
      <c r="S225" s="61">
        <f>IFERROR(VLOOKUP(Table2[[#This Row],[Part No.]],'[2]New Machine sheet'!$G$2:$I$90,3,0),0)</f>
        <v>111.97</v>
      </c>
      <c r="T225" s="61">
        <f>Table2[[#This Row],[cost per piece]]*Table2[[#This Row],[Total Rej. qty]]</f>
        <v>559.85</v>
      </c>
      <c r="U225" s="61">
        <f>IFERROR(VLOOKUP(Table2[[#This Row],[Non Conformance]],'[2]New defect code '!$B$2:$C$129,2,0),0)</f>
        <v>3243</v>
      </c>
      <c r="V225" s="61">
        <v>19</v>
      </c>
      <c r="W225" s="61" t="str">
        <f>IFERROR(VLOOKUP(Table2[[#This Row],[Code4]],'[2]New Reason code'!$A$2:$D$77,2,0),0)</f>
        <v>During Rework time</v>
      </c>
      <c r="X225" s="61" t="str">
        <f>IFERROR(VLOOKUP(Table2[[#This Row],[Reason]],'[2]New Reason code'!$B$2:$D$77,2,0),0)</f>
        <v>Due to operator</v>
      </c>
      <c r="Y225" s="61" t="str">
        <f>IFERROR(VLOOKUP(Table2[[#This Row],[Rejection Identified at]],'[2]New Reason code'!$C$2:$D$77,2,0),0)</f>
        <v xml:space="preserve">infrastructure </v>
      </c>
    </row>
    <row r="226" spans="1:25" ht="20.25" customHeight="1">
      <c r="A226" s="60">
        <v>222</v>
      </c>
      <c r="B226" s="61">
        <v>2</v>
      </c>
      <c r="C226" s="61" t="str">
        <f>IFERROR(VLOOKUP(Table2[[#This Row],[Code]],'[2]New Machine sheet'!$A$1:$D$101,2,0),0)</f>
        <v>282-02</v>
      </c>
      <c r="D226" s="61" t="str">
        <f>IFERROR(VLOOKUP(Table2[[#This Row],[M/c No]],'[2]New Machine sheet'!$B$1:$D$101,2,0),0)</f>
        <v>Mazak</v>
      </c>
      <c r="E226" s="61" t="str">
        <f>IFERROR(VLOOKUP(Table2[[#This Row],[M/c Name]],'[2]New Machine sheet'!$C$1:$D$101,2,0),0)</f>
        <v>Turning</v>
      </c>
      <c r="F226" s="61">
        <v>113</v>
      </c>
      <c r="G226" s="61">
        <f>IFERROR(VLOOKUP(Table2[[#This Row],[Code2]],'[2]New Machine sheet'!$F$2:$I$64,2,),0)</f>
        <v>24113</v>
      </c>
      <c r="H226" s="61" t="str">
        <f>IFERROR(VLOOKUP(Table2[[#This Row],[Code2]],'[2]New Machine sheet'!$F$2:$I$64,3,0),0)</f>
        <v>RE J1</v>
      </c>
      <c r="I226" s="61" t="s">
        <v>152</v>
      </c>
      <c r="J226" s="61">
        <v>5</v>
      </c>
      <c r="K226" s="61" t="str">
        <f>IFERROR(VLOOKUP(Table2[[#This Row],[Code3]],'[2]New defect code '!$A$2:$D$129,2,0),0)</f>
        <v>Bore Over size</v>
      </c>
      <c r="L226" s="61" t="s">
        <v>189</v>
      </c>
      <c r="M226" s="56">
        <v>46266</v>
      </c>
      <c r="N226" s="61">
        <v>1</v>
      </c>
      <c r="O226" s="61"/>
      <c r="P226" s="61"/>
      <c r="Q226" s="61"/>
      <c r="R226" s="61">
        <f>SUBTOTAL(9,Table2[[#This Row],[1st]:[FQC]])</f>
        <v>1</v>
      </c>
      <c r="S226" s="61">
        <f>IFERROR(VLOOKUP(Table2[[#This Row],[Part No.]],'[2]New Machine sheet'!$G$2:$I$90,3,0),0)</f>
        <v>90</v>
      </c>
      <c r="T226" s="61">
        <f>Table2[[#This Row],[cost per piece]]*Table2[[#This Row],[Total Rej. qty]]</f>
        <v>90</v>
      </c>
      <c r="U226" s="61">
        <f>IFERROR(VLOOKUP(Table2[[#This Row],[Non Conformance]],'[2]New defect code '!$B$2:$C$129,2,0),0)</f>
        <v>3243</v>
      </c>
      <c r="V226" s="61">
        <v>18</v>
      </c>
      <c r="W226" s="61" t="str">
        <f>IFERROR(VLOOKUP(Table2[[#This Row],[Code4]],'[2]New Reason code'!$A$2:$D$77,2,0),0)</f>
        <v>During insert change</v>
      </c>
      <c r="X226" s="61" t="str">
        <f>IFERROR(VLOOKUP(Table2[[#This Row],[Reason]],'[2]New Reason code'!$B$2:$D$77,2,0),0)</f>
        <v xml:space="preserve">Due to Settup  </v>
      </c>
      <c r="Y226" s="61" t="str">
        <f>IFERROR(VLOOKUP(Table2[[#This Row],[Rejection Identified at]],'[2]New Reason code'!$C$2:$D$77,2,0),0)</f>
        <v>skill</v>
      </c>
    </row>
    <row r="227" spans="1:25" ht="20.25" customHeight="1">
      <c r="A227" s="50">
        <v>223</v>
      </c>
      <c r="B227" s="61">
        <v>20</v>
      </c>
      <c r="C227" s="61" t="str">
        <f>IFERROR(VLOOKUP(Table2[[#This Row],[Code]],'[2]New Machine sheet'!$A$1:$D$101,2,0),0)</f>
        <v>282-20</v>
      </c>
      <c r="D227" s="61" t="str">
        <f>IFERROR(VLOOKUP(Table2[[#This Row],[M/c No]],'[2]New Machine sheet'!$B$1:$D$101,2,0),0)</f>
        <v>Mazak</v>
      </c>
      <c r="E227" s="61" t="str">
        <f>IFERROR(VLOOKUP(Table2[[#This Row],[M/c Name]],'[2]New Machine sheet'!$C$1:$D$101,2,0),0)</f>
        <v>Turning</v>
      </c>
      <c r="F227" s="61">
        <v>115</v>
      </c>
      <c r="G227" s="61">
        <f>IFERROR(VLOOKUP(Table2[[#This Row],[Code2]],'[2]New Machine sheet'!$F$2:$I$64,2,),0)</f>
        <v>24115</v>
      </c>
      <c r="H227" s="61" t="str">
        <f>IFERROR(VLOOKUP(Table2[[#This Row],[Code2]],'[2]New Machine sheet'!$F$2:$I$64,3,0),0)</f>
        <v>RE J1</v>
      </c>
      <c r="I227" s="61" t="s">
        <v>191</v>
      </c>
      <c r="J227" s="61">
        <v>5</v>
      </c>
      <c r="K227" s="61" t="str">
        <f>IFERROR(VLOOKUP(Table2[[#This Row],[Code3]],'[2]New defect code '!$A$2:$D$129,2,0),0)</f>
        <v>Bore Over size</v>
      </c>
      <c r="L227" s="61" t="s">
        <v>189</v>
      </c>
      <c r="M227" s="56">
        <v>46266</v>
      </c>
      <c r="N227" s="61">
        <v>2</v>
      </c>
      <c r="O227" s="61"/>
      <c r="P227" s="61"/>
      <c r="Q227" s="61"/>
      <c r="R227" s="61">
        <f>SUBTOTAL(9,Table2[[#This Row],[1st]:[FQC]])</f>
        <v>2</v>
      </c>
      <c r="S227" s="61">
        <f>IFERROR(VLOOKUP(Table2[[#This Row],[Part No.]],'[2]New Machine sheet'!$G$2:$I$90,3,0),0)</f>
        <v>66.900000000000006</v>
      </c>
      <c r="T227" s="61">
        <f>Table2[[#This Row],[cost per piece]]*Table2[[#This Row],[Total Rej. qty]]</f>
        <v>133.80000000000001</v>
      </c>
      <c r="U227" s="61">
        <f>IFERROR(VLOOKUP(Table2[[#This Row],[Non Conformance]],'[2]New defect code '!$B$2:$C$129,2,0),0)</f>
        <v>3243</v>
      </c>
      <c r="V227" s="61">
        <v>18</v>
      </c>
      <c r="W227" s="61" t="str">
        <f>IFERROR(VLOOKUP(Table2[[#This Row],[Code4]],'[2]New Reason code'!$A$2:$D$77,2,0),0)</f>
        <v>During insert change</v>
      </c>
      <c r="X227" s="61" t="str">
        <f>IFERROR(VLOOKUP(Table2[[#This Row],[Reason]],'[2]New Reason code'!$B$2:$D$77,2,0),0)</f>
        <v xml:space="preserve">Due to Settup  </v>
      </c>
      <c r="Y227" s="61" t="str">
        <f>IFERROR(VLOOKUP(Table2[[#This Row],[Rejection Identified at]],'[2]New Reason code'!$C$2:$D$77,2,0),0)</f>
        <v>skill</v>
      </c>
    </row>
    <row r="228" spans="1:25" ht="20.25" customHeight="1">
      <c r="A228" s="60">
        <v>224</v>
      </c>
      <c r="B228" s="61">
        <v>24</v>
      </c>
      <c r="C228" s="61" t="str">
        <f>IFERROR(VLOOKUP(Table2[[#This Row],[Code]],'[2]New Machine sheet'!$A$1:$D$101,2,0),0)</f>
        <v>ACE-04</v>
      </c>
      <c r="D228" s="61" t="str">
        <f>IFERROR(VLOOKUP(Table2[[#This Row],[M/c No]],'[2]New Machine sheet'!$B$1:$D$101,2,0),0)</f>
        <v>Micromatic</v>
      </c>
      <c r="E228" s="61" t="str">
        <f>IFERROR(VLOOKUP(Table2[[#This Row],[M/c Name]],'[2]New Machine sheet'!$C$1:$D$101,2,0),0)</f>
        <v>Turning</v>
      </c>
      <c r="F228" s="61">
        <v>125</v>
      </c>
      <c r="G228" s="61">
        <f>IFERROR(VLOOKUP(Table2[[#This Row],[Code2]],'[2]New Machine sheet'!$F$2:$I$64,2,),0)</f>
        <v>24125</v>
      </c>
      <c r="H228" s="61" t="str">
        <f>IFERROR(VLOOKUP(Table2[[#This Row],[Code2]],'[2]New Machine sheet'!$F$2:$I$64,3,0),0)</f>
        <v>RE J1</v>
      </c>
      <c r="I228" s="61" t="s">
        <v>173</v>
      </c>
      <c r="J228" s="61">
        <v>93</v>
      </c>
      <c r="K228" s="61" t="str">
        <f>IFERROR(VLOOKUP(Table2[[#This Row],[Code3]],'[2]New defect code '!$A$2:$D$129,2,0),0)</f>
        <v>Thickness Under size</v>
      </c>
      <c r="L228" s="61" t="s">
        <v>189</v>
      </c>
      <c r="M228" s="56">
        <v>46266</v>
      </c>
      <c r="N228" s="61">
        <v>1</v>
      </c>
      <c r="O228" s="61"/>
      <c r="P228" s="61"/>
      <c r="Q228" s="61"/>
      <c r="R228" s="61">
        <f>SUBTOTAL(9,Table2[[#This Row],[1st]:[FQC]])</f>
        <v>1</v>
      </c>
      <c r="S228" s="61">
        <f>IFERROR(VLOOKUP(Table2[[#This Row],[Part No.]],'[2]New Machine sheet'!$G$2:$I$90,3,0),0)</f>
        <v>65.17</v>
      </c>
      <c r="T228" s="61">
        <f>Table2[[#This Row],[cost per piece]]*Table2[[#This Row],[Total Rej. qty]]</f>
        <v>65.17</v>
      </c>
      <c r="U228" s="61">
        <f>IFERROR(VLOOKUP(Table2[[#This Row],[Non Conformance]],'[2]New defect code '!$B$2:$C$129,2,0),0)</f>
        <v>3258</v>
      </c>
      <c r="V228" s="61">
        <v>18</v>
      </c>
      <c r="W228" s="61" t="str">
        <f>IFERROR(VLOOKUP(Table2[[#This Row],[Code4]],'[2]New Reason code'!$A$2:$D$77,2,0),0)</f>
        <v>During insert change</v>
      </c>
      <c r="X228" s="61" t="str">
        <f>IFERROR(VLOOKUP(Table2[[#This Row],[Reason]],'[2]New Reason code'!$B$2:$D$77,2,0),0)</f>
        <v xml:space="preserve">Due to Settup  </v>
      </c>
      <c r="Y228" s="61" t="str">
        <f>IFERROR(VLOOKUP(Table2[[#This Row],[Rejection Identified at]],'[2]New Reason code'!$C$2:$D$77,2,0),0)</f>
        <v>skill</v>
      </c>
    </row>
    <row r="229" spans="1:25" ht="20.25" customHeight="1">
      <c r="A229" s="60">
        <v>225</v>
      </c>
      <c r="B229" s="61">
        <v>9</v>
      </c>
      <c r="C229" s="61" t="str">
        <f>IFERROR(VLOOKUP(Table2[[#This Row],[Code]],'[2]New Machine sheet'!$A$1:$D$101,2,0),0)</f>
        <v>282-09</v>
      </c>
      <c r="D229" s="61" t="str">
        <f>IFERROR(VLOOKUP(Table2[[#This Row],[M/c No]],'[2]New Machine sheet'!$B$1:$D$101,2,0),0)</f>
        <v>Mazak</v>
      </c>
      <c r="E229" s="61" t="str">
        <f>IFERROR(VLOOKUP(Table2[[#This Row],[M/c Name]],'[2]New Machine sheet'!$C$1:$D$101,2,0),0)</f>
        <v>Turning</v>
      </c>
      <c r="F229" s="61">
        <v>125</v>
      </c>
      <c r="G229" s="61">
        <f>IFERROR(VLOOKUP(Table2[[#This Row],[Code2]],'[2]New Machine sheet'!$F$2:$I$64,2,),0)</f>
        <v>24125</v>
      </c>
      <c r="H229" s="61" t="str">
        <f>IFERROR(VLOOKUP(Table2[[#This Row],[Code2]],'[2]New Machine sheet'!$F$2:$I$64,3,0),0)</f>
        <v>RE J1</v>
      </c>
      <c r="I229" s="61" t="s">
        <v>173</v>
      </c>
      <c r="J229" s="61">
        <v>5</v>
      </c>
      <c r="K229" s="61" t="str">
        <f>IFERROR(VLOOKUP(Table2[[#This Row],[Code3]],'[2]New defect code '!$A$2:$D$129,2,0),0)</f>
        <v>Bore Over size</v>
      </c>
      <c r="L229" s="61" t="s">
        <v>189</v>
      </c>
      <c r="M229" s="56">
        <v>46266</v>
      </c>
      <c r="N229" s="61">
        <v>13</v>
      </c>
      <c r="O229" s="61"/>
      <c r="P229" s="61"/>
      <c r="Q229" s="61"/>
      <c r="R229" s="61">
        <f>SUBTOTAL(9,Table2[[#This Row],[1st]:[FQC]])</f>
        <v>13</v>
      </c>
      <c r="S229" s="61">
        <f>IFERROR(VLOOKUP(Table2[[#This Row],[Part No.]],'[2]New Machine sheet'!$G$2:$I$90,3,0),0)</f>
        <v>65.17</v>
      </c>
      <c r="T229" s="61">
        <f>Table2[[#This Row],[cost per piece]]*Table2[[#This Row],[Total Rej. qty]]</f>
        <v>847.21</v>
      </c>
      <c r="U229" s="61">
        <f>IFERROR(VLOOKUP(Table2[[#This Row],[Non Conformance]],'[2]New defect code '!$B$2:$C$129,2,0),0)</f>
        <v>3243</v>
      </c>
      <c r="V229" s="61">
        <v>19</v>
      </c>
      <c r="W229" s="61" t="str">
        <f>IFERROR(VLOOKUP(Table2[[#This Row],[Code4]],'[2]New Reason code'!$A$2:$D$77,2,0),0)</f>
        <v>During Rework time</v>
      </c>
      <c r="X229" s="61" t="str">
        <f>IFERROR(VLOOKUP(Table2[[#This Row],[Reason]],'[2]New Reason code'!$B$2:$D$77,2,0),0)</f>
        <v>Due to operator</v>
      </c>
      <c r="Y229" s="61" t="str">
        <f>IFERROR(VLOOKUP(Table2[[#This Row],[Rejection Identified at]],'[2]New Reason code'!$C$2:$D$77,2,0),0)</f>
        <v xml:space="preserve">infrastructure </v>
      </c>
    </row>
    <row r="230" spans="1:25" ht="20.25" customHeight="1">
      <c r="A230" s="50">
        <v>226</v>
      </c>
      <c r="B230" s="61">
        <v>23</v>
      </c>
      <c r="C230" s="61" t="str">
        <f>IFERROR(VLOOKUP(Table2[[#This Row],[Code]],'[2]New Machine sheet'!$A$1:$D$101,2,0),0)</f>
        <v>ACE-03</v>
      </c>
      <c r="D230" s="61" t="str">
        <f>IFERROR(VLOOKUP(Table2[[#This Row],[M/c No]],'[2]New Machine sheet'!$B$1:$D$101,2,0),0)</f>
        <v>Micromatic</v>
      </c>
      <c r="E230" s="61" t="str">
        <f>IFERROR(VLOOKUP(Table2[[#This Row],[M/c Name]],'[2]New Machine sheet'!$C$1:$D$101,2,0),0)</f>
        <v>Turning</v>
      </c>
      <c r="F230" s="61">
        <v>29</v>
      </c>
      <c r="G230" s="61">
        <f>IFERROR(VLOOKUP(Table2[[#This Row],[Code2]],'[2]New Machine sheet'!$F$2:$I$64,2,),0)</f>
        <v>2429</v>
      </c>
      <c r="H230" s="61" t="str">
        <f>IFERROR(VLOOKUP(Table2[[#This Row],[Code2]],'[2]New Machine sheet'!$F$2:$I$64,3,0),0)</f>
        <v>RE P1</v>
      </c>
      <c r="I230" s="61" t="s">
        <v>141</v>
      </c>
      <c r="J230" s="61">
        <v>5</v>
      </c>
      <c r="K230" s="61" t="str">
        <f>IFERROR(VLOOKUP(Table2[[#This Row],[Code3]],'[2]New defect code '!$A$2:$D$129,2,0),0)</f>
        <v>Bore Over size</v>
      </c>
      <c r="L230" s="61" t="s">
        <v>189</v>
      </c>
      <c r="M230" s="56">
        <v>46266</v>
      </c>
      <c r="N230" s="61">
        <v>1</v>
      </c>
      <c r="O230" s="61"/>
      <c r="P230" s="61"/>
      <c r="Q230" s="61"/>
      <c r="R230" s="61">
        <f>SUBTOTAL(9,Table2[[#This Row],[1st]:[FQC]])</f>
        <v>1</v>
      </c>
      <c r="S230" s="61">
        <f>IFERROR(VLOOKUP(Table2[[#This Row],[Part No.]],'[2]New Machine sheet'!$G$2:$I$90,3,0),0)</f>
        <v>142.61000000000001</v>
      </c>
      <c r="T230" s="61">
        <f>Table2[[#This Row],[cost per piece]]*Table2[[#This Row],[Total Rej. qty]]</f>
        <v>142.61000000000001</v>
      </c>
      <c r="U230" s="61">
        <f>IFERROR(VLOOKUP(Table2[[#This Row],[Non Conformance]],'[2]New defect code '!$B$2:$C$129,2,0),0)</f>
        <v>3243</v>
      </c>
      <c r="V230" s="61">
        <v>18</v>
      </c>
      <c r="W230" s="61" t="str">
        <f>IFERROR(VLOOKUP(Table2[[#This Row],[Code4]],'[2]New Reason code'!$A$2:$D$77,2,0),0)</f>
        <v>During insert change</v>
      </c>
      <c r="X230" s="61" t="str">
        <f>IFERROR(VLOOKUP(Table2[[#This Row],[Reason]],'[2]New Reason code'!$B$2:$D$77,2,0),0)</f>
        <v xml:space="preserve">Due to Settup  </v>
      </c>
      <c r="Y230" s="61" t="str">
        <f>IFERROR(VLOOKUP(Table2[[#This Row],[Rejection Identified at]],'[2]New Reason code'!$C$2:$D$77,2,0),0)</f>
        <v>skill</v>
      </c>
    </row>
    <row r="231" spans="1:25" ht="20.25" customHeight="1">
      <c r="A231" s="60">
        <v>227</v>
      </c>
      <c r="B231" s="61">
        <v>2</v>
      </c>
      <c r="C231" s="61" t="str">
        <f>IFERROR(VLOOKUP(Table2[[#This Row],[Code]],'[2]New Machine sheet'!$A$1:$D$101,2,0),0)</f>
        <v>282-02</v>
      </c>
      <c r="D231" s="61" t="str">
        <f>IFERROR(VLOOKUP(Table2[[#This Row],[M/c No]],'[2]New Machine sheet'!$B$1:$D$101,2,0),0)</f>
        <v>Mazak</v>
      </c>
      <c r="E231" s="61" t="str">
        <f>IFERROR(VLOOKUP(Table2[[#This Row],[M/c Name]],'[2]New Machine sheet'!$C$1:$D$101,2,0),0)</f>
        <v>Turning</v>
      </c>
      <c r="F231" s="61">
        <v>178</v>
      </c>
      <c r="G231" s="61">
        <f>IFERROR(VLOOKUP(Table2[[#This Row],[Code2]],'[2]New Machine sheet'!$F$2:$I$64,2,),0)</f>
        <v>24178</v>
      </c>
      <c r="H231" s="61" t="str">
        <f>IFERROR(VLOOKUP(Table2[[#This Row],[Code2]],'[2]New Machine sheet'!$F$2:$I$64,3,0),0)</f>
        <v>RE J1</v>
      </c>
      <c r="I231" s="61"/>
      <c r="J231" s="61">
        <v>5</v>
      </c>
      <c r="K231" s="61" t="str">
        <f>IFERROR(VLOOKUP(Table2[[#This Row],[Code3]],'[2]New defect code '!$A$2:$D$129,2,0),0)</f>
        <v>Bore Over size</v>
      </c>
      <c r="L231" s="61" t="s">
        <v>189</v>
      </c>
      <c r="M231" s="56">
        <v>46266</v>
      </c>
      <c r="N231" s="61">
        <v>8</v>
      </c>
      <c r="O231" s="61"/>
      <c r="P231" s="61"/>
      <c r="Q231" s="61"/>
      <c r="R231" s="61">
        <f>SUBTOTAL(9,Table2[[#This Row],[1st]:[FQC]])</f>
        <v>8</v>
      </c>
      <c r="S231" s="61">
        <f>IFERROR(VLOOKUP(Table2[[#This Row],[Part No.]],'[2]New Machine sheet'!$G$2:$I$90,3,0),0)</f>
        <v>70.62</v>
      </c>
      <c r="T231" s="61">
        <f>Table2[[#This Row],[cost per piece]]*Table2[[#This Row],[Total Rej. qty]]</f>
        <v>564.96</v>
      </c>
      <c r="U231" s="61">
        <f>IFERROR(VLOOKUP(Table2[[#This Row],[Non Conformance]],'[2]New defect code '!$B$2:$C$129,2,0),0)</f>
        <v>3243</v>
      </c>
      <c r="V231" s="61">
        <v>70</v>
      </c>
      <c r="W231" s="61" t="str">
        <f>IFERROR(VLOOKUP(Table2[[#This Row],[Code4]],'[2]New Reason code'!$A$2:$D$77,2,0),0)</f>
        <v>Insert Wear Out</v>
      </c>
      <c r="X231" s="61" t="str">
        <f>IFERROR(VLOOKUP(Table2[[#This Row],[Reason]],'[2]New Reason code'!$B$2:$D$77,2,0),0)</f>
        <v>Line audit</v>
      </c>
      <c r="Y231" s="61" t="str">
        <f>IFERROR(VLOOKUP(Table2[[#This Row],[Rejection Identified at]],'[2]New Reason code'!$C$2:$D$77,2,0),0)</f>
        <v>Process Issue</v>
      </c>
    </row>
    <row r="232" spans="1:25" ht="20.25" customHeight="1">
      <c r="A232" s="60">
        <v>228</v>
      </c>
      <c r="B232" s="61">
        <v>15</v>
      </c>
      <c r="C232" s="61" t="str">
        <f>IFERROR(VLOOKUP(Table2[[#This Row],[Code]],'[2]New Machine sheet'!$A$1:$D$101,2,0),0)</f>
        <v>282-15</v>
      </c>
      <c r="D232" s="61" t="str">
        <f>IFERROR(VLOOKUP(Table2[[#This Row],[M/c No]],'[2]New Machine sheet'!$B$1:$D$101,2,0),0)</f>
        <v>Mazak</v>
      </c>
      <c r="E232" s="61" t="str">
        <f>IFERROR(VLOOKUP(Table2[[#This Row],[M/c Name]],'[2]New Machine sheet'!$C$1:$D$101,2,0),0)</f>
        <v>Turning</v>
      </c>
      <c r="F232" s="61">
        <v>78</v>
      </c>
      <c r="G232" s="61">
        <f>IFERROR(VLOOKUP(Table2[[#This Row],[Code2]],'[2]New Machine sheet'!$F$2:$I$64,2,),0)</f>
        <v>2478</v>
      </c>
      <c r="H232" s="61" t="str">
        <f>IFERROR(VLOOKUP(Table2[[#This Row],[Code2]],'[2]New Machine sheet'!$F$2:$I$64,3,0),0)</f>
        <v>RE P1</v>
      </c>
      <c r="I232" s="61" t="s">
        <v>122</v>
      </c>
      <c r="J232" s="61">
        <v>66</v>
      </c>
      <c r="K232" s="61" t="str">
        <f>IFERROR(VLOOKUP(Table2[[#This Row],[Code3]],'[2]New defect code '!$A$2:$D$129,2,0),0)</f>
        <v>OD Under Size</v>
      </c>
      <c r="L232" s="61" t="s">
        <v>189</v>
      </c>
      <c r="M232" s="56">
        <v>46266</v>
      </c>
      <c r="N232" s="61"/>
      <c r="O232" s="61">
        <v>4</v>
      </c>
      <c r="P232" s="61"/>
      <c r="Q232" s="61"/>
      <c r="R232" s="61">
        <f>SUBTOTAL(9,Table2[[#This Row],[1st]:[FQC]])</f>
        <v>4</v>
      </c>
      <c r="S232" s="61">
        <f>IFERROR(VLOOKUP(Table2[[#This Row],[Part No.]],'[2]New Machine sheet'!$G$2:$I$90,3,0),0)</f>
        <v>468.06</v>
      </c>
      <c r="T232" s="61">
        <f>Table2[[#This Row],[cost per piece]]*Table2[[#This Row],[Total Rej. qty]]</f>
        <v>1872.24</v>
      </c>
      <c r="U232" s="61">
        <f>IFERROR(VLOOKUP(Table2[[#This Row],[Non Conformance]],'[2]New defect code '!$B$2:$C$129,2,0),0)</f>
        <v>3242</v>
      </c>
      <c r="V232" s="61">
        <v>20</v>
      </c>
      <c r="W232" s="61" t="str">
        <f>IFERROR(VLOOKUP(Table2[[#This Row],[Code4]],'[2]New Reason code'!$A$2:$D$77,2,0),0)</f>
        <v xml:space="preserve">During segrigetion </v>
      </c>
      <c r="X232" s="61" t="str">
        <f>IFERROR(VLOOKUP(Table2[[#This Row],[Reason]],'[2]New Reason code'!$B$2:$D$77,2,0),0)</f>
        <v xml:space="preserve">During segrigetion </v>
      </c>
      <c r="Y232" s="61" t="str">
        <f>IFERROR(VLOOKUP(Table2[[#This Row],[Rejection Identified at]],'[2]New Reason code'!$C$2:$D$77,2,0),0)</f>
        <v>Attitude</v>
      </c>
    </row>
    <row r="233" spans="1:25" ht="20.25" customHeight="1">
      <c r="A233" s="50">
        <v>229</v>
      </c>
      <c r="B233" s="61">
        <v>41</v>
      </c>
      <c r="C233" s="61" t="str">
        <f>IFERROR(VLOOKUP(Table2[[#This Row],[Code]],'[2]New Machine sheet'!$A$1:$D$101,2,0),0)</f>
        <v>252-03</v>
      </c>
      <c r="D233" s="61" t="str">
        <f>IFERROR(VLOOKUP(Table2[[#This Row],[M/c No]],'[2]New Machine sheet'!$B$1:$D$101,2,0),0)</f>
        <v>VMC</v>
      </c>
      <c r="E233" s="61" t="str">
        <f>IFERROR(VLOOKUP(Table2[[#This Row],[M/c Name]],'[2]New Machine sheet'!$C$1:$D$101,2,0),0)</f>
        <v>VMC</v>
      </c>
      <c r="F233" s="61">
        <v>155</v>
      </c>
      <c r="G233" s="61">
        <f>IFERROR(VLOOKUP(Table2[[#This Row],[Code2]],'[2]New Machine sheet'!$F$2:$I$64,2,),0)</f>
        <v>24155</v>
      </c>
      <c r="H233" s="61" t="str">
        <f>IFERROR(VLOOKUP(Table2[[#This Row],[Code2]],'[2]New Machine sheet'!$F$2:$I$64,3,0),0)</f>
        <v>RE J1</v>
      </c>
      <c r="I233" s="61" t="s">
        <v>182</v>
      </c>
      <c r="J233" s="61">
        <v>72</v>
      </c>
      <c r="K233" s="61" t="str">
        <f>IFERROR(VLOOKUP(Table2[[#This Row],[Code3]],'[2]New defect code '!$A$2:$D$129,2,0),0)</f>
        <v xml:space="preserve">PG No Go pass </v>
      </c>
      <c r="L233" s="61" t="s">
        <v>189</v>
      </c>
      <c r="M233" s="56">
        <v>46266</v>
      </c>
      <c r="N233" s="61"/>
      <c r="O233" s="61">
        <v>6</v>
      </c>
      <c r="P233" s="61"/>
      <c r="Q233" s="61"/>
      <c r="R233" s="61">
        <f>SUBTOTAL(9,Table2[[#This Row],[1st]:[FQC]])</f>
        <v>6</v>
      </c>
      <c r="S233" s="61">
        <f>IFERROR(VLOOKUP(Table2[[#This Row],[Part No.]],'[2]New Machine sheet'!$G$2:$I$90,3,0),0)</f>
        <v>107.67</v>
      </c>
      <c r="T233" s="61">
        <f>Table2[[#This Row],[cost per piece]]*Table2[[#This Row],[Total Rej. qty]]</f>
        <v>646.02</v>
      </c>
      <c r="U233" s="61">
        <f>IFERROR(VLOOKUP(Table2[[#This Row],[Non Conformance]],'[2]New defect code '!$B$2:$C$129,2,0),0)</f>
        <v>0</v>
      </c>
      <c r="V233" s="61">
        <v>19</v>
      </c>
      <c r="W233" s="61" t="str">
        <f>IFERROR(VLOOKUP(Table2[[#This Row],[Code4]],'[2]New Reason code'!$A$2:$D$77,2,0),0)</f>
        <v>During Rework time</v>
      </c>
      <c r="X233" s="61" t="str">
        <f>IFERROR(VLOOKUP(Table2[[#This Row],[Reason]],'[2]New Reason code'!$B$2:$D$77,2,0),0)</f>
        <v>Due to operator</v>
      </c>
      <c r="Y233" s="61" t="str">
        <f>IFERROR(VLOOKUP(Table2[[#This Row],[Rejection Identified at]],'[2]New Reason code'!$C$2:$D$77,2,0),0)</f>
        <v xml:space="preserve">infrastructure </v>
      </c>
    </row>
    <row r="234" spans="1:25" ht="20.25" customHeight="1">
      <c r="A234" s="60">
        <v>230</v>
      </c>
      <c r="B234" s="61">
        <v>41</v>
      </c>
      <c r="C234" s="61" t="str">
        <f>IFERROR(VLOOKUP(Table2[[#This Row],[Code]],'[2]New Machine sheet'!$A$1:$D$101,2,0),0)</f>
        <v>252-03</v>
      </c>
      <c r="D234" s="61" t="str">
        <f>IFERROR(VLOOKUP(Table2[[#This Row],[M/c No]],'[2]New Machine sheet'!$B$1:$D$101,2,0),0)</f>
        <v>VMC</v>
      </c>
      <c r="E234" s="61" t="str">
        <f>IFERROR(VLOOKUP(Table2[[#This Row],[M/c Name]],'[2]New Machine sheet'!$C$1:$D$101,2,0),0)</f>
        <v>VMC</v>
      </c>
      <c r="F234" s="61">
        <v>155</v>
      </c>
      <c r="G234" s="61">
        <f>IFERROR(VLOOKUP(Table2[[#This Row],[Code2]],'[2]New Machine sheet'!$F$2:$I$64,2,),0)</f>
        <v>24155</v>
      </c>
      <c r="H234" s="61" t="str">
        <f>IFERROR(VLOOKUP(Table2[[#This Row],[Code2]],'[2]New Machine sheet'!$F$2:$I$64,3,0),0)</f>
        <v>RE J1</v>
      </c>
      <c r="I234" s="61" t="s">
        <v>182</v>
      </c>
      <c r="J234" s="61">
        <v>48</v>
      </c>
      <c r="K234" s="61" t="str">
        <f>IFERROR(VLOOKUP(Table2[[#This Row],[Code3]],'[2]New defect code '!$A$2:$D$129,2,0),0)</f>
        <v>Heavy Dot Punching</v>
      </c>
      <c r="L234" s="61" t="s">
        <v>189</v>
      </c>
      <c r="M234" s="56">
        <v>46266</v>
      </c>
      <c r="N234" s="61"/>
      <c r="O234" s="61">
        <v>6</v>
      </c>
      <c r="P234" s="61"/>
      <c r="Q234" s="61"/>
      <c r="R234" s="61">
        <f>SUBTOTAL(9,Table2[[#This Row],[1st]:[FQC]])</f>
        <v>6</v>
      </c>
      <c r="S234" s="61">
        <f>IFERROR(VLOOKUP(Table2[[#This Row],[Part No.]],'[2]New Machine sheet'!$G$2:$I$90,3,0),0)</f>
        <v>107.67</v>
      </c>
      <c r="T234" s="61">
        <f>Table2[[#This Row],[cost per piece]]*Table2[[#This Row],[Total Rej. qty]]</f>
        <v>646.02</v>
      </c>
      <c r="U234" s="61">
        <f>IFERROR(VLOOKUP(Table2[[#This Row],[Non Conformance]],'[2]New defect code '!$B$2:$C$129,2,0),0)</f>
        <v>3246</v>
      </c>
      <c r="V234" s="61">
        <v>19</v>
      </c>
      <c r="W234" s="61" t="str">
        <f>IFERROR(VLOOKUP(Table2[[#This Row],[Code4]],'[2]New Reason code'!$A$2:$D$77,2,0),0)</f>
        <v>During Rework time</v>
      </c>
      <c r="X234" s="61" t="str">
        <f>IFERROR(VLOOKUP(Table2[[#This Row],[Reason]],'[2]New Reason code'!$B$2:$D$77,2,0),0)</f>
        <v>Due to operator</v>
      </c>
      <c r="Y234" s="61" t="str">
        <f>IFERROR(VLOOKUP(Table2[[#This Row],[Rejection Identified at]],'[2]New Reason code'!$C$2:$D$77,2,0),0)</f>
        <v xml:space="preserve">infrastructure </v>
      </c>
    </row>
    <row r="235" spans="1:25" ht="20.25" customHeight="1">
      <c r="A235" s="60">
        <v>231</v>
      </c>
      <c r="B235" s="61">
        <v>4</v>
      </c>
      <c r="C235" s="61" t="str">
        <f>IFERROR(VLOOKUP(Table2[[#This Row],[Code]],'[2]New Machine sheet'!$A$1:$D$101,2,0),0)</f>
        <v>282-04</v>
      </c>
      <c r="D235" s="61" t="str">
        <f>IFERROR(VLOOKUP(Table2[[#This Row],[M/c No]],'[2]New Machine sheet'!$B$1:$D$101,2,0),0)</f>
        <v>Mazak</v>
      </c>
      <c r="E235" s="61" t="str">
        <f>IFERROR(VLOOKUP(Table2[[#This Row],[M/c Name]],'[2]New Machine sheet'!$C$1:$D$101,2,0),0)</f>
        <v>Turning</v>
      </c>
      <c r="F235" s="61">
        <v>117</v>
      </c>
      <c r="G235" s="61">
        <f>IFERROR(VLOOKUP(Table2[[#This Row],[Code2]],'[2]New Machine sheet'!$F$2:$I$64,2,),0)</f>
        <v>24117</v>
      </c>
      <c r="H235" s="61" t="str">
        <f>IFERROR(VLOOKUP(Table2[[#This Row],[Code2]],'[2]New Machine sheet'!$F$2:$I$64,3,0),0)</f>
        <v>RE J1</v>
      </c>
      <c r="I235" s="61" t="s">
        <v>121</v>
      </c>
      <c r="J235" s="61">
        <v>5</v>
      </c>
      <c r="K235" s="61" t="str">
        <f>IFERROR(VLOOKUP(Table2[[#This Row],[Code3]],'[2]New defect code '!$A$2:$D$129,2,0),0)</f>
        <v>Bore Over size</v>
      </c>
      <c r="L235" s="61" t="s">
        <v>189</v>
      </c>
      <c r="M235" s="56">
        <v>46266</v>
      </c>
      <c r="N235" s="61"/>
      <c r="O235" s="61">
        <v>2</v>
      </c>
      <c r="P235" s="61"/>
      <c r="Q235" s="61"/>
      <c r="R235" s="61">
        <f>SUBTOTAL(9,Table2[[#This Row],[1st]:[FQC]])</f>
        <v>2</v>
      </c>
      <c r="S235" s="61">
        <f>IFERROR(VLOOKUP(Table2[[#This Row],[Part No.]],'[2]New Machine sheet'!$G$2:$I$90,3,0),0)</f>
        <v>111.97</v>
      </c>
      <c r="T235" s="61">
        <f>Table2[[#This Row],[cost per piece]]*Table2[[#This Row],[Total Rej. qty]]</f>
        <v>223.94</v>
      </c>
      <c r="U235" s="61">
        <f>IFERROR(VLOOKUP(Table2[[#This Row],[Non Conformance]],'[2]New defect code '!$B$2:$C$129,2,0),0)</f>
        <v>3243</v>
      </c>
      <c r="V235" s="61">
        <v>18</v>
      </c>
      <c r="W235" s="61" t="str">
        <f>IFERROR(VLOOKUP(Table2[[#This Row],[Code4]],'[2]New Reason code'!$A$2:$D$77,2,0),0)</f>
        <v>During insert change</v>
      </c>
      <c r="X235" s="61" t="str">
        <f>IFERROR(VLOOKUP(Table2[[#This Row],[Reason]],'[2]New Reason code'!$B$2:$D$77,2,0),0)</f>
        <v xml:space="preserve">Due to Settup  </v>
      </c>
      <c r="Y235" s="61" t="str">
        <f>IFERROR(VLOOKUP(Table2[[#This Row],[Rejection Identified at]],'[2]New Reason code'!$C$2:$D$77,2,0),0)</f>
        <v>skill</v>
      </c>
    </row>
    <row r="236" spans="1:25" ht="20.25" customHeight="1">
      <c r="A236" s="50">
        <v>232</v>
      </c>
      <c r="B236" s="61">
        <v>8</v>
      </c>
      <c r="C236" s="61" t="str">
        <f>IFERROR(VLOOKUP(Table2[[#This Row],[Code]],'[2]New Machine sheet'!$A$1:$D$101,2,0),0)</f>
        <v>282-08</v>
      </c>
      <c r="D236" s="61" t="str">
        <f>IFERROR(VLOOKUP(Table2[[#This Row],[M/c No]],'[2]New Machine sheet'!$B$1:$D$101,2,0),0)</f>
        <v>Mazak</v>
      </c>
      <c r="E236" s="61" t="str">
        <f>IFERROR(VLOOKUP(Table2[[#This Row],[M/c Name]],'[2]New Machine sheet'!$C$1:$D$101,2,0),0)</f>
        <v>Turning</v>
      </c>
      <c r="F236" s="61">
        <v>117</v>
      </c>
      <c r="G236" s="61">
        <f>IFERROR(VLOOKUP(Table2[[#This Row],[Code2]],'[2]New Machine sheet'!$F$2:$I$64,2,),0)</f>
        <v>24117</v>
      </c>
      <c r="H236" s="61" t="str">
        <f>IFERROR(VLOOKUP(Table2[[#This Row],[Code2]],'[2]New Machine sheet'!$F$2:$I$64,3,0),0)</f>
        <v>RE J1</v>
      </c>
      <c r="I236" s="61" t="s">
        <v>113</v>
      </c>
      <c r="J236" s="61">
        <v>5</v>
      </c>
      <c r="K236" s="61" t="str">
        <f>IFERROR(VLOOKUP(Table2[[#This Row],[Code3]],'[2]New defect code '!$A$2:$D$129,2,0),0)</f>
        <v>Bore Over size</v>
      </c>
      <c r="L236" s="61" t="s">
        <v>189</v>
      </c>
      <c r="M236" s="56">
        <v>46266</v>
      </c>
      <c r="N236" s="61"/>
      <c r="O236" s="61">
        <v>2</v>
      </c>
      <c r="P236" s="61"/>
      <c r="Q236" s="61"/>
      <c r="R236" s="61">
        <f>SUBTOTAL(9,Table2[[#This Row],[1st]:[FQC]])</f>
        <v>2</v>
      </c>
      <c r="S236" s="61">
        <f>IFERROR(VLOOKUP(Table2[[#This Row],[Part No.]],'[2]New Machine sheet'!$G$2:$I$90,3,0),0)</f>
        <v>111.97</v>
      </c>
      <c r="T236" s="61">
        <f>Table2[[#This Row],[cost per piece]]*Table2[[#This Row],[Total Rej. qty]]</f>
        <v>223.94</v>
      </c>
      <c r="U236" s="61">
        <f>IFERROR(VLOOKUP(Table2[[#This Row],[Non Conformance]],'[2]New defect code '!$B$2:$C$129,2,0),0)</f>
        <v>3243</v>
      </c>
      <c r="V236" s="61">
        <v>18</v>
      </c>
      <c r="W236" s="61" t="str">
        <f>IFERROR(VLOOKUP(Table2[[#This Row],[Code4]],'[2]New Reason code'!$A$2:$D$77,2,0),0)</f>
        <v>During insert change</v>
      </c>
      <c r="X236" s="61" t="str">
        <f>IFERROR(VLOOKUP(Table2[[#This Row],[Reason]],'[2]New Reason code'!$B$2:$D$77,2,0),0)</f>
        <v xml:space="preserve">Due to Settup  </v>
      </c>
      <c r="Y236" s="61" t="str">
        <f>IFERROR(VLOOKUP(Table2[[#This Row],[Rejection Identified at]],'[2]New Reason code'!$C$2:$D$77,2,0),0)</f>
        <v>skill</v>
      </c>
    </row>
    <row r="237" spans="1:25" ht="20.25" customHeight="1">
      <c r="A237" s="60">
        <v>233</v>
      </c>
      <c r="B237" s="61">
        <v>5</v>
      </c>
      <c r="C237" s="61" t="str">
        <f>IFERROR(VLOOKUP(Table2[[#This Row],[Code]],'[2]New Machine sheet'!$A$1:$D$101,2,0),0)</f>
        <v>282-05</v>
      </c>
      <c r="D237" s="61" t="str">
        <f>IFERROR(VLOOKUP(Table2[[#This Row],[M/c No]],'[2]New Machine sheet'!$B$1:$D$101,2,0),0)</f>
        <v>Mazak</v>
      </c>
      <c r="E237" s="61" t="str">
        <f>IFERROR(VLOOKUP(Table2[[#This Row],[M/c Name]],'[2]New Machine sheet'!$C$1:$D$101,2,0),0)</f>
        <v>Turning</v>
      </c>
      <c r="F237" s="61">
        <v>117</v>
      </c>
      <c r="G237" s="61">
        <f>IFERROR(VLOOKUP(Table2[[#This Row],[Code2]],'[2]New Machine sheet'!$F$2:$I$64,2,),0)</f>
        <v>24117</v>
      </c>
      <c r="H237" s="61" t="str">
        <f>IFERROR(VLOOKUP(Table2[[#This Row],[Code2]],'[2]New Machine sheet'!$F$2:$I$64,3,0),0)</f>
        <v>RE J1</v>
      </c>
      <c r="I237" s="61" t="s">
        <v>113</v>
      </c>
      <c r="J237" s="61">
        <v>5</v>
      </c>
      <c r="K237" s="61" t="str">
        <f>IFERROR(VLOOKUP(Table2[[#This Row],[Code3]],'[2]New defect code '!$A$2:$D$129,2,0),0)</f>
        <v>Bore Over size</v>
      </c>
      <c r="L237" s="61" t="s">
        <v>189</v>
      </c>
      <c r="M237" s="56">
        <v>46266</v>
      </c>
      <c r="N237" s="61"/>
      <c r="O237" s="61">
        <v>1</v>
      </c>
      <c r="P237" s="61"/>
      <c r="Q237" s="61"/>
      <c r="R237" s="61">
        <f>SUBTOTAL(9,Table2[[#This Row],[1st]:[FQC]])</f>
        <v>1</v>
      </c>
      <c r="S237" s="61">
        <f>IFERROR(VLOOKUP(Table2[[#This Row],[Part No.]],'[2]New Machine sheet'!$G$2:$I$90,3,0),0)</f>
        <v>111.97</v>
      </c>
      <c r="T237" s="61">
        <f>Table2[[#This Row],[cost per piece]]*Table2[[#This Row],[Total Rej. qty]]</f>
        <v>111.97</v>
      </c>
      <c r="U237" s="61">
        <f>IFERROR(VLOOKUP(Table2[[#This Row],[Non Conformance]],'[2]New defect code '!$B$2:$C$129,2,0),0)</f>
        <v>3243</v>
      </c>
      <c r="V237" s="61">
        <v>21</v>
      </c>
      <c r="W237" s="61" t="str">
        <f>IFERROR(VLOOKUP(Table2[[#This Row],[Code4]],'[2]New Reason code'!$A$2:$D$77,2,0),0)</f>
        <v>During setup time</v>
      </c>
      <c r="X237" s="61" t="str">
        <f>IFERROR(VLOOKUP(Table2[[#This Row],[Reason]],'[2]New Reason code'!$B$2:$D$77,2,0),0)</f>
        <v xml:space="preserve">Due to Settup  </v>
      </c>
      <c r="Y237" s="61" t="str">
        <f>IFERROR(VLOOKUP(Table2[[#This Row],[Rejection Identified at]],'[2]New Reason code'!$C$2:$D$77,2,0),0)</f>
        <v>skill</v>
      </c>
    </row>
    <row r="238" spans="1:25" ht="20.25" customHeight="1">
      <c r="A238" s="60">
        <v>234</v>
      </c>
      <c r="B238" s="61">
        <v>12</v>
      </c>
      <c r="C238" s="61" t="str">
        <f>IFERROR(VLOOKUP(Table2[[#This Row],[Code]],'[2]New Machine sheet'!$A$1:$D$101,2,0),0)</f>
        <v>282-12</v>
      </c>
      <c r="D238" s="61" t="str">
        <f>IFERROR(VLOOKUP(Table2[[#This Row],[M/c No]],'[2]New Machine sheet'!$B$1:$D$101,2,0),0)</f>
        <v>Mazak</v>
      </c>
      <c r="E238" s="61" t="str">
        <f>IFERROR(VLOOKUP(Table2[[#This Row],[M/c Name]],'[2]New Machine sheet'!$C$1:$D$101,2,0),0)</f>
        <v>Turning</v>
      </c>
      <c r="F238" s="61">
        <v>75</v>
      </c>
      <c r="G238" s="61">
        <f>IFERROR(VLOOKUP(Table2[[#This Row],[Code2]],'[2]New Machine sheet'!$F$2:$I$64,2,),0)</f>
        <v>2475</v>
      </c>
      <c r="H238" s="61" t="str">
        <f>IFERROR(VLOOKUP(Table2[[#This Row],[Code2]],'[2]New Machine sheet'!$F$2:$I$64,3,0),0)</f>
        <v>RE P1</v>
      </c>
      <c r="I238" s="61" t="s">
        <v>129</v>
      </c>
      <c r="J238" s="61">
        <v>5</v>
      </c>
      <c r="K238" s="61" t="str">
        <f>IFERROR(VLOOKUP(Table2[[#This Row],[Code3]],'[2]New defect code '!$A$2:$D$129,2,0),0)</f>
        <v>Bore Over size</v>
      </c>
      <c r="L238" s="61" t="s">
        <v>189</v>
      </c>
      <c r="M238" s="56">
        <v>46266</v>
      </c>
      <c r="N238" s="61"/>
      <c r="O238" s="61">
        <v>1</v>
      </c>
      <c r="P238" s="61"/>
      <c r="Q238" s="61"/>
      <c r="R238" s="61">
        <f>SUBTOTAL(9,Table2[[#This Row],[1st]:[FQC]])</f>
        <v>1</v>
      </c>
      <c r="S238" s="61">
        <f>IFERROR(VLOOKUP(Table2[[#This Row],[Part No.]],'[2]New Machine sheet'!$G$2:$I$90,3,0),0)</f>
        <v>138.77000000000001</v>
      </c>
      <c r="T238" s="61">
        <f>Table2[[#This Row],[cost per piece]]*Table2[[#This Row],[Total Rej. qty]]</f>
        <v>138.77000000000001</v>
      </c>
      <c r="U238" s="61">
        <f>IFERROR(VLOOKUP(Table2[[#This Row],[Non Conformance]],'[2]New defect code '!$B$2:$C$129,2,0),0)</f>
        <v>3243</v>
      </c>
      <c r="V238" s="61">
        <v>21</v>
      </c>
      <c r="W238" s="61" t="str">
        <f>IFERROR(VLOOKUP(Table2[[#This Row],[Code4]],'[2]New Reason code'!$A$2:$D$77,2,0),0)</f>
        <v>During setup time</v>
      </c>
      <c r="X238" s="61" t="str">
        <f>IFERROR(VLOOKUP(Table2[[#This Row],[Reason]],'[2]New Reason code'!$B$2:$D$77,2,0),0)</f>
        <v xml:space="preserve">Due to Settup  </v>
      </c>
      <c r="Y238" s="61" t="str">
        <f>IFERROR(VLOOKUP(Table2[[#This Row],[Rejection Identified at]],'[2]New Reason code'!$C$2:$D$77,2,0),0)</f>
        <v>skill</v>
      </c>
    </row>
    <row r="239" spans="1:25" ht="20.25" customHeight="1">
      <c r="A239" s="50">
        <v>235</v>
      </c>
      <c r="B239" s="61">
        <v>62</v>
      </c>
      <c r="C239" s="61" t="str">
        <f>IFERROR(VLOOKUP(Table2[[#This Row],[Code]],'[2]New Machine sheet'!$A$1:$D$101,2,0),0)</f>
        <v>FQC</v>
      </c>
      <c r="D239" s="61" t="str">
        <f>IFERROR(VLOOKUP(Table2[[#This Row],[M/c No]],'[2]New Machine sheet'!$B$1:$D$101,2,0),0)</f>
        <v>FQC</v>
      </c>
      <c r="E239" s="61" t="str">
        <f>IFERROR(VLOOKUP(Table2[[#This Row],[M/c Name]],'[2]New Machine sheet'!$C$1:$D$101,2,0),0)</f>
        <v>fqc</v>
      </c>
      <c r="F239" s="61">
        <v>178</v>
      </c>
      <c r="G239" s="61">
        <f>IFERROR(VLOOKUP(Table2[[#This Row],[Code2]],'[2]New Machine sheet'!$F$2:$I$64,2,),0)</f>
        <v>24178</v>
      </c>
      <c r="H239" s="61" t="str">
        <f>IFERROR(VLOOKUP(Table2[[#This Row],[Code2]],'[2]New Machine sheet'!$F$2:$I$64,3,0),0)</f>
        <v>RE J1</v>
      </c>
      <c r="I239" s="61"/>
      <c r="J239" s="61">
        <v>5</v>
      </c>
      <c r="K239" s="61" t="str">
        <f>IFERROR(VLOOKUP(Table2[[#This Row],[Code3]],'[2]New defect code '!$A$2:$D$129,2,0),0)</f>
        <v>Bore Over size</v>
      </c>
      <c r="L239" s="61" t="s">
        <v>189</v>
      </c>
      <c r="M239" s="56">
        <v>46266</v>
      </c>
      <c r="N239" s="61"/>
      <c r="O239" s="61"/>
      <c r="P239" s="61"/>
      <c r="Q239" s="61">
        <v>3</v>
      </c>
      <c r="R239" s="61">
        <f>SUBTOTAL(9,Table2[[#This Row],[1st]:[FQC]])</f>
        <v>3</v>
      </c>
      <c r="S239" s="61">
        <f>IFERROR(VLOOKUP(Table2[[#This Row],[Part No.]],'[2]New Machine sheet'!$G$2:$I$90,3,0),0)</f>
        <v>70.62</v>
      </c>
      <c r="T239" s="61">
        <f>Table2[[#This Row],[cost per piece]]*Table2[[#This Row],[Total Rej. qty]]</f>
        <v>211.86</v>
      </c>
      <c r="U239" s="61">
        <f>IFERROR(VLOOKUP(Table2[[#This Row],[Non Conformance]],'[2]New defect code '!$B$2:$C$129,2,0),0)</f>
        <v>3243</v>
      </c>
      <c r="V239" s="61">
        <v>24</v>
      </c>
      <c r="W239" s="61" t="str">
        <f>IFERROR(VLOOKUP(Table2[[#This Row],[Code4]],'[2]New Reason code'!$A$2:$D$77,2,0),0)</f>
        <v>FQC return</v>
      </c>
      <c r="X239" s="61" t="str">
        <f>IFERROR(VLOOKUP(Table2[[#This Row],[Reason]],'[2]New Reason code'!$B$2:$D$77,2,0),0)</f>
        <v>Due to operator</v>
      </c>
      <c r="Y239" s="61" t="str">
        <f>IFERROR(VLOOKUP(Table2[[#This Row],[Rejection Identified at]],'[2]New Reason code'!$C$2:$D$77,2,0),0)</f>
        <v xml:space="preserve">infrastructure </v>
      </c>
    </row>
    <row r="240" spans="1:25" ht="20.25" customHeight="1">
      <c r="A240" s="60">
        <v>236</v>
      </c>
      <c r="B240" s="61">
        <v>21</v>
      </c>
      <c r="C240" s="61" t="str">
        <f>IFERROR(VLOOKUP(Table2[[#This Row],[Code]],'[2]New Machine sheet'!$A$1:$D$101,2,0),0)</f>
        <v>ACE-01</v>
      </c>
      <c r="D240" s="61" t="str">
        <f>IFERROR(VLOOKUP(Table2[[#This Row],[M/c No]],'[2]New Machine sheet'!$B$1:$D$101,2,0),0)</f>
        <v>Micromatic</v>
      </c>
      <c r="E240" s="61" t="str">
        <f>IFERROR(VLOOKUP(Table2[[#This Row],[M/c Name]],'[2]New Machine sheet'!$C$1:$D$101,2,0),0)</f>
        <v>Turning</v>
      </c>
      <c r="F240" s="61">
        <v>121</v>
      </c>
      <c r="G240" s="61">
        <f>IFERROR(VLOOKUP(Table2[[#This Row],[Code2]],'[2]New Machine sheet'!$F$2:$I$64,2,),0)</f>
        <v>24121</v>
      </c>
      <c r="H240" s="61" t="str">
        <f>IFERROR(VLOOKUP(Table2[[#This Row],[Code2]],'[2]New Machine sheet'!$F$2:$I$64,3,0),0)</f>
        <v>RE J1</v>
      </c>
      <c r="I240" s="61" t="s">
        <v>144</v>
      </c>
      <c r="J240" s="61">
        <v>5</v>
      </c>
      <c r="K240" s="61" t="str">
        <f>IFERROR(VLOOKUP(Table2[[#This Row],[Code3]],'[2]New defect code '!$A$2:$D$129,2,0),0)</f>
        <v>Bore Over size</v>
      </c>
      <c r="L240" s="61" t="s">
        <v>189</v>
      </c>
      <c r="M240" s="56">
        <v>46266</v>
      </c>
      <c r="N240" s="61"/>
      <c r="O240" s="61">
        <v>3</v>
      </c>
      <c r="P240" s="61"/>
      <c r="Q240" s="61"/>
      <c r="R240" s="61">
        <f>SUBTOTAL(9,Table2[[#This Row],[1st]:[FQC]])</f>
        <v>3</v>
      </c>
      <c r="S240" s="61">
        <f>IFERROR(VLOOKUP(Table2[[#This Row],[Part No.]],'[2]New Machine sheet'!$G$2:$I$90,3,0),0)</f>
        <v>135.66999999999999</v>
      </c>
      <c r="T240" s="61">
        <f>Table2[[#This Row],[cost per piece]]*Table2[[#This Row],[Total Rej. qty]]</f>
        <v>407.01</v>
      </c>
      <c r="U240" s="61">
        <f>IFERROR(VLOOKUP(Table2[[#This Row],[Non Conformance]],'[2]New defect code '!$B$2:$C$129,2,0),0)</f>
        <v>3243</v>
      </c>
      <c r="V240" s="61">
        <v>18</v>
      </c>
      <c r="W240" s="61" t="str">
        <f>IFERROR(VLOOKUP(Table2[[#This Row],[Code4]],'[2]New Reason code'!$A$2:$D$77,2,0),0)</f>
        <v>During insert change</v>
      </c>
      <c r="X240" s="61" t="str">
        <f>IFERROR(VLOOKUP(Table2[[#This Row],[Reason]],'[2]New Reason code'!$B$2:$D$77,2,0),0)</f>
        <v xml:space="preserve">Due to Settup  </v>
      </c>
      <c r="Y240" s="61" t="str">
        <f>IFERROR(VLOOKUP(Table2[[#This Row],[Rejection Identified at]],'[2]New Reason code'!$C$2:$D$77,2,0),0)</f>
        <v>skill</v>
      </c>
    </row>
    <row r="241" spans="1:25" ht="20.25" customHeight="1">
      <c r="A241" s="60">
        <v>237</v>
      </c>
      <c r="B241" s="61">
        <v>9</v>
      </c>
      <c r="C241" s="61" t="str">
        <f>IFERROR(VLOOKUP(Table2[[#This Row],[Code]],'[2]New Machine sheet'!$A$1:$D$101,2,0),0)</f>
        <v>282-09</v>
      </c>
      <c r="D241" s="61" t="str">
        <f>IFERROR(VLOOKUP(Table2[[#This Row],[M/c No]],'[2]New Machine sheet'!$B$1:$D$101,2,0),0)</f>
        <v>Mazak</v>
      </c>
      <c r="E241" s="61" t="str">
        <f>IFERROR(VLOOKUP(Table2[[#This Row],[M/c Name]],'[2]New Machine sheet'!$C$1:$D$101,2,0),0)</f>
        <v>Turning</v>
      </c>
      <c r="F241" s="61">
        <v>125</v>
      </c>
      <c r="G241" s="61">
        <f>IFERROR(VLOOKUP(Table2[[#This Row],[Code2]],'[2]New Machine sheet'!$F$2:$I$64,2,),0)</f>
        <v>24125</v>
      </c>
      <c r="H241" s="61" t="str">
        <f>IFERROR(VLOOKUP(Table2[[#This Row],[Code2]],'[2]New Machine sheet'!$F$2:$I$64,3,0),0)</f>
        <v>RE J1</v>
      </c>
      <c r="I241" s="61" t="s">
        <v>168</v>
      </c>
      <c r="J241" s="61">
        <v>5</v>
      </c>
      <c r="K241" s="61" t="str">
        <f>IFERROR(VLOOKUP(Table2[[#This Row],[Code3]],'[2]New defect code '!$A$2:$D$129,2,0),0)</f>
        <v>Bore Over size</v>
      </c>
      <c r="L241" s="61" t="s">
        <v>189</v>
      </c>
      <c r="M241" s="56">
        <v>46266</v>
      </c>
      <c r="N241" s="61"/>
      <c r="O241" s="61">
        <v>1</v>
      </c>
      <c r="P241" s="61"/>
      <c r="Q241" s="61"/>
      <c r="R241" s="61">
        <f>SUBTOTAL(9,Table2[[#This Row],[1st]:[FQC]])</f>
        <v>1</v>
      </c>
      <c r="S241" s="61">
        <f>IFERROR(VLOOKUP(Table2[[#This Row],[Part No.]],'[2]New Machine sheet'!$G$2:$I$90,3,0),0)</f>
        <v>65.17</v>
      </c>
      <c r="T241" s="61">
        <f>Table2[[#This Row],[cost per piece]]*Table2[[#This Row],[Total Rej. qty]]</f>
        <v>65.17</v>
      </c>
      <c r="U241" s="61">
        <f>IFERROR(VLOOKUP(Table2[[#This Row],[Non Conformance]],'[2]New defect code '!$B$2:$C$129,2,0),0)</f>
        <v>3243</v>
      </c>
      <c r="V241" s="61">
        <v>18</v>
      </c>
      <c r="W241" s="61" t="str">
        <f>IFERROR(VLOOKUP(Table2[[#This Row],[Code4]],'[2]New Reason code'!$A$2:$D$77,2,0),0)</f>
        <v>During insert change</v>
      </c>
      <c r="X241" s="61" t="str">
        <f>IFERROR(VLOOKUP(Table2[[#This Row],[Reason]],'[2]New Reason code'!$B$2:$D$77,2,0),0)</f>
        <v xml:space="preserve">Due to Settup  </v>
      </c>
      <c r="Y241" s="61" t="str">
        <f>IFERROR(VLOOKUP(Table2[[#This Row],[Rejection Identified at]],'[2]New Reason code'!$C$2:$D$77,2,0),0)</f>
        <v>skill</v>
      </c>
    </row>
    <row r="242" spans="1:25" ht="20.25" customHeight="1">
      <c r="A242" s="50">
        <v>238</v>
      </c>
      <c r="B242" s="61">
        <v>2</v>
      </c>
      <c r="C242" s="61" t="str">
        <f>IFERROR(VLOOKUP(Table2[[#This Row],[Code]],'[2]New Machine sheet'!$A$1:$D$101,2,0),0)</f>
        <v>282-02</v>
      </c>
      <c r="D242" s="61" t="str">
        <f>IFERROR(VLOOKUP(Table2[[#This Row],[M/c No]],'[2]New Machine sheet'!$B$1:$D$101,2,0),0)</f>
        <v>Mazak</v>
      </c>
      <c r="E242" s="61" t="str">
        <f>IFERROR(VLOOKUP(Table2[[#This Row],[M/c Name]],'[2]New Machine sheet'!$C$1:$D$101,2,0),0)</f>
        <v>Turning</v>
      </c>
      <c r="F242" s="61">
        <v>113</v>
      </c>
      <c r="G242" s="61">
        <f>IFERROR(VLOOKUP(Table2[[#This Row],[Code2]],'[2]New Machine sheet'!$F$2:$I$64,2,),0)</f>
        <v>24113</v>
      </c>
      <c r="H242" s="61" t="str">
        <f>IFERROR(VLOOKUP(Table2[[#This Row],[Code2]],'[2]New Machine sheet'!$F$2:$I$64,3,0),0)</f>
        <v>RE J1</v>
      </c>
      <c r="I242" s="61" t="s">
        <v>192</v>
      </c>
      <c r="J242" s="61">
        <v>5</v>
      </c>
      <c r="K242" s="61" t="str">
        <f>IFERROR(VLOOKUP(Table2[[#This Row],[Code3]],'[2]New defect code '!$A$2:$D$129,2,0),0)</f>
        <v>Bore Over size</v>
      </c>
      <c r="L242" s="61" t="s">
        <v>189</v>
      </c>
      <c r="M242" s="56">
        <v>46266</v>
      </c>
      <c r="N242" s="61"/>
      <c r="O242" s="61">
        <v>2</v>
      </c>
      <c r="P242" s="61"/>
      <c r="Q242" s="61"/>
      <c r="R242" s="61">
        <f>SUBTOTAL(9,Table2[[#This Row],[1st]:[FQC]])</f>
        <v>2</v>
      </c>
      <c r="S242" s="61">
        <f>IFERROR(VLOOKUP(Table2[[#This Row],[Part No.]],'[2]New Machine sheet'!$G$2:$I$90,3,0),0)</f>
        <v>90</v>
      </c>
      <c r="T242" s="61">
        <f>Table2[[#This Row],[cost per piece]]*Table2[[#This Row],[Total Rej. qty]]</f>
        <v>180</v>
      </c>
      <c r="U242" s="61">
        <f>IFERROR(VLOOKUP(Table2[[#This Row],[Non Conformance]],'[2]New defect code '!$B$2:$C$129,2,0),0)</f>
        <v>3243</v>
      </c>
      <c r="V242" s="61">
        <v>18</v>
      </c>
      <c r="W242" s="61" t="str">
        <f>IFERROR(VLOOKUP(Table2[[#This Row],[Code4]],'[2]New Reason code'!$A$2:$D$77,2,0),0)</f>
        <v>During insert change</v>
      </c>
      <c r="X242" s="61" t="str">
        <f>IFERROR(VLOOKUP(Table2[[#This Row],[Reason]],'[2]New Reason code'!$B$2:$D$77,2,0),0)</f>
        <v xml:space="preserve">Due to Settup  </v>
      </c>
      <c r="Y242" s="61" t="str">
        <f>IFERROR(VLOOKUP(Table2[[#This Row],[Rejection Identified at]],'[2]New Reason code'!$C$2:$D$77,2,0),0)</f>
        <v>skill</v>
      </c>
    </row>
    <row r="243" spans="1:25" ht="20.25" customHeight="1">
      <c r="A243" s="60">
        <v>239</v>
      </c>
      <c r="B243" s="61">
        <v>17</v>
      </c>
      <c r="C243" s="61" t="str">
        <f>IFERROR(VLOOKUP(Table2[[#This Row],[Code]],'[2]New Machine sheet'!$A$1:$D$101,2,0),0)</f>
        <v>282-17</v>
      </c>
      <c r="D243" s="61" t="str">
        <f>IFERROR(VLOOKUP(Table2[[#This Row],[M/c No]],'[2]New Machine sheet'!$B$1:$D$101,2,0),0)</f>
        <v>Mazak</v>
      </c>
      <c r="E243" s="61" t="str">
        <f>IFERROR(VLOOKUP(Table2[[#This Row],[M/c Name]],'[2]New Machine sheet'!$C$1:$D$101,2,0),0)</f>
        <v>Turning</v>
      </c>
      <c r="F243" s="61">
        <v>113</v>
      </c>
      <c r="G243" s="61">
        <f>IFERROR(VLOOKUP(Table2[[#This Row],[Code2]],'[2]New Machine sheet'!$F$2:$I$64,2,),0)</f>
        <v>24113</v>
      </c>
      <c r="H243" s="61" t="str">
        <f>IFERROR(VLOOKUP(Table2[[#This Row],[Code2]],'[2]New Machine sheet'!$F$2:$I$64,3,0),0)</f>
        <v>RE J1</v>
      </c>
      <c r="I243" s="61"/>
      <c r="J243" s="61">
        <v>5</v>
      </c>
      <c r="K243" s="61" t="str">
        <f>IFERROR(VLOOKUP(Table2[[#This Row],[Code3]],'[2]New defect code '!$A$2:$D$129,2,0),0)</f>
        <v>Bore Over size</v>
      </c>
      <c r="L243" s="61" t="s">
        <v>189</v>
      </c>
      <c r="M243" s="56">
        <v>46266</v>
      </c>
      <c r="N243" s="61"/>
      <c r="O243" s="61">
        <v>10</v>
      </c>
      <c r="P243" s="61"/>
      <c r="Q243" s="61"/>
      <c r="R243" s="61">
        <f>SUBTOTAL(9,Table2[[#This Row],[1st]:[FQC]])</f>
        <v>10</v>
      </c>
      <c r="S243" s="61">
        <f>IFERROR(VLOOKUP(Table2[[#This Row],[Part No.]],'[2]New Machine sheet'!$G$2:$I$90,3,0),0)</f>
        <v>90</v>
      </c>
      <c r="T243" s="61">
        <f>Table2[[#This Row],[cost per piece]]*Table2[[#This Row],[Total Rej. qty]]</f>
        <v>900</v>
      </c>
      <c r="U243" s="61">
        <f>IFERROR(VLOOKUP(Table2[[#This Row],[Non Conformance]],'[2]New defect code '!$B$2:$C$129,2,0),0)</f>
        <v>3243</v>
      </c>
      <c r="V243" s="61">
        <v>19</v>
      </c>
      <c r="W243" s="61" t="str">
        <f>IFERROR(VLOOKUP(Table2[[#This Row],[Code4]],'[2]New Reason code'!$A$2:$D$77,2,0),0)</f>
        <v>During Rework time</v>
      </c>
      <c r="X243" s="61" t="str">
        <f>IFERROR(VLOOKUP(Table2[[#This Row],[Reason]],'[2]New Reason code'!$B$2:$D$77,2,0),0)</f>
        <v>Due to operator</v>
      </c>
      <c r="Y243" s="61" t="str">
        <f>IFERROR(VLOOKUP(Table2[[#This Row],[Rejection Identified at]],'[2]New Reason code'!$C$2:$D$77,2,0),0)</f>
        <v xml:space="preserve">infrastructure </v>
      </c>
    </row>
    <row r="244" spans="1:25" ht="20.25" customHeight="1">
      <c r="A244" s="60">
        <v>240</v>
      </c>
      <c r="B244" s="61">
        <v>5</v>
      </c>
      <c r="C244" s="61" t="str">
        <f>IFERROR(VLOOKUP(Table2[[#This Row],[Code]],'[2]New Machine sheet'!$A$1:$D$101,2,0),0)</f>
        <v>282-05</v>
      </c>
      <c r="D244" s="61" t="str">
        <f>IFERROR(VLOOKUP(Table2[[#This Row],[M/c No]],'[2]New Machine sheet'!$B$1:$D$101,2,0),0)</f>
        <v>Mazak</v>
      </c>
      <c r="E244" s="61" t="str">
        <f>IFERROR(VLOOKUP(Table2[[#This Row],[M/c Name]],'[2]New Machine sheet'!$C$1:$D$101,2,0),0)</f>
        <v>Turning</v>
      </c>
      <c r="F244" s="61">
        <v>119</v>
      </c>
      <c r="G244" s="61">
        <f>IFERROR(VLOOKUP(Table2[[#This Row],[Code2]],'[2]New Machine sheet'!$F$2:$I$64,2,),0)</f>
        <v>24119</v>
      </c>
      <c r="H244" s="61" t="str">
        <f>IFERROR(VLOOKUP(Table2[[#This Row],[Code2]],'[2]New Machine sheet'!$F$2:$I$64,3,0),0)</f>
        <v>RE J1</v>
      </c>
      <c r="I244" s="61"/>
      <c r="J244" s="61">
        <v>5</v>
      </c>
      <c r="K244" s="61" t="str">
        <f>IFERROR(VLOOKUP(Table2[[#This Row],[Code3]],'[2]New defect code '!$A$2:$D$129,2,0),0)</f>
        <v>Bore Over size</v>
      </c>
      <c r="L244" s="61" t="s">
        <v>189</v>
      </c>
      <c r="M244" s="56">
        <v>46266</v>
      </c>
      <c r="N244" s="61"/>
      <c r="O244" s="61">
        <v>6</v>
      </c>
      <c r="P244" s="61"/>
      <c r="Q244" s="61"/>
      <c r="R244" s="61">
        <f>SUBTOTAL(9,Table2[[#This Row],[1st]:[FQC]])</f>
        <v>6</v>
      </c>
      <c r="S244" s="61">
        <f>IFERROR(VLOOKUP(Table2[[#This Row],[Part No.]],'[2]New Machine sheet'!$G$2:$I$90,3,0),0)</f>
        <v>103.2</v>
      </c>
      <c r="T244" s="61">
        <f>Table2[[#This Row],[cost per piece]]*Table2[[#This Row],[Total Rej. qty]]</f>
        <v>619.20000000000005</v>
      </c>
      <c r="U244" s="61">
        <f>IFERROR(VLOOKUP(Table2[[#This Row],[Non Conformance]],'[2]New defect code '!$B$2:$C$129,2,0),0)</f>
        <v>3243</v>
      </c>
      <c r="V244" s="61">
        <v>19</v>
      </c>
      <c r="W244" s="61" t="str">
        <f>IFERROR(VLOOKUP(Table2[[#This Row],[Code4]],'[2]New Reason code'!$A$2:$D$77,2,0),0)</f>
        <v>During Rework time</v>
      </c>
      <c r="X244" s="61" t="str">
        <f>IFERROR(VLOOKUP(Table2[[#This Row],[Reason]],'[2]New Reason code'!$B$2:$D$77,2,0),0)</f>
        <v>Due to operator</v>
      </c>
      <c r="Y244" s="61" t="str">
        <f>IFERROR(VLOOKUP(Table2[[#This Row],[Rejection Identified at]],'[2]New Reason code'!$C$2:$D$77,2,0),0)</f>
        <v xml:space="preserve">infrastructure </v>
      </c>
    </row>
    <row r="245" spans="1:25" ht="20.25" customHeight="1">
      <c r="A245" s="50">
        <v>241</v>
      </c>
      <c r="B245" s="61">
        <v>17</v>
      </c>
      <c r="C245" s="61" t="str">
        <f>IFERROR(VLOOKUP(Table2[[#This Row],[Code]],'[2]New Machine sheet'!$A$1:$D$101,2,0),0)</f>
        <v>282-17</v>
      </c>
      <c r="D245" s="61" t="str">
        <f>IFERROR(VLOOKUP(Table2[[#This Row],[M/c No]],'[2]New Machine sheet'!$B$1:$D$101,2,0),0)</f>
        <v>Mazak</v>
      </c>
      <c r="E245" s="61" t="str">
        <f>IFERROR(VLOOKUP(Table2[[#This Row],[M/c Name]],'[2]New Machine sheet'!$C$1:$D$101,2,0),0)</f>
        <v>Turning</v>
      </c>
      <c r="F245" s="61">
        <v>113</v>
      </c>
      <c r="G245" s="61">
        <f>IFERROR(VLOOKUP(Table2[[#This Row],[Code2]],'[2]New Machine sheet'!$F$2:$I$64,2,),0)</f>
        <v>24113</v>
      </c>
      <c r="H245" s="61" t="str">
        <f>IFERROR(VLOOKUP(Table2[[#This Row],[Code2]],'[2]New Machine sheet'!$F$2:$I$64,3,0),0)</f>
        <v>RE J1</v>
      </c>
      <c r="I245" s="61"/>
      <c r="J245" s="61">
        <v>93</v>
      </c>
      <c r="K245" s="61" t="str">
        <f>IFERROR(VLOOKUP(Table2[[#This Row],[Code3]],'[2]New defect code '!$A$2:$D$129,2,0),0)</f>
        <v>Thickness Under size</v>
      </c>
      <c r="L245" s="61" t="s">
        <v>189</v>
      </c>
      <c r="M245" s="56">
        <v>46266</v>
      </c>
      <c r="N245" s="61"/>
      <c r="O245" s="61">
        <v>5</v>
      </c>
      <c r="P245" s="61"/>
      <c r="Q245" s="61"/>
      <c r="R245" s="61">
        <f>SUBTOTAL(9,Table2[[#This Row],[1st]:[FQC]])</f>
        <v>5</v>
      </c>
      <c r="S245" s="61">
        <f>IFERROR(VLOOKUP(Table2[[#This Row],[Part No.]],'[2]New Machine sheet'!$G$2:$I$90,3,0),0)</f>
        <v>90</v>
      </c>
      <c r="T245" s="61">
        <f>Table2[[#This Row],[cost per piece]]*Table2[[#This Row],[Total Rej. qty]]</f>
        <v>450</v>
      </c>
      <c r="U245" s="61">
        <f>IFERROR(VLOOKUP(Table2[[#This Row],[Non Conformance]],'[2]New defect code '!$B$2:$C$129,2,0),0)</f>
        <v>3258</v>
      </c>
      <c r="V245" s="61">
        <v>19</v>
      </c>
      <c r="W245" s="61" t="str">
        <f>IFERROR(VLOOKUP(Table2[[#This Row],[Code4]],'[2]New Reason code'!$A$2:$D$77,2,0),0)</f>
        <v>During Rework time</v>
      </c>
      <c r="X245" s="61" t="str">
        <f>IFERROR(VLOOKUP(Table2[[#This Row],[Reason]],'[2]New Reason code'!$B$2:$D$77,2,0),0)</f>
        <v>Due to operator</v>
      </c>
      <c r="Y245" s="61" t="str">
        <f>IFERROR(VLOOKUP(Table2[[#This Row],[Rejection Identified at]],'[2]New Reason code'!$C$2:$D$77,2,0),0)</f>
        <v xml:space="preserve">infrastructure </v>
      </c>
    </row>
    <row r="246" spans="1:25" ht="20.25" customHeight="1">
      <c r="A246" s="60">
        <v>242</v>
      </c>
      <c r="B246" s="61">
        <v>62</v>
      </c>
      <c r="C246" s="61" t="str">
        <f>IFERROR(VLOOKUP(Table2[[#This Row],[Code]],'[2]New Machine sheet'!$A$1:$D$101,2,0),0)</f>
        <v>FQC</v>
      </c>
      <c r="D246" s="61" t="str">
        <f>IFERROR(VLOOKUP(Table2[[#This Row],[M/c No]],'[2]New Machine sheet'!$B$1:$D$101,2,0),0)</f>
        <v>FQC</v>
      </c>
      <c r="E246" s="61" t="str">
        <f>IFERROR(VLOOKUP(Table2[[#This Row],[M/c Name]],'[2]New Machine sheet'!$C$1:$D$101,2,0),0)</f>
        <v>fqc</v>
      </c>
      <c r="F246" s="61">
        <v>178</v>
      </c>
      <c r="G246" s="61">
        <f>IFERROR(VLOOKUP(Table2[[#This Row],[Code2]],'[2]New Machine sheet'!$F$2:$I$64,2,),0)</f>
        <v>24178</v>
      </c>
      <c r="H246" s="61" t="str">
        <f>IFERROR(VLOOKUP(Table2[[#This Row],[Code2]],'[2]New Machine sheet'!$F$2:$I$64,3,0),0)</f>
        <v>RE J1</v>
      </c>
      <c r="I246" s="61"/>
      <c r="J246" s="61">
        <v>72</v>
      </c>
      <c r="K246" s="61" t="str">
        <f>IFERROR(VLOOKUP(Table2[[#This Row],[Code3]],'[2]New defect code '!$A$2:$D$129,2,0),0)</f>
        <v xml:space="preserve">PG No Go pass </v>
      </c>
      <c r="L246" s="61" t="s">
        <v>189</v>
      </c>
      <c r="M246" s="56">
        <v>46266</v>
      </c>
      <c r="N246" s="61"/>
      <c r="O246" s="61"/>
      <c r="P246" s="61"/>
      <c r="Q246" s="61">
        <v>3</v>
      </c>
      <c r="R246" s="61">
        <f>SUBTOTAL(9,Table2[[#This Row],[1st]:[FQC]])</f>
        <v>3</v>
      </c>
      <c r="S246" s="61">
        <f>IFERROR(VLOOKUP(Table2[[#This Row],[Part No.]],'[2]New Machine sheet'!$G$2:$I$90,3,0),0)</f>
        <v>70.62</v>
      </c>
      <c r="T246" s="61">
        <f>Table2[[#This Row],[cost per piece]]*Table2[[#This Row],[Total Rej. qty]]</f>
        <v>211.86</v>
      </c>
      <c r="U246" s="61">
        <f>IFERROR(VLOOKUP(Table2[[#This Row],[Non Conformance]],'[2]New defect code '!$B$2:$C$129,2,0),0)</f>
        <v>0</v>
      </c>
      <c r="V246" s="61">
        <v>24</v>
      </c>
      <c r="W246" s="61" t="str">
        <f>IFERROR(VLOOKUP(Table2[[#This Row],[Code4]],'[2]New Reason code'!$A$2:$D$77,2,0),0)</f>
        <v>FQC return</v>
      </c>
      <c r="X246" s="61" t="str">
        <f>IFERROR(VLOOKUP(Table2[[#This Row],[Reason]],'[2]New Reason code'!$B$2:$D$77,2,0),0)</f>
        <v>Due to operator</v>
      </c>
      <c r="Y246" s="61" t="str">
        <f>IFERROR(VLOOKUP(Table2[[#This Row],[Rejection Identified at]],'[2]New Reason code'!$C$2:$D$77,2,0),0)</f>
        <v xml:space="preserve">infrastructure </v>
      </c>
    </row>
    <row r="247" spans="1:25" ht="20.25" customHeight="1">
      <c r="A247" s="60">
        <v>243</v>
      </c>
      <c r="B247" s="61">
        <v>62</v>
      </c>
      <c r="C247" s="61" t="str">
        <f>IFERROR(VLOOKUP(Table2[[#This Row],[Code]],'[2]New Machine sheet'!$A$1:$D$101,2,0),0)</f>
        <v>FQC</v>
      </c>
      <c r="D247" s="61" t="str">
        <f>IFERROR(VLOOKUP(Table2[[#This Row],[M/c No]],'[2]New Machine sheet'!$B$1:$D$101,2,0),0)</f>
        <v>FQC</v>
      </c>
      <c r="E247" s="61" t="str">
        <f>IFERROR(VLOOKUP(Table2[[#This Row],[M/c Name]],'[2]New Machine sheet'!$C$1:$D$101,2,0),0)</f>
        <v>fqc</v>
      </c>
      <c r="F247" s="61">
        <v>155</v>
      </c>
      <c r="G247" s="61">
        <f>IFERROR(VLOOKUP(Table2[[#This Row],[Code2]],'[2]New Machine sheet'!$F$2:$I$64,2,),0)</f>
        <v>24155</v>
      </c>
      <c r="H247" s="61" t="str">
        <f>IFERROR(VLOOKUP(Table2[[#This Row],[Code2]],'[2]New Machine sheet'!$F$2:$I$64,3,0),0)</f>
        <v>RE J1</v>
      </c>
      <c r="I247" s="61"/>
      <c r="J247" s="61">
        <v>93</v>
      </c>
      <c r="K247" s="61" t="str">
        <f>IFERROR(VLOOKUP(Table2[[#This Row],[Code3]],'[2]New defect code '!$A$2:$D$129,2,0),0)</f>
        <v>Thickness Under size</v>
      </c>
      <c r="L247" s="61" t="s">
        <v>189</v>
      </c>
      <c r="M247" s="56">
        <v>46266</v>
      </c>
      <c r="N247" s="61"/>
      <c r="O247" s="61"/>
      <c r="P247" s="61"/>
      <c r="Q247" s="61">
        <v>2</v>
      </c>
      <c r="R247" s="61">
        <f>SUBTOTAL(9,Table2[[#This Row],[1st]:[FQC]])</f>
        <v>2</v>
      </c>
      <c r="S247" s="61">
        <f>IFERROR(VLOOKUP(Table2[[#This Row],[Part No.]],'[2]New Machine sheet'!$G$2:$I$90,3,0),0)</f>
        <v>107.67</v>
      </c>
      <c r="T247" s="61">
        <f>Table2[[#This Row],[cost per piece]]*Table2[[#This Row],[Total Rej. qty]]</f>
        <v>215.34</v>
      </c>
      <c r="U247" s="61">
        <f>IFERROR(VLOOKUP(Table2[[#This Row],[Non Conformance]],'[2]New defect code '!$B$2:$C$129,2,0),0)</f>
        <v>3258</v>
      </c>
      <c r="V247" s="61">
        <v>24</v>
      </c>
      <c r="W247" s="61" t="str">
        <f>IFERROR(VLOOKUP(Table2[[#This Row],[Code4]],'[2]New Reason code'!$A$2:$D$77,2,0),0)</f>
        <v>FQC return</v>
      </c>
      <c r="X247" s="61" t="str">
        <f>IFERROR(VLOOKUP(Table2[[#This Row],[Reason]],'[2]New Reason code'!$B$2:$D$77,2,0),0)</f>
        <v>Due to operator</v>
      </c>
      <c r="Y247" s="61" t="str">
        <f>IFERROR(VLOOKUP(Table2[[#This Row],[Rejection Identified at]],'[2]New Reason code'!$C$2:$D$77,2,0),0)</f>
        <v xml:space="preserve">infrastructure </v>
      </c>
    </row>
    <row r="248" spans="1:25" ht="20.25" customHeight="1">
      <c r="A248" s="50">
        <v>244</v>
      </c>
      <c r="B248" s="61">
        <v>62</v>
      </c>
      <c r="C248" s="61" t="str">
        <f>IFERROR(VLOOKUP(Table2[[#This Row],[Code]],'[2]New Machine sheet'!$A$1:$D$101,2,0),0)</f>
        <v>FQC</v>
      </c>
      <c r="D248" s="61" t="str">
        <f>IFERROR(VLOOKUP(Table2[[#This Row],[M/c No]],'[2]New Machine sheet'!$B$1:$D$101,2,0),0)</f>
        <v>FQC</v>
      </c>
      <c r="E248" s="61" t="str">
        <f>IFERROR(VLOOKUP(Table2[[#This Row],[M/c Name]],'[2]New Machine sheet'!$C$1:$D$101,2,0),0)</f>
        <v>fqc</v>
      </c>
      <c r="F248" s="61">
        <v>117</v>
      </c>
      <c r="G248" s="61">
        <f>IFERROR(VLOOKUP(Table2[[#This Row],[Code2]],'[2]New Machine sheet'!$F$2:$I$64,2,),0)</f>
        <v>24117</v>
      </c>
      <c r="H248" s="61" t="str">
        <f>IFERROR(VLOOKUP(Table2[[#This Row],[Code2]],'[2]New Machine sheet'!$F$2:$I$64,3,0),0)</f>
        <v>RE J1</v>
      </c>
      <c r="I248" s="61"/>
      <c r="J248" s="61">
        <v>93</v>
      </c>
      <c r="K248" s="61" t="str">
        <f>IFERROR(VLOOKUP(Table2[[#This Row],[Code3]],'[2]New defect code '!$A$2:$D$129,2,0),0)</f>
        <v>Thickness Under size</v>
      </c>
      <c r="L248" s="61" t="s">
        <v>189</v>
      </c>
      <c r="M248" s="56">
        <v>46266</v>
      </c>
      <c r="N248" s="61"/>
      <c r="O248" s="61"/>
      <c r="P248" s="61"/>
      <c r="Q248" s="61">
        <v>3</v>
      </c>
      <c r="R248" s="61">
        <f>SUBTOTAL(9,Table2[[#This Row],[1st]:[FQC]])</f>
        <v>3</v>
      </c>
      <c r="S248" s="61">
        <f>IFERROR(VLOOKUP(Table2[[#This Row],[Part No.]],'[2]New Machine sheet'!$G$2:$I$90,3,0),0)</f>
        <v>111.97</v>
      </c>
      <c r="T248" s="61">
        <f>Table2[[#This Row],[cost per piece]]*Table2[[#This Row],[Total Rej. qty]]</f>
        <v>335.90999999999997</v>
      </c>
      <c r="U248" s="61">
        <f>IFERROR(VLOOKUP(Table2[[#This Row],[Non Conformance]],'[2]New defect code '!$B$2:$C$129,2,0),0)</f>
        <v>3258</v>
      </c>
      <c r="V248" s="61">
        <v>24</v>
      </c>
      <c r="W248" s="61" t="str">
        <f>IFERROR(VLOOKUP(Table2[[#This Row],[Code4]],'[2]New Reason code'!$A$2:$D$77,2,0),0)</f>
        <v>FQC return</v>
      </c>
      <c r="X248" s="61" t="str">
        <f>IFERROR(VLOOKUP(Table2[[#This Row],[Reason]],'[2]New Reason code'!$B$2:$D$77,2,0),0)</f>
        <v>Due to operator</v>
      </c>
      <c r="Y248" s="61" t="str">
        <f>IFERROR(VLOOKUP(Table2[[#This Row],[Rejection Identified at]],'[2]New Reason code'!$C$2:$D$77,2,0),0)</f>
        <v xml:space="preserve">infrastructure </v>
      </c>
    </row>
    <row r="249" spans="1:25" ht="20.25" customHeight="1">
      <c r="A249" s="60">
        <v>245</v>
      </c>
      <c r="B249" s="61">
        <v>44</v>
      </c>
      <c r="C249" s="61" t="str">
        <f>IFERROR(VLOOKUP(Table2[[#This Row],[Code]],'[2]New Machine sheet'!$A$1:$D$101,2,0),0)</f>
        <v>LT20-NEW</v>
      </c>
      <c r="D249" s="61" t="str">
        <f>IFERROR(VLOOKUP(Table2[[#This Row],[M/c No]],'[2]New Machine sheet'!$B$1:$D$101,2,0),0)</f>
        <v>ACE</v>
      </c>
      <c r="E249" s="61" t="str">
        <f>IFERROR(VLOOKUP(Table2[[#This Row],[M/c Name]],'[2]New Machine sheet'!$C$1:$D$101,2,0),0)</f>
        <v xml:space="preserve">turning </v>
      </c>
      <c r="F249" s="61">
        <v>122</v>
      </c>
      <c r="G249" s="61">
        <f>IFERROR(VLOOKUP(Table2[[#This Row],[Code2]],'[2]New Machine sheet'!$F$2:$I$64,2,),0)</f>
        <v>24122</v>
      </c>
      <c r="H249" s="61" t="str">
        <f>IFERROR(VLOOKUP(Table2[[#This Row],[Code2]],'[2]New Machine sheet'!$F$2:$I$64,3,0),0)</f>
        <v>RE J1</v>
      </c>
      <c r="I249" s="61" t="s">
        <v>133</v>
      </c>
      <c r="J249" s="61">
        <v>66</v>
      </c>
      <c r="K249" s="61" t="str">
        <f>IFERROR(VLOOKUP(Table2[[#This Row],[Code3]],'[2]New defect code '!$A$2:$D$129,2,0),0)</f>
        <v>OD Under Size</v>
      </c>
      <c r="L249" s="61" t="s">
        <v>189</v>
      </c>
      <c r="M249" s="56">
        <v>46266</v>
      </c>
      <c r="N249" s="61"/>
      <c r="O249" s="61"/>
      <c r="P249" s="61">
        <v>1</v>
      </c>
      <c r="Q249" s="61"/>
      <c r="R249" s="61">
        <f>SUBTOTAL(9,Table2[[#This Row],[1st]:[FQC]])</f>
        <v>1</v>
      </c>
      <c r="S249" s="61">
        <f>IFERROR(VLOOKUP(Table2[[#This Row],[Part No.]],'[2]New Machine sheet'!$G$2:$I$90,3,0),0)</f>
        <v>335.39977528089889</v>
      </c>
      <c r="T249" s="61">
        <f>Table2[[#This Row],[cost per piece]]*Table2[[#This Row],[Total Rej. qty]]</f>
        <v>335.39977528089889</v>
      </c>
      <c r="U249" s="61">
        <f>IFERROR(VLOOKUP(Table2[[#This Row],[Non Conformance]],'[2]New defect code '!$B$2:$C$129,2,0),0)</f>
        <v>3242</v>
      </c>
      <c r="V249" s="61">
        <v>18</v>
      </c>
      <c r="W249" s="61" t="str">
        <f>IFERROR(VLOOKUP(Table2[[#This Row],[Code4]],'[2]New Reason code'!$A$2:$D$77,2,0),0)</f>
        <v>During insert change</v>
      </c>
      <c r="X249" s="61" t="str">
        <f>IFERROR(VLOOKUP(Table2[[#This Row],[Reason]],'[2]New Reason code'!$B$2:$D$77,2,0),0)</f>
        <v xml:space="preserve">Due to Settup  </v>
      </c>
      <c r="Y249" s="61" t="str">
        <f>IFERROR(VLOOKUP(Table2[[#This Row],[Rejection Identified at]],'[2]New Reason code'!$C$2:$D$77,2,0),0)</f>
        <v>skill</v>
      </c>
    </row>
    <row r="250" spans="1:25" ht="20.25" customHeight="1">
      <c r="A250" s="60">
        <v>246</v>
      </c>
      <c r="B250" s="61">
        <v>25</v>
      </c>
      <c r="C250" s="61" t="str">
        <f>IFERROR(VLOOKUP(Table2[[#This Row],[Code]],'[2]New Machine sheet'!$A$1:$D$101,2,0),0)</f>
        <v>ACE-05</v>
      </c>
      <c r="D250" s="61" t="str">
        <f>IFERROR(VLOOKUP(Table2[[#This Row],[M/c No]],'[2]New Machine sheet'!$B$1:$D$101,2,0),0)</f>
        <v>Micromatic</v>
      </c>
      <c r="E250" s="61" t="str">
        <f>IFERROR(VLOOKUP(Table2[[#This Row],[M/c Name]],'[2]New Machine sheet'!$C$1:$D$101,2,0),0)</f>
        <v>Turning</v>
      </c>
      <c r="F250" s="61">
        <v>122</v>
      </c>
      <c r="G250" s="61">
        <f>IFERROR(VLOOKUP(Table2[[#This Row],[Code2]],'[2]New Machine sheet'!$F$2:$I$64,2,),0)</f>
        <v>24122</v>
      </c>
      <c r="H250" s="61" t="str">
        <f>IFERROR(VLOOKUP(Table2[[#This Row],[Code2]],'[2]New Machine sheet'!$F$2:$I$64,3,0),0)</f>
        <v>RE J1</v>
      </c>
      <c r="I250" s="61" t="s">
        <v>133</v>
      </c>
      <c r="J250" s="61">
        <v>5</v>
      </c>
      <c r="K250" s="61" t="str">
        <f>IFERROR(VLOOKUP(Table2[[#This Row],[Code3]],'[2]New defect code '!$A$2:$D$129,2,0),0)</f>
        <v>Bore Over size</v>
      </c>
      <c r="L250" s="61" t="s">
        <v>189</v>
      </c>
      <c r="M250" s="56">
        <v>46266</v>
      </c>
      <c r="N250" s="61"/>
      <c r="O250" s="61"/>
      <c r="P250" s="61">
        <v>1</v>
      </c>
      <c r="Q250" s="61"/>
      <c r="R250" s="61">
        <f>SUBTOTAL(9,Table2[[#This Row],[1st]:[FQC]])</f>
        <v>1</v>
      </c>
      <c r="S250" s="61">
        <f>IFERROR(VLOOKUP(Table2[[#This Row],[Part No.]],'[2]New Machine sheet'!$G$2:$I$90,3,0),0)</f>
        <v>335.39977528089889</v>
      </c>
      <c r="T250" s="61">
        <f>Table2[[#This Row],[cost per piece]]*Table2[[#This Row],[Total Rej. qty]]</f>
        <v>335.39977528089889</v>
      </c>
      <c r="U250" s="61">
        <f>IFERROR(VLOOKUP(Table2[[#This Row],[Non Conformance]],'[2]New defect code '!$B$2:$C$129,2,0),0)</f>
        <v>3243</v>
      </c>
      <c r="V250" s="61">
        <v>18</v>
      </c>
      <c r="W250" s="61" t="str">
        <f>IFERROR(VLOOKUP(Table2[[#This Row],[Code4]],'[2]New Reason code'!$A$2:$D$77,2,0),0)</f>
        <v>During insert change</v>
      </c>
      <c r="X250" s="61" t="str">
        <f>IFERROR(VLOOKUP(Table2[[#This Row],[Reason]],'[2]New Reason code'!$B$2:$D$77,2,0),0)</f>
        <v xml:space="preserve">Due to Settup  </v>
      </c>
      <c r="Y250" s="61" t="str">
        <f>IFERROR(VLOOKUP(Table2[[#This Row],[Rejection Identified at]],'[2]New Reason code'!$C$2:$D$77,2,0),0)</f>
        <v>skill</v>
      </c>
    </row>
    <row r="251" spans="1:25" ht="20.25" customHeight="1">
      <c r="A251" s="50">
        <v>247</v>
      </c>
      <c r="B251" s="62"/>
      <c r="C251" s="62" t="s">
        <v>156</v>
      </c>
      <c r="D251" s="62" t="str">
        <f>IFERROR(VLOOKUP(Table2[[#This Row],[M/c No]],'[2]New Machine sheet'!$B$1:$D$101,2,0),0)</f>
        <v>VMC</v>
      </c>
      <c r="E251" s="62" t="str">
        <f>IFERROR(VLOOKUP(Table2[[#This Row],[M/c Name]],'[2]New Machine sheet'!$C$1:$D$101,2,0),0)</f>
        <v>VMC</v>
      </c>
      <c r="F251" s="62">
        <v>155</v>
      </c>
      <c r="G251" s="62">
        <f>IFERROR(VLOOKUP(Table2[[#This Row],[Code2]],'[2]New Machine sheet'!$F$2:$I$64,2,),0)</f>
        <v>24155</v>
      </c>
      <c r="H251" s="62" t="str">
        <f>IFERROR(VLOOKUP(Table2[[#This Row],[Code2]],'[2]New Machine sheet'!$F$2:$I$64,3,0),0)</f>
        <v>RE J1</v>
      </c>
      <c r="I251" s="62" t="s">
        <v>147</v>
      </c>
      <c r="J251" s="62">
        <v>72</v>
      </c>
      <c r="K251" s="62" t="str">
        <f>IFERROR(VLOOKUP(Table2[[#This Row],[Code3]],'[2]New defect code '!$A$2:$D$129,2,0),0)</f>
        <v xml:space="preserve">PG No Go pass </v>
      </c>
      <c r="L251" s="61" t="s">
        <v>189</v>
      </c>
      <c r="M251" s="56">
        <v>46266</v>
      </c>
      <c r="N251" s="62"/>
      <c r="O251" s="62"/>
      <c r="P251" s="62">
        <v>4</v>
      </c>
      <c r="Q251" s="62"/>
      <c r="R251" s="62">
        <f>SUBTOTAL(9,Table2[[#This Row],[1st]:[FQC]])</f>
        <v>4</v>
      </c>
      <c r="S251" s="62">
        <f>IFERROR(VLOOKUP(Table2[[#This Row],[Part No.]],'[2]New Machine sheet'!$G$2:$I$90,3,0),0)</f>
        <v>107.67</v>
      </c>
      <c r="T251" s="62">
        <f>Table2[[#This Row],[cost per piece]]*Table2[[#This Row],[Total Rej. qty]]</f>
        <v>430.68</v>
      </c>
      <c r="U251" s="62">
        <f>IFERROR(VLOOKUP(Table2[[#This Row],[Non Conformance]],'[2]New defect code '!$B$2:$C$129,2,0),0)</f>
        <v>0</v>
      </c>
      <c r="V251" s="62">
        <v>22</v>
      </c>
      <c r="W251" s="62" t="str">
        <f>IFERROR(VLOOKUP(Table2[[#This Row],[Code4]],'[2]New Reason code'!$A$2:$D$77,2,0),0)</f>
        <v>during tool change</v>
      </c>
      <c r="X251" s="62" t="str">
        <f>IFERROR(VLOOKUP(Table2[[#This Row],[Reason]],'[2]New Reason code'!$B$2:$D$77,2,0),0)</f>
        <v>Prod Declared</v>
      </c>
      <c r="Y251" s="62" t="str">
        <f>IFERROR(VLOOKUP(Table2[[#This Row],[Rejection Identified at]],'[2]New Reason code'!$C$2:$D$77,2,0),0)</f>
        <v>Process Issue</v>
      </c>
    </row>
    <row r="252" spans="1:25" ht="20.25" customHeight="1">
      <c r="A252" s="60">
        <v>248</v>
      </c>
      <c r="B252" s="62">
        <v>62</v>
      </c>
      <c r="C252" s="62" t="str">
        <f>IFERROR(VLOOKUP(Table2[[#This Row],[Code]],'[2]New Machine sheet'!$A$1:$D$101,2,0),0)</f>
        <v>FQC</v>
      </c>
      <c r="D252" s="62" t="str">
        <f>IFERROR(VLOOKUP(Table2[[#This Row],[M/c No]],'[2]New Machine sheet'!$B$1:$D$101,2,0),0)</f>
        <v>FQC</v>
      </c>
      <c r="E252" s="62" t="str">
        <f>IFERROR(VLOOKUP(Table2[[#This Row],[M/c Name]],'[2]New Machine sheet'!$C$1:$D$101,2,0),0)</f>
        <v>fqc</v>
      </c>
      <c r="F252" s="62">
        <v>48</v>
      </c>
      <c r="G252" s="62">
        <f>IFERROR(VLOOKUP(Table2[[#This Row],[Code2]],'[2]New Machine sheet'!$F$2:$I$64,2,),0)</f>
        <v>2448</v>
      </c>
      <c r="H252" s="62" t="str">
        <f>IFERROR(VLOOKUP(Table2[[#This Row],[Code2]],'[2]New Machine sheet'!$F$2:$I$64,3,0),0)</f>
        <v>RE D1</v>
      </c>
      <c r="I252" s="62"/>
      <c r="J252" s="62">
        <v>5</v>
      </c>
      <c r="K252" s="62" t="str">
        <f>IFERROR(VLOOKUP(Table2[[#This Row],[Code3]],'[2]New defect code '!$A$2:$D$129,2,0),0)</f>
        <v>Bore Over size</v>
      </c>
      <c r="L252" s="61" t="s">
        <v>189</v>
      </c>
      <c r="M252" s="56">
        <v>46266</v>
      </c>
      <c r="N252" s="62"/>
      <c r="O252" s="62"/>
      <c r="P252" s="62"/>
      <c r="Q252" s="62">
        <v>1</v>
      </c>
      <c r="R252" s="62">
        <f>SUBTOTAL(9,Table2[[#This Row],[1st]:[FQC]])</f>
        <v>1</v>
      </c>
      <c r="S252" s="62">
        <f>IFERROR(VLOOKUP(Table2[[#This Row],[Part No.]],'[2]New Machine sheet'!$G$2:$I$90,3,0),0)</f>
        <v>98.222499999999997</v>
      </c>
      <c r="T252" s="62">
        <f>Table2[[#This Row],[cost per piece]]*Table2[[#This Row],[Total Rej. qty]]</f>
        <v>98.222499999999997</v>
      </c>
      <c r="U252" s="62">
        <f>IFERROR(VLOOKUP(Table2[[#This Row],[Non Conformance]],'[2]New defect code '!$B$2:$C$129,2,0),0)</f>
        <v>3243</v>
      </c>
      <c r="V252" s="62">
        <v>24</v>
      </c>
      <c r="W252" s="62" t="str">
        <f>IFERROR(VLOOKUP(Table2[[#This Row],[Code4]],'[2]New Reason code'!$A$2:$D$77,2,0),0)</f>
        <v>FQC return</v>
      </c>
      <c r="X252" s="62" t="str">
        <f>IFERROR(VLOOKUP(Table2[[#This Row],[Reason]],'[2]New Reason code'!$B$2:$D$77,2,0),0)</f>
        <v>Due to operator</v>
      </c>
      <c r="Y252" s="62" t="str">
        <f>IFERROR(VLOOKUP(Table2[[#This Row],[Rejection Identified at]],'[2]New Reason code'!$C$2:$D$77,2,0),0)</f>
        <v xml:space="preserve">infrastructure </v>
      </c>
    </row>
    <row r="253" spans="1:25" ht="20.25" customHeight="1">
      <c r="A253" s="60">
        <v>249</v>
      </c>
      <c r="B253" s="62">
        <v>62</v>
      </c>
      <c r="C253" s="62" t="str">
        <f>IFERROR(VLOOKUP(Table2[[#This Row],[Code]],'[2]New Machine sheet'!$A$1:$D$101,2,0),0)</f>
        <v>FQC</v>
      </c>
      <c r="D253" s="62" t="str">
        <f>IFERROR(VLOOKUP(Table2[[#This Row],[M/c No]],'[2]New Machine sheet'!$B$1:$D$101,2,0),0)</f>
        <v>FQC</v>
      </c>
      <c r="E253" s="62" t="str">
        <f>IFERROR(VLOOKUP(Table2[[#This Row],[M/c Name]],'[2]New Machine sheet'!$C$1:$D$101,2,0),0)</f>
        <v>fqc</v>
      </c>
      <c r="F253" s="62">
        <v>75</v>
      </c>
      <c r="G253" s="62">
        <f>IFERROR(VLOOKUP(Table2[[#This Row],[Code2]],'[2]New Machine sheet'!$F$2:$I$64,2,),0)</f>
        <v>2475</v>
      </c>
      <c r="H253" s="62" t="str">
        <f>IFERROR(VLOOKUP(Table2[[#This Row],[Code2]],'[2]New Machine sheet'!$F$2:$I$64,3,0),0)</f>
        <v>RE P1</v>
      </c>
      <c r="I253" s="62" t="s">
        <v>143</v>
      </c>
      <c r="J253" s="62">
        <v>5</v>
      </c>
      <c r="K253" s="62" t="str">
        <f>IFERROR(VLOOKUP(Table2[[#This Row],[Code3]],'[2]New defect code '!$A$2:$D$129,2,0),0)</f>
        <v>Bore Over size</v>
      </c>
      <c r="L253" s="61" t="s">
        <v>189</v>
      </c>
      <c r="M253" s="56">
        <v>46266</v>
      </c>
      <c r="N253" s="62"/>
      <c r="O253" s="62"/>
      <c r="P253" s="62"/>
      <c r="Q253" s="62">
        <v>1</v>
      </c>
      <c r="R253" s="62">
        <f>SUBTOTAL(9,Table2[[#This Row],[1st]:[FQC]])</f>
        <v>1</v>
      </c>
      <c r="S253" s="62">
        <f>IFERROR(VLOOKUP(Table2[[#This Row],[Part No.]],'[2]New Machine sheet'!$G$2:$I$90,3,0),0)</f>
        <v>138.77000000000001</v>
      </c>
      <c r="T253" s="62">
        <f>Table2[[#This Row],[cost per piece]]*Table2[[#This Row],[Total Rej. qty]]</f>
        <v>138.77000000000001</v>
      </c>
      <c r="U253" s="62">
        <f>IFERROR(VLOOKUP(Table2[[#This Row],[Non Conformance]],'[2]New defect code '!$B$2:$C$129,2,0),0)</f>
        <v>3243</v>
      </c>
      <c r="V253" s="62">
        <v>24</v>
      </c>
      <c r="W253" s="62" t="str">
        <f>IFERROR(VLOOKUP(Table2[[#This Row],[Code4]],'[2]New Reason code'!$A$2:$D$77,2,0),0)</f>
        <v>FQC return</v>
      </c>
      <c r="X253" s="62" t="str">
        <f>IFERROR(VLOOKUP(Table2[[#This Row],[Reason]],'[2]New Reason code'!$B$2:$D$77,2,0),0)</f>
        <v>Due to operator</v>
      </c>
      <c r="Y253" s="62" t="str">
        <f>IFERROR(VLOOKUP(Table2[[#This Row],[Rejection Identified at]],'[2]New Reason code'!$C$2:$D$77,2,0),0)</f>
        <v xml:space="preserve">infrastructure </v>
      </c>
    </row>
    <row r="254" spans="1:25" ht="20.25" customHeight="1">
      <c r="A254" s="50">
        <v>250</v>
      </c>
      <c r="B254" s="62">
        <v>3</v>
      </c>
      <c r="C254" s="62" t="str">
        <f>IFERROR(VLOOKUP(Table2[[#This Row],[Code]],'[2]New Machine sheet'!$A$1:$D$101,2,0),0)</f>
        <v>282-03</v>
      </c>
      <c r="D254" s="62" t="str">
        <f>IFERROR(VLOOKUP(Table2[[#This Row],[M/c No]],'[2]New Machine sheet'!$B$1:$D$101,2,0),0)</f>
        <v>Mazak</v>
      </c>
      <c r="E254" s="62" t="str">
        <f>IFERROR(VLOOKUP(Table2[[#This Row],[M/c Name]],'[2]New Machine sheet'!$C$1:$D$101,2,0),0)</f>
        <v>Turning</v>
      </c>
      <c r="F254" s="62">
        <v>178</v>
      </c>
      <c r="G254" s="62">
        <f>IFERROR(VLOOKUP(Table2[[#This Row],[Code2]],'[2]New Machine sheet'!$F$2:$I$64,2,),0)</f>
        <v>24178</v>
      </c>
      <c r="H254" s="62" t="str">
        <f>IFERROR(VLOOKUP(Table2[[#This Row],[Code2]],'[2]New Machine sheet'!$F$2:$I$64,3,0),0)</f>
        <v>RE J1</v>
      </c>
      <c r="I254" s="62"/>
      <c r="J254" s="62">
        <v>5</v>
      </c>
      <c r="K254" s="62" t="str">
        <f>IFERROR(VLOOKUP(Table2[[#This Row],[Code3]],'[2]New defect code '!$A$2:$D$129,2,0),0)</f>
        <v>Bore Over size</v>
      </c>
      <c r="L254" s="61" t="s">
        <v>189</v>
      </c>
      <c r="M254" s="56">
        <v>46266</v>
      </c>
      <c r="N254" s="62"/>
      <c r="O254" s="62"/>
      <c r="P254" s="62">
        <v>1</v>
      </c>
      <c r="Q254" s="62"/>
      <c r="R254" s="62">
        <f>SUBTOTAL(9,Table2[[#This Row],[1st]:[FQC]])</f>
        <v>1</v>
      </c>
      <c r="S254" s="62">
        <f>IFERROR(VLOOKUP(Table2[[#This Row],[Part No.]],'[2]New Machine sheet'!$G$2:$I$90,3,0),0)</f>
        <v>70.62</v>
      </c>
      <c r="T254" s="62">
        <f>Table2[[#This Row],[cost per piece]]*Table2[[#This Row],[Total Rej. qty]]</f>
        <v>70.62</v>
      </c>
      <c r="U254" s="62">
        <f>IFERROR(VLOOKUP(Table2[[#This Row],[Non Conformance]],'[2]New defect code '!$B$2:$C$129,2,0),0)</f>
        <v>3243</v>
      </c>
      <c r="V254" s="62">
        <v>18</v>
      </c>
      <c r="W254" s="62" t="str">
        <f>IFERROR(VLOOKUP(Table2[[#This Row],[Code4]],'[2]New Reason code'!$A$2:$D$77,2,0),0)</f>
        <v>During insert change</v>
      </c>
      <c r="X254" s="62" t="str">
        <f>IFERROR(VLOOKUP(Table2[[#This Row],[Reason]],'[2]New Reason code'!$B$2:$D$77,2,0),0)</f>
        <v xml:space="preserve">Due to Settup  </v>
      </c>
      <c r="Y254" s="62" t="str">
        <f>IFERROR(VLOOKUP(Table2[[#This Row],[Rejection Identified at]],'[2]New Reason code'!$C$2:$D$77,2,0),0)</f>
        <v>skill</v>
      </c>
    </row>
    <row r="255" spans="1:25" ht="20.25" customHeight="1">
      <c r="A255" s="60">
        <v>251</v>
      </c>
      <c r="B255" s="62">
        <v>6</v>
      </c>
      <c r="C255" s="62" t="str">
        <f>IFERROR(VLOOKUP(Table2[[#This Row],[Code]],'[2]New Machine sheet'!$A$1:$D$101,2,0),0)</f>
        <v>282-06</v>
      </c>
      <c r="D255" s="62" t="str">
        <f>IFERROR(VLOOKUP(Table2[[#This Row],[M/c No]],'[2]New Machine sheet'!$B$1:$D$101,2,0),0)</f>
        <v>Mazak</v>
      </c>
      <c r="E255" s="62" t="str">
        <f>IFERROR(VLOOKUP(Table2[[#This Row],[M/c Name]],'[2]New Machine sheet'!$C$1:$D$101,2,0),0)</f>
        <v>Turning</v>
      </c>
      <c r="F255" s="62">
        <v>178</v>
      </c>
      <c r="G255" s="62">
        <f>IFERROR(VLOOKUP(Table2[[#This Row],[Code2]],'[2]New Machine sheet'!$F$2:$I$64,2,),0)</f>
        <v>24178</v>
      </c>
      <c r="H255" s="62" t="str">
        <f>IFERROR(VLOOKUP(Table2[[#This Row],[Code2]],'[2]New Machine sheet'!$F$2:$I$64,3,0),0)</f>
        <v>RE J1</v>
      </c>
      <c r="I255" s="62"/>
      <c r="J255" s="62">
        <v>5</v>
      </c>
      <c r="K255" s="62" t="str">
        <f>IFERROR(VLOOKUP(Table2[[#This Row],[Code3]],'[2]New defect code '!$A$2:$D$129,2,0),0)</f>
        <v>Bore Over size</v>
      </c>
      <c r="L255" s="61" t="s">
        <v>189</v>
      </c>
      <c r="M255" s="56">
        <v>46266</v>
      </c>
      <c r="N255" s="62"/>
      <c r="O255" s="62"/>
      <c r="P255" s="62">
        <v>7</v>
      </c>
      <c r="Q255" s="62"/>
      <c r="R255" s="62">
        <f>SUBTOTAL(9,Table2[[#This Row],[1st]:[FQC]])</f>
        <v>7</v>
      </c>
      <c r="S255" s="62">
        <f>IFERROR(VLOOKUP(Table2[[#This Row],[Part No.]],'[2]New Machine sheet'!$G$2:$I$90,3,0),0)</f>
        <v>70.62</v>
      </c>
      <c r="T255" s="62">
        <f>Table2[[#This Row],[cost per piece]]*Table2[[#This Row],[Total Rej. qty]]</f>
        <v>494.34000000000003</v>
      </c>
      <c r="U255" s="62">
        <f>IFERROR(VLOOKUP(Table2[[#This Row],[Non Conformance]],'[2]New defect code '!$B$2:$C$129,2,0),0)</f>
        <v>3243</v>
      </c>
      <c r="V255" s="62">
        <v>19</v>
      </c>
      <c r="W255" s="62" t="str">
        <f>IFERROR(VLOOKUP(Table2[[#This Row],[Code4]],'[2]New Reason code'!$A$2:$D$77,2,0),0)</f>
        <v>During Rework time</v>
      </c>
      <c r="X255" s="62" t="str">
        <f>IFERROR(VLOOKUP(Table2[[#This Row],[Reason]],'[2]New Reason code'!$B$2:$D$77,2,0),0)</f>
        <v>Due to operator</v>
      </c>
      <c r="Y255" s="62" t="str">
        <f>IFERROR(VLOOKUP(Table2[[#This Row],[Rejection Identified at]],'[2]New Reason code'!$C$2:$D$77,2,0),0)</f>
        <v xml:space="preserve">infrastructure </v>
      </c>
    </row>
    <row r="256" spans="1:25" ht="20.25" customHeight="1">
      <c r="A256" s="60">
        <v>252</v>
      </c>
      <c r="B256" s="62"/>
      <c r="C256" s="62">
        <f>IFERROR(VLOOKUP(Table2[[#This Row],[Code]],'[2]New Machine sheet'!$A$1:$D$101,2,0),0)</f>
        <v>0</v>
      </c>
      <c r="D256" s="62">
        <f>IFERROR(VLOOKUP(Table2[[#This Row],[M/c No]],'[2]New Machine sheet'!$B$1:$D$101,2,0),0)</f>
        <v>0</v>
      </c>
      <c r="E256" s="62">
        <f>IFERROR(VLOOKUP(Table2[[#This Row],[M/c Name]],'[2]New Machine sheet'!$C$1:$D$101,2,0),0)</f>
        <v>0</v>
      </c>
      <c r="F256" s="62">
        <v>178</v>
      </c>
      <c r="G256" s="62">
        <f>IFERROR(VLOOKUP(Table2[[#This Row],[Code2]],'[2]New Machine sheet'!$F$2:$I$64,2,),0)</f>
        <v>24178</v>
      </c>
      <c r="H256" s="62" t="str">
        <f>IFERROR(VLOOKUP(Table2[[#This Row],[Code2]],'[2]New Machine sheet'!$F$2:$I$64,3,0),0)</f>
        <v>RE J1</v>
      </c>
      <c r="I256" s="62"/>
      <c r="J256" s="62">
        <v>80</v>
      </c>
      <c r="K256" s="62" t="str">
        <f>IFERROR(VLOOKUP(Table2[[#This Row],[Code3]],'[2]New defect code '!$A$2:$D$129,2,0),0)</f>
        <v xml:space="preserve">Rust </v>
      </c>
      <c r="L256" s="61" t="s">
        <v>189</v>
      </c>
      <c r="M256" s="56">
        <v>46266</v>
      </c>
      <c r="N256" s="62"/>
      <c r="O256" s="62"/>
      <c r="P256" s="62">
        <v>6</v>
      </c>
      <c r="Q256" s="62"/>
      <c r="R256" s="62">
        <f>SUBTOTAL(9,Table2[[#This Row],[1st]:[FQC]])</f>
        <v>6</v>
      </c>
      <c r="S256" s="62">
        <f>IFERROR(VLOOKUP(Table2[[#This Row],[Part No.]],'[2]New Machine sheet'!$G$2:$I$90,3,0),0)</f>
        <v>70.62</v>
      </c>
      <c r="T256" s="62">
        <f>Table2[[#This Row],[cost per piece]]*Table2[[#This Row],[Total Rej. qty]]</f>
        <v>423.72</v>
      </c>
      <c r="U256" s="62">
        <f>IFERROR(VLOOKUP(Table2[[#This Row],[Non Conformance]],'[2]New defect code '!$B$2:$C$129,2,0),0)</f>
        <v>0</v>
      </c>
      <c r="V256" s="62">
        <v>15</v>
      </c>
      <c r="W256" s="62" t="str">
        <f>IFERROR(VLOOKUP(Table2[[#This Row],[Code4]],'[2]New Reason code'!$A$2:$D$77,2,0),0)</f>
        <v>During ACMA (5S) time</v>
      </c>
      <c r="X256" s="62" t="str">
        <f>IFERROR(VLOOKUP(Table2[[#This Row],[Reason]],'[2]New Reason code'!$B$2:$D$77,2,0),0)</f>
        <v>Prod Declared</v>
      </c>
      <c r="Y256" s="62" t="str">
        <f>IFERROR(VLOOKUP(Table2[[#This Row],[Rejection Identified at]],'[2]New Reason code'!$C$2:$D$77,2,0),0)</f>
        <v>Process Issue</v>
      </c>
    </row>
    <row r="257" spans="1:25" ht="20.25" customHeight="1">
      <c r="A257" s="50">
        <v>253</v>
      </c>
      <c r="B257" s="62">
        <v>15</v>
      </c>
      <c r="C257" s="62" t="str">
        <f>IFERROR(VLOOKUP(Table2[[#This Row],[Code]],'[2]New Machine sheet'!$A$1:$D$101,2,0),0)</f>
        <v>282-15</v>
      </c>
      <c r="D257" s="62" t="str">
        <f>IFERROR(VLOOKUP(Table2[[#This Row],[M/c No]],'[2]New Machine sheet'!$B$1:$D$101,2,0),0)</f>
        <v>Mazak</v>
      </c>
      <c r="E257" s="62" t="str">
        <f>IFERROR(VLOOKUP(Table2[[#This Row],[M/c Name]],'[2]New Machine sheet'!$C$1:$D$101,2,0),0)</f>
        <v>Turning</v>
      </c>
      <c r="F257" s="62">
        <v>127</v>
      </c>
      <c r="G257" s="62">
        <f>IFERROR(VLOOKUP(Table2[[#This Row],[Code2]],'[2]New Machine sheet'!$F$2:$I$64,2,),0)</f>
        <v>24127</v>
      </c>
      <c r="H257" s="62" t="str">
        <f>IFERROR(VLOOKUP(Table2[[#This Row],[Code2]],'[2]New Machine sheet'!$F$2:$I$64,3,0),0)</f>
        <v>RE J1</v>
      </c>
      <c r="I257" s="62" t="s">
        <v>186</v>
      </c>
      <c r="J257" s="62">
        <v>93</v>
      </c>
      <c r="K257" s="62" t="str">
        <f>IFERROR(VLOOKUP(Table2[[#This Row],[Code3]],'[2]New defect code '!$A$2:$D$129,2,0),0)</f>
        <v>Thickness Under size</v>
      </c>
      <c r="L257" s="62" t="s">
        <v>195</v>
      </c>
      <c r="M257" s="56">
        <v>46266</v>
      </c>
      <c r="N257" s="62">
        <v>4</v>
      </c>
      <c r="O257" s="62"/>
      <c r="P257" s="62"/>
      <c r="Q257" s="62"/>
      <c r="R257" s="62">
        <f>SUBTOTAL(9,Table2[[#This Row],[1st]:[FQC]])</f>
        <v>4</v>
      </c>
      <c r="S257" s="62">
        <f>IFERROR(VLOOKUP(Table2[[#This Row],[Part No.]],'[2]New Machine sheet'!$G$2:$I$90,3,0),0)</f>
        <v>262.81200000000001</v>
      </c>
      <c r="T257" s="62">
        <f>Table2[[#This Row],[cost per piece]]*Table2[[#This Row],[Total Rej. qty]]</f>
        <v>1051.248</v>
      </c>
      <c r="U257" s="62">
        <f>IFERROR(VLOOKUP(Table2[[#This Row],[Non Conformance]],'[2]New defect code '!$B$2:$C$129,2,0),0)</f>
        <v>3258</v>
      </c>
      <c r="V257" s="62">
        <v>19</v>
      </c>
      <c r="W257" s="62" t="str">
        <f>IFERROR(VLOOKUP(Table2[[#This Row],[Code4]],'[2]New Reason code'!$A$2:$D$77,2,0),0)</f>
        <v>During Rework time</v>
      </c>
      <c r="X257" s="62" t="str">
        <f>IFERROR(VLOOKUP(Table2[[#This Row],[Reason]],'[2]New Reason code'!$B$2:$D$77,2,0),0)</f>
        <v>Due to operator</v>
      </c>
      <c r="Y257" s="62" t="str">
        <f>IFERROR(VLOOKUP(Table2[[#This Row],[Rejection Identified at]],'[2]New Reason code'!$C$2:$D$77,2,0),0)</f>
        <v xml:space="preserve">infrastructure </v>
      </c>
    </row>
    <row r="258" spans="1:25" ht="20.25" customHeight="1">
      <c r="A258" s="60">
        <v>254</v>
      </c>
      <c r="B258" s="62">
        <v>15</v>
      </c>
      <c r="C258" s="62" t="str">
        <f>IFERROR(VLOOKUP(Table2[[#This Row],[Code]],'[2]New Machine sheet'!$A$1:$D$101,2,0),0)</f>
        <v>282-15</v>
      </c>
      <c r="D258" s="62" t="str">
        <f>IFERROR(VLOOKUP(Table2[[#This Row],[M/c No]],'[2]New Machine sheet'!$B$1:$D$101,2,0),0)</f>
        <v>Mazak</v>
      </c>
      <c r="E258" s="62" t="str">
        <f>IFERROR(VLOOKUP(Table2[[#This Row],[M/c Name]],'[2]New Machine sheet'!$C$1:$D$101,2,0),0)</f>
        <v>Turning</v>
      </c>
      <c r="F258" s="62">
        <v>187</v>
      </c>
      <c r="G258" s="62">
        <f>IFERROR(VLOOKUP(Table2[[#This Row],[Code2]],'[2]New Machine sheet'!$F$2:$I$64,2,),0)</f>
        <v>24187</v>
      </c>
      <c r="H258" s="62" t="str">
        <f>IFERROR(VLOOKUP(Table2[[#This Row],[Code2]],'[2]New Machine sheet'!$F$2:$I$64,3,0),0)</f>
        <v>RE Bush</v>
      </c>
      <c r="I258" s="62" t="s">
        <v>186</v>
      </c>
      <c r="J258" s="62">
        <v>21</v>
      </c>
      <c r="K258" s="62" t="str">
        <f>IFERROR(VLOOKUP(Table2[[#This Row],[Code3]],'[2]New defect code '!$A$2:$D$129,2,0),0)</f>
        <v>Bush Reject of defective part</v>
      </c>
      <c r="L258" s="62" t="s">
        <v>195</v>
      </c>
      <c r="M258" s="56">
        <v>46266</v>
      </c>
      <c r="N258" s="62">
        <v>4</v>
      </c>
      <c r="O258" s="62"/>
      <c r="P258" s="62"/>
      <c r="Q258" s="62"/>
      <c r="R258" s="62">
        <f>SUBTOTAL(9,Table2[[#This Row],[1st]:[FQC]])</f>
        <v>4</v>
      </c>
      <c r="S258" s="62">
        <f>IFERROR(VLOOKUP(Table2[[#This Row],[Part No.]],'[2]New Machine sheet'!$G$2:$I$90,3,0),0)</f>
        <v>21.77</v>
      </c>
      <c r="T258" s="62">
        <f>Table2[[#This Row],[cost per piece]]*Table2[[#This Row],[Total Rej. qty]]</f>
        <v>87.08</v>
      </c>
      <c r="U258" s="62">
        <f>IFERROR(VLOOKUP(Table2[[#This Row],[Non Conformance]],'[2]New defect code '!$B$2:$C$129,2,0),0)</f>
        <v>0</v>
      </c>
      <c r="V258" s="62">
        <v>6</v>
      </c>
      <c r="W258" s="62" t="str">
        <f>IFERROR(VLOOKUP(Table2[[#This Row],[Code4]],'[2]New Reason code'!$A$2:$D$77,2,0),0)</f>
        <v>bush will not use again</v>
      </c>
      <c r="X258" s="62" t="str">
        <f>IFERROR(VLOOKUP(Table2[[#This Row],[Reason]],'[2]New Reason code'!$B$2:$D$77,2,0),0)</f>
        <v>Prod Declared</v>
      </c>
      <c r="Y258" s="62" t="str">
        <f>IFERROR(VLOOKUP(Table2[[#This Row],[Rejection Identified at]],'[2]New Reason code'!$C$2:$D$77,2,0),0)</f>
        <v>Process Issue</v>
      </c>
    </row>
    <row r="259" spans="1:25" ht="20.25" customHeight="1">
      <c r="A259" s="60">
        <v>255</v>
      </c>
      <c r="B259" s="62">
        <v>19</v>
      </c>
      <c r="C259" s="62" t="str">
        <f>IFERROR(VLOOKUP(Table2[[#This Row],[Code]],'[2]New Machine sheet'!$A$1:$D$101,2,0),0)</f>
        <v>282-19</v>
      </c>
      <c r="D259" s="62" t="str">
        <f>IFERROR(VLOOKUP(Table2[[#This Row],[M/c No]],'[2]New Machine sheet'!$B$1:$D$101,2,0),0)</f>
        <v>Mazak</v>
      </c>
      <c r="E259" s="62" t="str">
        <f>IFERROR(VLOOKUP(Table2[[#This Row],[M/c Name]],'[2]New Machine sheet'!$C$1:$D$101,2,0),0)</f>
        <v>Turning</v>
      </c>
      <c r="F259" s="62">
        <v>122</v>
      </c>
      <c r="G259" s="62">
        <f>IFERROR(VLOOKUP(Table2[[#This Row],[Code2]],'[2]New Machine sheet'!$F$2:$I$64,2,),0)</f>
        <v>24122</v>
      </c>
      <c r="H259" s="62" t="str">
        <f>IFERROR(VLOOKUP(Table2[[#This Row],[Code2]],'[2]New Machine sheet'!$F$2:$I$64,3,0),0)</f>
        <v>RE J1</v>
      </c>
      <c r="I259" s="62" t="s">
        <v>141</v>
      </c>
      <c r="J259" s="62">
        <v>5</v>
      </c>
      <c r="K259" s="62" t="str">
        <f>IFERROR(VLOOKUP(Table2[[#This Row],[Code3]],'[2]New defect code '!$A$2:$D$129,2,0),0)</f>
        <v>Bore Over size</v>
      </c>
      <c r="L259" s="62" t="s">
        <v>195</v>
      </c>
      <c r="M259" s="56">
        <v>46266</v>
      </c>
      <c r="N259" s="62">
        <v>1</v>
      </c>
      <c r="O259" s="62"/>
      <c r="P259" s="62"/>
      <c r="Q259" s="62"/>
      <c r="R259" s="62">
        <f>SUBTOTAL(9,Table2[[#This Row],[1st]:[FQC]])</f>
        <v>1</v>
      </c>
      <c r="S259" s="62">
        <f>IFERROR(VLOOKUP(Table2[[#This Row],[Part No.]],'[2]New Machine sheet'!$G$2:$I$90,3,0),0)</f>
        <v>335.39977528089889</v>
      </c>
      <c r="T259" s="62">
        <f>Table2[[#This Row],[cost per piece]]*Table2[[#This Row],[Total Rej. qty]]</f>
        <v>335.39977528089889</v>
      </c>
      <c r="U259" s="62">
        <f>IFERROR(VLOOKUP(Table2[[#This Row],[Non Conformance]],'[2]New defect code '!$B$2:$C$129,2,0),0)</f>
        <v>3243</v>
      </c>
      <c r="V259" s="62">
        <v>12</v>
      </c>
      <c r="W259" s="62" t="str">
        <f>IFERROR(VLOOKUP(Table2[[#This Row],[Code4]],'[2]New Reason code'!$A$2:$D$77,2,0),0)</f>
        <v>Double loading</v>
      </c>
      <c r="X259" s="62" t="str">
        <f>IFERROR(VLOOKUP(Table2[[#This Row],[Reason]],'[2]New Reason code'!$B$2:$D$77,2,0),0)</f>
        <v>Due to operator</v>
      </c>
      <c r="Y259" s="62" t="str">
        <f>IFERROR(VLOOKUP(Table2[[#This Row],[Rejection Identified at]],'[2]New Reason code'!$C$2:$D$77,2,0),0)</f>
        <v xml:space="preserve">infrastructure </v>
      </c>
    </row>
    <row r="260" spans="1:25" ht="20.25" customHeight="1">
      <c r="A260" s="50">
        <v>256</v>
      </c>
      <c r="B260" s="62">
        <v>6</v>
      </c>
      <c r="C260" s="62" t="str">
        <f>IFERROR(VLOOKUP(Table2[[#This Row],[Code]],'[2]New Machine sheet'!$A$1:$D$101,2,0),0)</f>
        <v>282-06</v>
      </c>
      <c r="D260" s="62" t="str">
        <f>IFERROR(VLOOKUP(Table2[[#This Row],[M/c No]],'[2]New Machine sheet'!$B$1:$D$101,2,0),0)</f>
        <v>Mazak</v>
      </c>
      <c r="E260" s="62" t="str">
        <f>IFERROR(VLOOKUP(Table2[[#This Row],[M/c Name]],'[2]New Machine sheet'!$C$1:$D$101,2,0),0)</f>
        <v>Turning</v>
      </c>
      <c r="F260" s="62">
        <v>178</v>
      </c>
      <c r="G260" s="62">
        <f>IFERROR(VLOOKUP(Table2[[#This Row],[Code2]],'[2]New Machine sheet'!$F$2:$I$64,2,),0)</f>
        <v>24178</v>
      </c>
      <c r="H260" s="62" t="str">
        <f>IFERROR(VLOOKUP(Table2[[#This Row],[Code2]],'[2]New Machine sheet'!$F$2:$I$64,3,0),0)</f>
        <v>RE J1</v>
      </c>
      <c r="I260" s="62" t="s">
        <v>179</v>
      </c>
      <c r="J260" s="62">
        <v>5</v>
      </c>
      <c r="K260" s="62" t="str">
        <f>IFERROR(VLOOKUP(Table2[[#This Row],[Code3]],'[2]New defect code '!$A$2:$D$129,2,0),0)</f>
        <v>Bore Over size</v>
      </c>
      <c r="L260" s="62" t="s">
        <v>195</v>
      </c>
      <c r="M260" s="56">
        <v>46266</v>
      </c>
      <c r="N260" s="62">
        <v>1</v>
      </c>
      <c r="O260" s="62"/>
      <c r="P260" s="62"/>
      <c r="Q260" s="62"/>
      <c r="R260" s="62">
        <f>SUBTOTAL(9,Table2[[#This Row],[1st]:[FQC]])</f>
        <v>1</v>
      </c>
      <c r="S260" s="62">
        <f>IFERROR(VLOOKUP(Table2[[#This Row],[Part No.]],'[2]New Machine sheet'!$G$2:$I$90,3,0),0)</f>
        <v>70.62</v>
      </c>
      <c r="T260" s="62">
        <f>Table2[[#This Row],[cost per piece]]*Table2[[#This Row],[Total Rej. qty]]</f>
        <v>70.62</v>
      </c>
      <c r="U260" s="62">
        <f>IFERROR(VLOOKUP(Table2[[#This Row],[Non Conformance]],'[2]New defect code '!$B$2:$C$129,2,0),0)</f>
        <v>3243</v>
      </c>
      <c r="V260" s="62">
        <v>18</v>
      </c>
      <c r="W260" s="62" t="str">
        <f>IFERROR(VLOOKUP(Table2[[#This Row],[Code4]],'[2]New Reason code'!$A$2:$D$77,2,0),0)</f>
        <v>During insert change</v>
      </c>
      <c r="X260" s="62" t="str">
        <f>IFERROR(VLOOKUP(Table2[[#This Row],[Reason]],'[2]New Reason code'!$B$2:$D$77,2,0),0)</f>
        <v xml:space="preserve">Due to Settup  </v>
      </c>
      <c r="Y260" s="62" t="str">
        <f>IFERROR(VLOOKUP(Table2[[#This Row],[Rejection Identified at]],'[2]New Reason code'!$C$2:$D$77,2,0),0)</f>
        <v>skill</v>
      </c>
    </row>
    <row r="261" spans="1:25" ht="20.25" customHeight="1">
      <c r="A261" s="60">
        <v>257</v>
      </c>
      <c r="B261" s="62">
        <v>10</v>
      </c>
      <c r="C261" s="62" t="str">
        <f>IFERROR(VLOOKUP(Table2[[#This Row],[Code]],'[2]New Machine sheet'!$A$1:$D$101,2,0),0)</f>
        <v>282-10</v>
      </c>
      <c r="D261" s="62" t="str">
        <f>IFERROR(VLOOKUP(Table2[[#This Row],[M/c No]],'[2]New Machine sheet'!$B$1:$D$101,2,0),0)</f>
        <v>Mazak</v>
      </c>
      <c r="E261" s="62" t="str">
        <f>IFERROR(VLOOKUP(Table2[[#This Row],[M/c Name]],'[2]New Machine sheet'!$C$1:$D$101,2,0),0)</f>
        <v>Turning</v>
      </c>
      <c r="F261" s="62">
        <v>155</v>
      </c>
      <c r="G261" s="62">
        <f>IFERROR(VLOOKUP(Table2[[#This Row],[Code2]],'[2]New Machine sheet'!$F$2:$I$64,2,),0)</f>
        <v>24155</v>
      </c>
      <c r="H261" s="62" t="str">
        <f>IFERROR(VLOOKUP(Table2[[#This Row],[Code2]],'[2]New Machine sheet'!$F$2:$I$64,3,0),0)</f>
        <v>RE J1</v>
      </c>
      <c r="I261" s="62" t="s">
        <v>153</v>
      </c>
      <c r="J261" s="62">
        <v>5</v>
      </c>
      <c r="K261" s="62" t="str">
        <f>IFERROR(VLOOKUP(Table2[[#This Row],[Code3]],'[2]New defect code '!$A$2:$D$129,2,0),0)</f>
        <v>Bore Over size</v>
      </c>
      <c r="L261" s="62" t="s">
        <v>195</v>
      </c>
      <c r="M261" s="56">
        <v>46266</v>
      </c>
      <c r="N261" s="62">
        <v>5</v>
      </c>
      <c r="O261" s="62"/>
      <c r="P261" s="62"/>
      <c r="Q261" s="62"/>
      <c r="R261" s="62">
        <f>SUBTOTAL(9,Table2[[#This Row],[1st]:[FQC]])</f>
        <v>5</v>
      </c>
      <c r="S261" s="62">
        <f>IFERROR(VLOOKUP(Table2[[#This Row],[Part No.]],'[2]New Machine sheet'!$G$2:$I$90,3,0),0)</f>
        <v>107.67</v>
      </c>
      <c r="T261" s="62">
        <f>Table2[[#This Row],[cost per piece]]*Table2[[#This Row],[Total Rej. qty]]</f>
        <v>538.35</v>
      </c>
      <c r="U261" s="62">
        <f>IFERROR(VLOOKUP(Table2[[#This Row],[Non Conformance]],'[2]New defect code '!$B$2:$C$129,2,0),0)</f>
        <v>3243</v>
      </c>
      <c r="V261" s="62">
        <v>42</v>
      </c>
      <c r="W261" s="62" t="str">
        <f>IFERROR(VLOOKUP(Table2[[#This Row],[Code4]],'[2]New Reason code'!$A$2:$D$77,2,0),0)</f>
        <v>part not checked by operator</v>
      </c>
      <c r="X261" s="62" t="str">
        <f>IFERROR(VLOOKUP(Table2[[#This Row],[Reason]],'[2]New Reason code'!$B$2:$D$77,2,0),0)</f>
        <v>Line audit</v>
      </c>
      <c r="Y261" s="62" t="str">
        <f>IFERROR(VLOOKUP(Table2[[#This Row],[Rejection Identified at]],'[2]New Reason code'!$C$2:$D$77,2,0),0)</f>
        <v>Process Issue</v>
      </c>
    </row>
    <row r="262" spans="1:25" ht="20.25" customHeight="1">
      <c r="A262" s="60">
        <v>258</v>
      </c>
      <c r="B262" s="62">
        <v>14</v>
      </c>
      <c r="C262" s="62" t="str">
        <f>IFERROR(VLOOKUP(Table2[[#This Row],[Code]],'[2]New Machine sheet'!$A$1:$D$101,2,0),0)</f>
        <v>282-14</v>
      </c>
      <c r="D262" s="62" t="str">
        <f>IFERROR(VLOOKUP(Table2[[#This Row],[M/c No]],'[2]New Machine sheet'!$B$1:$D$101,2,0),0)</f>
        <v>Mazak</v>
      </c>
      <c r="E262" s="62" t="str">
        <f>IFERROR(VLOOKUP(Table2[[#This Row],[M/c Name]],'[2]New Machine sheet'!$C$1:$D$101,2,0),0)</f>
        <v>Turning</v>
      </c>
      <c r="F262" s="62">
        <v>155</v>
      </c>
      <c r="G262" s="62">
        <f>IFERROR(VLOOKUP(Table2[[#This Row],[Code2]],'[2]New Machine sheet'!$F$2:$I$64,2,),0)</f>
        <v>24155</v>
      </c>
      <c r="H262" s="62" t="str">
        <f>IFERROR(VLOOKUP(Table2[[#This Row],[Code2]],'[2]New Machine sheet'!$F$2:$I$64,3,0),0)</f>
        <v>RE J1</v>
      </c>
      <c r="I262" s="62" t="s">
        <v>153</v>
      </c>
      <c r="J262" s="62">
        <v>5</v>
      </c>
      <c r="K262" s="62" t="str">
        <f>IFERROR(VLOOKUP(Table2[[#This Row],[Code3]],'[2]New defect code '!$A$2:$D$129,2,0),0)</f>
        <v>Bore Over size</v>
      </c>
      <c r="L262" s="62" t="s">
        <v>195</v>
      </c>
      <c r="M262" s="56">
        <v>46266</v>
      </c>
      <c r="N262" s="62">
        <v>8</v>
      </c>
      <c r="O262" s="62"/>
      <c r="P262" s="62"/>
      <c r="Q262" s="62"/>
      <c r="R262" s="62">
        <f>SUBTOTAL(9,Table2[[#This Row],[1st]:[FQC]])</f>
        <v>8</v>
      </c>
      <c r="S262" s="62">
        <f>IFERROR(VLOOKUP(Table2[[#This Row],[Part No.]],'[2]New Machine sheet'!$G$2:$I$90,3,0),0)</f>
        <v>107.67</v>
      </c>
      <c r="T262" s="62">
        <f>Table2[[#This Row],[cost per piece]]*Table2[[#This Row],[Total Rej. qty]]</f>
        <v>861.36</v>
      </c>
      <c r="U262" s="62">
        <f>IFERROR(VLOOKUP(Table2[[#This Row],[Non Conformance]],'[2]New defect code '!$B$2:$C$129,2,0),0)</f>
        <v>3243</v>
      </c>
      <c r="V262" s="62">
        <v>19</v>
      </c>
      <c r="W262" s="62" t="str">
        <f>IFERROR(VLOOKUP(Table2[[#This Row],[Code4]],'[2]New Reason code'!$A$2:$D$77,2,0),0)</f>
        <v>During Rework time</v>
      </c>
      <c r="X262" s="62" t="str">
        <f>IFERROR(VLOOKUP(Table2[[#This Row],[Reason]],'[2]New Reason code'!$B$2:$D$77,2,0),0)</f>
        <v>Due to operator</v>
      </c>
      <c r="Y262" s="62" t="str">
        <f>IFERROR(VLOOKUP(Table2[[#This Row],[Rejection Identified at]],'[2]New Reason code'!$C$2:$D$77,2,0),0)</f>
        <v xml:space="preserve">infrastructure </v>
      </c>
    </row>
    <row r="263" spans="1:25" ht="20.25" customHeight="1">
      <c r="A263" s="50">
        <v>259</v>
      </c>
      <c r="B263" s="62">
        <v>14</v>
      </c>
      <c r="C263" s="62" t="str">
        <f>IFERROR(VLOOKUP(Table2[[#This Row],[Code]],'[2]New Machine sheet'!$A$1:$D$101,2,0),0)</f>
        <v>282-14</v>
      </c>
      <c r="D263" s="62" t="str">
        <f>IFERROR(VLOOKUP(Table2[[#This Row],[M/c No]],'[2]New Machine sheet'!$B$1:$D$101,2,0),0)</f>
        <v>Mazak</v>
      </c>
      <c r="E263" s="62" t="str">
        <f>IFERROR(VLOOKUP(Table2[[#This Row],[M/c Name]],'[2]New Machine sheet'!$C$1:$D$101,2,0),0)</f>
        <v>Turning</v>
      </c>
      <c r="F263" s="62">
        <v>155</v>
      </c>
      <c r="G263" s="62">
        <f>IFERROR(VLOOKUP(Table2[[#This Row],[Code2]],'[2]New Machine sheet'!$F$2:$I$64,2,),0)</f>
        <v>24155</v>
      </c>
      <c r="H263" s="62" t="str">
        <f>IFERROR(VLOOKUP(Table2[[#This Row],[Code2]],'[2]New Machine sheet'!$F$2:$I$64,3,0),0)</f>
        <v>RE J1</v>
      </c>
      <c r="I263" s="62" t="s">
        <v>153</v>
      </c>
      <c r="J263" s="62">
        <v>93</v>
      </c>
      <c r="K263" s="62" t="str">
        <f>IFERROR(VLOOKUP(Table2[[#This Row],[Code3]],'[2]New defect code '!$A$2:$D$129,2,0),0)</f>
        <v>Thickness Under size</v>
      </c>
      <c r="L263" s="62" t="s">
        <v>195</v>
      </c>
      <c r="M263" s="56">
        <v>46266</v>
      </c>
      <c r="N263" s="62">
        <v>1</v>
      </c>
      <c r="O263" s="62"/>
      <c r="P263" s="62"/>
      <c r="Q263" s="62"/>
      <c r="R263" s="62">
        <f>SUBTOTAL(9,Table2[[#This Row],[1st]:[FQC]])</f>
        <v>1</v>
      </c>
      <c r="S263" s="62">
        <f>IFERROR(VLOOKUP(Table2[[#This Row],[Part No.]],'[2]New Machine sheet'!$G$2:$I$90,3,0),0)</f>
        <v>107.67</v>
      </c>
      <c r="T263" s="62">
        <f>Table2[[#This Row],[cost per piece]]*Table2[[#This Row],[Total Rej. qty]]</f>
        <v>107.67</v>
      </c>
      <c r="U263" s="62">
        <f>IFERROR(VLOOKUP(Table2[[#This Row],[Non Conformance]],'[2]New defect code '!$B$2:$C$129,2,0),0)</f>
        <v>3258</v>
      </c>
      <c r="V263" s="62">
        <v>70</v>
      </c>
      <c r="W263" s="62" t="str">
        <f>IFERROR(VLOOKUP(Table2[[#This Row],[Code4]],'[2]New Reason code'!$A$2:$D$77,2,0),0)</f>
        <v>Insert Wear Out</v>
      </c>
      <c r="X263" s="62" t="str">
        <f>IFERROR(VLOOKUP(Table2[[#This Row],[Reason]],'[2]New Reason code'!$B$2:$D$77,2,0),0)</f>
        <v>Line audit</v>
      </c>
      <c r="Y263" s="62" t="str">
        <f>IFERROR(VLOOKUP(Table2[[#This Row],[Rejection Identified at]],'[2]New Reason code'!$C$2:$D$77,2,0),0)</f>
        <v>Process Issue</v>
      </c>
    </row>
    <row r="264" spans="1:25" ht="20.25" customHeight="1">
      <c r="A264" s="60">
        <v>260</v>
      </c>
      <c r="B264" s="62">
        <v>18</v>
      </c>
      <c r="C264" s="62" t="str">
        <f>IFERROR(VLOOKUP(Table2[[#This Row],[Code]],'[2]New Machine sheet'!$A$1:$D$101,2,0),0)</f>
        <v>282-18</v>
      </c>
      <c r="D264" s="62" t="str">
        <f>IFERROR(VLOOKUP(Table2[[#This Row],[M/c No]],'[2]New Machine sheet'!$B$1:$D$101,2,0),0)</f>
        <v>Mazak</v>
      </c>
      <c r="E264" s="62" t="str">
        <f>IFERROR(VLOOKUP(Table2[[#This Row],[M/c Name]],'[2]New Machine sheet'!$C$1:$D$101,2,0),0)</f>
        <v>Turning</v>
      </c>
      <c r="F264" s="62">
        <v>178</v>
      </c>
      <c r="G264" s="62">
        <f>IFERROR(VLOOKUP(Table2[[#This Row],[Code2]],'[2]New Machine sheet'!$F$2:$I$64,2,),0)</f>
        <v>24178</v>
      </c>
      <c r="H264" s="62" t="str">
        <f>IFERROR(VLOOKUP(Table2[[#This Row],[Code2]],'[2]New Machine sheet'!$F$2:$I$64,3,0),0)</f>
        <v>RE J1</v>
      </c>
      <c r="I264" s="62" t="s">
        <v>179</v>
      </c>
      <c r="J264" s="62">
        <v>5</v>
      </c>
      <c r="K264" s="62" t="str">
        <f>IFERROR(VLOOKUP(Table2[[#This Row],[Code3]],'[2]New defect code '!$A$2:$D$129,2,0),0)</f>
        <v>Bore Over size</v>
      </c>
      <c r="L264" s="62" t="s">
        <v>195</v>
      </c>
      <c r="M264" s="56">
        <v>46266</v>
      </c>
      <c r="N264" s="62">
        <v>4</v>
      </c>
      <c r="O264" s="62"/>
      <c r="P264" s="62"/>
      <c r="Q264" s="62"/>
      <c r="R264" s="62">
        <f>SUBTOTAL(9,Table2[[#This Row],[1st]:[FQC]])</f>
        <v>4</v>
      </c>
      <c r="S264" s="62">
        <f>IFERROR(VLOOKUP(Table2[[#This Row],[Part No.]],'[2]New Machine sheet'!$G$2:$I$90,3,0),0)</f>
        <v>70.62</v>
      </c>
      <c r="T264" s="62">
        <f>Table2[[#This Row],[cost per piece]]*Table2[[#This Row],[Total Rej. qty]]</f>
        <v>282.48</v>
      </c>
      <c r="U264" s="62">
        <f>IFERROR(VLOOKUP(Table2[[#This Row],[Non Conformance]],'[2]New defect code '!$B$2:$C$129,2,0),0)</f>
        <v>3243</v>
      </c>
      <c r="V264" s="62">
        <v>45</v>
      </c>
      <c r="W264" s="62" t="str">
        <f>IFERROR(VLOOKUP(Table2[[#This Row],[Code4]],'[2]New Reason code'!$A$2:$D$77,2,0),0)</f>
        <v>Running m/c</v>
      </c>
      <c r="X264" s="62" t="str">
        <f>IFERROR(VLOOKUP(Table2[[#This Row],[Reason]],'[2]New Reason code'!$B$2:$D$77,2,0),0)</f>
        <v xml:space="preserve">Due to machine </v>
      </c>
      <c r="Y264" s="62" t="str">
        <f>IFERROR(VLOOKUP(Table2[[#This Row],[Rejection Identified at]],'[2]New Reason code'!$C$2:$D$77,2,0),0)</f>
        <v>process</v>
      </c>
    </row>
    <row r="265" spans="1:25" ht="20.25" customHeight="1">
      <c r="A265" s="60">
        <v>261</v>
      </c>
      <c r="B265" s="62">
        <v>43</v>
      </c>
      <c r="C265" s="62" t="str">
        <f>IFERROR(VLOOKUP(Table2[[#This Row],[Code]],'[2]New Machine sheet'!$A$1:$D$101,2,0),0)</f>
        <v>252-05</v>
      </c>
      <c r="D265" s="62" t="str">
        <f>IFERROR(VLOOKUP(Table2[[#This Row],[M/c No]],'[2]New Machine sheet'!$B$1:$D$101,2,0),0)</f>
        <v>VMC</v>
      </c>
      <c r="E265" s="62" t="str">
        <f>IFERROR(VLOOKUP(Table2[[#This Row],[M/c Name]],'[2]New Machine sheet'!$C$1:$D$101,2,0),0)</f>
        <v>VMC</v>
      </c>
      <c r="F265" s="62">
        <v>155</v>
      </c>
      <c r="G265" s="62">
        <f>IFERROR(VLOOKUP(Table2[[#This Row],[Code2]],'[2]New Machine sheet'!$F$2:$I$64,2,),0)</f>
        <v>24155</v>
      </c>
      <c r="H265" s="62" t="str">
        <f>IFERROR(VLOOKUP(Table2[[#This Row],[Code2]],'[2]New Machine sheet'!$F$2:$I$64,3,0),0)</f>
        <v>RE J1</v>
      </c>
      <c r="I265" s="62" t="s">
        <v>119</v>
      </c>
      <c r="J265" s="62">
        <v>32</v>
      </c>
      <c r="K265" s="62" t="str">
        <f>IFERROR(VLOOKUP(Table2[[#This Row],[Code3]],'[2]New defect code '!$A$2:$D$129,2,0),0)</f>
        <v>Double Dot Punching</v>
      </c>
      <c r="L265" s="62" t="s">
        <v>195</v>
      </c>
      <c r="M265" s="56">
        <v>46266</v>
      </c>
      <c r="N265" s="62">
        <v>13</v>
      </c>
      <c r="O265" s="62"/>
      <c r="P265" s="62"/>
      <c r="Q265" s="62"/>
      <c r="R265" s="62">
        <f>SUBTOTAL(9,Table2[[#This Row],[1st]:[FQC]])</f>
        <v>13</v>
      </c>
      <c r="S265" s="62">
        <f>IFERROR(VLOOKUP(Table2[[#This Row],[Part No.]],'[2]New Machine sheet'!$G$2:$I$90,3,0),0)</f>
        <v>107.67</v>
      </c>
      <c r="T265" s="62">
        <f>Table2[[#This Row],[cost per piece]]*Table2[[#This Row],[Total Rej. qty]]</f>
        <v>1399.71</v>
      </c>
      <c r="U265" s="62">
        <f>IFERROR(VLOOKUP(Table2[[#This Row],[Non Conformance]],'[2]New defect code '!$B$2:$C$129,2,0),0)</f>
        <v>0</v>
      </c>
      <c r="V265" s="62">
        <v>19</v>
      </c>
      <c r="W265" s="62" t="str">
        <f>IFERROR(VLOOKUP(Table2[[#This Row],[Code4]],'[2]New Reason code'!$A$2:$D$77,2,0),0)</f>
        <v>During Rework time</v>
      </c>
      <c r="X265" s="62" t="str">
        <f>IFERROR(VLOOKUP(Table2[[#This Row],[Reason]],'[2]New Reason code'!$B$2:$D$77,2,0),0)</f>
        <v>Due to operator</v>
      </c>
      <c r="Y265" s="62" t="str">
        <f>IFERROR(VLOOKUP(Table2[[#This Row],[Rejection Identified at]],'[2]New Reason code'!$C$2:$D$77,2,0),0)</f>
        <v xml:space="preserve">infrastructure </v>
      </c>
    </row>
    <row r="266" spans="1:25" ht="20.25" customHeight="1">
      <c r="A266" s="50">
        <v>262</v>
      </c>
      <c r="B266" s="62">
        <v>3</v>
      </c>
      <c r="C266" s="62" t="str">
        <f>IFERROR(VLOOKUP(Table2[[#This Row],[Code]],'[2]New Machine sheet'!$A$1:$D$101,2,0),0)</f>
        <v>282-03</v>
      </c>
      <c r="D266" s="62" t="str">
        <f>IFERROR(VLOOKUP(Table2[[#This Row],[M/c No]],'[2]New Machine sheet'!$B$1:$D$101,2,0),0)</f>
        <v>Mazak</v>
      </c>
      <c r="E266" s="62" t="str">
        <f>IFERROR(VLOOKUP(Table2[[#This Row],[M/c Name]],'[2]New Machine sheet'!$C$1:$D$101,2,0),0)</f>
        <v>Turning</v>
      </c>
      <c r="F266" s="62">
        <v>178</v>
      </c>
      <c r="G266" s="62">
        <f>IFERROR(VLOOKUP(Table2[[#This Row],[Code2]],'[2]New Machine sheet'!$F$2:$I$64,2,),0)</f>
        <v>24178</v>
      </c>
      <c r="H266" s="62" t="str">
        <f>IFERROR(VLOOKUP(Table2[[#This Row],[Code2]],'[2]New Machine sheet'!$F$2:$I$64,3,0),0)</f>
        <v>RE J1</v>
      </c>
      <c r="I266" s="62" t="s">
        <v>196</v>
      </c>
      <c r="J266" s="62">
        <v>5</v>
      </c>
      <c r="K266" s="62" t="str">
        <f>IFERROR(VLOOKUP(Table2[[#This Row],[Code3]],'[2]New defect code '!$A$2:$D$129,2,0),0)</f>
        <v>Bore Over size</v>
      </c>
      <c r="L266" s="62" t="s">
        <v>195</v>
      </c>
      <c r="M266" s="56">
        <v>46266</v>
      </c>
      <c r="N266" s="62">
        <v>1</v>
      </c>
      <c r="O266" s="62"/>
      <c r="P266" s="62"/>
      <c r="Q266" s="62"/>
      <c r="R266" s="62">
        <f>SUBTOTAL(9,Table2[[#This Row],[1st]:[FQC]])</f>
        <v>1</v>
      </c>
      <c r="S266" s="62">
        <f>IFERROR(VLOOKUP(Table2[[#This Row],[Part No.]],'[2]New Machine sheet'!$G$2:$I$90,3,0),0)</f>
        <v>70.62</v>
      </c>
      <c r="T266" s="62">
        <f>Table2[[#This Row],[cost per piece]]*Table2[[#This Row],[Total Rej. qty]]</f>
        <v>70.62</v>
      </c>
      <c r="U266" s="62">
        <f>IFERROR(VLOOKUP(Table2[[#This Row],[Non Conformance]],'[2]New defect code '!$B$2:$C$129,2,0),0)</f>
        <v>3243</v>
      </c>
      <c r="V266" s="62">
        <v>45</v>
      </c>
      <c r="W266" s="62" t="str">
        <f>IFERROR(VLOOKUP(Table2[[#This Row],[Code4]],'[2]New Reason code'!$A$2:$D$77,2,0),0)</f>
        <v>Running m/c</v>
      </c>
      <c r="X266" s="62" t="str">
        <f>IFERROR(VLOOKUP(Table2[[#This Row],[Reason]],'[2]New Reason code'!$B$2:$D$77,2,0),0)</f>
        <v xml:space="preserve">Due to machine </v>
      </c>
      <c r="Y266" s="62" t="str">
        <f>IFERROR(VLOOKUP(Table2[[#This Row],[Rejection Identified at]],'[2]New Reason code'!$C$2:$D$77,2,0),0)</f>
        <v>process</v>
      </c>
    </row>
    <row r="267" spans="1:25" ht="20.25" customHeight="1">
      <c r="A267" s="60">
        <v>263</v>
      </c>
      <c r="B267" s="62">
        <v>15</v>
      </c>
      <c r="C267" s="62" t="str">
        <f>IFERROR(VLOOKUP(Table2[[#This Row],[Code]],'[2]New Machine sheet'!$A$1:$D$101,2,0),0)</f>
        <v>282-15</v>
      </c>
      <c r="D267" s="62" t="str">
        <f>IFERROR(VLOOKUP(Table2[[#This Row],[M/c No]],'[2]New Machine sheet'!$B$1:$D$101,2,0),0)</f>
        <v>Mazak</v>
      </c>
      <c r="E267" s="62" t="str">
        <f>IFERROR(VLOOKUP(Table2[[#This Row],[M/c Name]],'[2]New Machine sheet'!$C$1:$D$101,2,0),0)</f>
        <v>Turning</v>
      </c>
      <c r="F267" s="62">
        <v>122</v>
      </c>
      <c r="G267" s="62">
        <f>IFERROR(VLOOKUP(Table2[[#This Row],[Code2]],'[2]New Machine sheet'!$F$2:$I$64,2,),0)</f>
        <v>24122</v>
      </c>
      <c r="H267" s="62" t="str">
        <f>IFERROR(VLOOKUP(Table2[[#This Row],[Code2]],'[2]New Machine sheet'!$F$2:$I$64,3,0),0)</f>
        <v>RE J1</v>
      </c>
      <c r="I267" s="62"/>
      <c r="J267" s="62">
        <v>66</v>
      </c>
      <c r="K267" s="62" t="str">
        <f>IFERROR(VLOOKUP(Table2[[#This Row],[Code3]],'[2]New defect code '!$A$2:$D$129,2,0),0)</f>
        <v>OD Under Size</v>
      </c>
      <c r="L267" s="62" t="s">
        <v>195</v>
      </c>
      <c r="M267" s="56">
        <v>46266</v>
      </c>
      <c r="N267" s="62">
        <v>10</v>
      </c>
      <c r="O267" s="62"/>
      <c r="P267" s="62"/>
      <c r="Q267" s="62"/>
      <c r="R267" s="62">
        <f>SUBTOTAL(9,Table2[[#This Row],[1st]:[FQC]])</f>
        <v>10</v>
      </c>
      <c r="S267" s="62">
        <f>IFERROR(VLOOKUP(Table2[[#This Row],[Part No.]],'[2]New Machine sheet'!$G$2:$I$90,3,0),0)</f>
        <v>335.39977528089889</v>
      </c>
      <c r="T267" s="62">
        <f>Table2[[#This Row],[cost per piece]]*Table2[[#This Row],[Total Rej. qty]]</f>
        <v>3353.9977528089889</v>
      </c>
      <c r="U267" s="62">
        <f>IFERROR(VLOOKUP(Table2[[#This Row],[Non Conformance]],'[2]New defect code '!$B$2:$C$129,2,0),0)</f>
        <v>3242</v>
      </c>
      <c r="V267" s="62">
        <v>19</v>
      </c>
      <c r="W267" s="62" t="str">
        <f>IFERROR(VLOOKUP(Table2[[#This Row],[Code4]],'[2]New Reason code'!$A$2:$D$77,2,0),0)</f>
        <v>During Rework time</v>
      </c>
      <c r="X267" s="62" t="str">
        <f>IFERROR(VLOOKUP(Table2[[#This Row],[Reason]],'[2]New Reason code'!$B$2:$D$77,2,0),0)</f>
        <v>Due to operator</v>
      </c>
      <c r="Y267" s="62" t="str">
        <f>IFERROR(VLOOKUP(Table2[[#This Row],[Rejection Identified at]],'[2]New Reason code'!$C$2:$D$77,2,0),0)</f>
        <v xml:space="preserve">infrastructure </v>
      </c>
    </row>
    <row r="268" spans="1:25" ht="20.25" customHeight="1">
      <c r="A268" s="60">
        <v>264</v>
      </c>
      <c r="B268" s="62">
        <v>15</v>
      </c>
      <c r="C268" s="62" t="str">
        <f>IFERROR(VLOOKUP(Table2[[#This Row],[Code]],'[2]New Machine sheet'!$A$1:$D$101,2,0),0)</f>
        <v>282-15</v>
      </c>
      <c r="D268" s="62" t="str">
        <f>IFERROR(VLOOKUP(Table2[[#This Row],[M/c No]],'[2]New Machine sheet'!$B$1:$D$101,2,0),0)</f>
        <v>Mazak</v>
      </c>
      <c r="E268" s="62" t="str">
        <f>IFERROR(VLOOKUP(Table2[[#This Row],[M/c Name]],'[2]New Machine sheet'!$C$1:$D$101,2,0),0)</f>
        <v>Turning</v>
      </c>
      <c r="F268" s="62">
        <v>122</v>
      </c>
      <c r="G268" s="62">
        <f>IFERROR(VLOOKUP(Table2[[#This Row],[Code2]],'[2]New Machine sheet'!$F$2:$I$64,2,),0)</f>
        <v>24122</v>
      </c>
      <c r="H268" s="62" t="str">
        <f>IFERROR(VLOOKUP(Table2[[#This Row],[Code2]],'[2]New Machine sheet'!$F$2:$I$64,3,0),0)</f>
        <v>RE J1</v>
      </c>
      <c r="I268" s="62"/>
      <c r="J268" s="62">
        <v>93</v>
      </c>
      <c r="K268" s="62" t="str">
        <f>IFERROR(VLOOKUP(Table2[[#This Row],[Code3]],'[2]New defect code '!$A$2:$D$129,2,0),0)</f>
        <v>Thickness Under size</v>
      </c>
      <c r="L268" s="62" t="s">
        <v>195</v>
      </c>
      <c r="M268" s="56">
        <v>46266</v>
      </c>
      <c r="N268" s="62">
        <v>10</v>
      </c>
      <c r="O268" s="62"/>
      <c r="P268" s="62"/>
      <c r="Q268" s="62"/>
      <c r="R268" s="62">
        <f>SUBTOTAL(9,Table2[[#This Row],[1st]:[FQC]])</f>
        <v>10</v>
      </c>
      <c r="S268" s="62">
        <f>IFERROR(VLOOKUP(Table2[[#This Row],[Part No.]],'[2]New Machine sheet'!$G$2:$I$90,3,0),0)</f>
        <v>335.39977528089889</v>
      </c>
      <c r="T268" s="62">
        <f>Table2[[#This Row],[cost per piece]]*Table2[[#This Row],[Total Rej. qty]]</f>
        <v>3353.9977528089889</v>
      </c>
      <c r="U268" s="62">
        <f>IFERROR(VLOOKUP(Table2[[#This Row],[Non Conformance]],'[2]New defect code '!$B$2:$C$129,2,0),0)</f>
        <v>3258</v>
      </c>
      <c r="V268" s="62">
        <v>19</v>
      </c>
      <c r="W268" s="62" t="str">
        <f>IFERROR(VLOOKUP(Table2[[#This Row],[Code4]],'[2]New Reason code'!$A$2:$D$77,2,0),0)</f>
        <v>During Rework time</v>
      </c>
      <c r="X268" s="62" t="str">
        <f>IFERROR(VLOOKUP(Table2[[#This Row],[Reason]],'[2]New Reason code'!$B$2:$D$77,2,0),0)</f>
        <v>Due to operator</v>
      </c>
      <c r="Y268" s="62" t="str">
        <f>IFERROR(VLOOKUP(Table2[[#This Row],[Rejection Identified at]],'[2]New Reason code'!$C$2:$D$77,2,0),0)</f>
        <v xml:space="preserve">infrastructure </v>
      </c>
    </row>
    <row r="269" spans="1:25" ht="20.25" customHeight="1">
      <c r="A269" s="50">
        <v>265</v>
      </c>
      <c r="B269" s="62">
        <v>15</v>
      </c>
      <c r="C269" s="62" t="str">
        <f>IFERROR(VLOOKUP(Table2[[#This Row],[Code]],'[2]New Machine sheet'!$A$1:$D$101,2,0),0)</f>
        <v>282-15</v>
      </c>
      <c r="D269" s="62" t="str">
        <f>IFERROR(VLOOKUP(Table2[[#This Row],[M/c No]],'[2]New Machine sheet'!$B$1:$D$101,2,0),0)</f>
        <v>Mazak</v>
      </c>
      <c r="E269" s="62" t="str">
        <f>IFERROR(VLOOKUP(Table2[[#This Row],[M/c Name]],'[2]New Machine sheet'!$C$1:$D$101,2,0),0)</f>
        <v>Turning</v>
      </c>
      <c r="F269" s="62">
        <v>187</v>
      </c>
      <c r="G269" s="62">
        <f>IFERROR(VLOOKUP(Table2[[#This Row],[Code2]],'[2]New Machine sheet'!$F$2:$I$64,2,),0)</f>
        <v>24187</v>
      </c>
      <c r="H269" s="62" t="str">
        <f>IFERROR(VLOOKUP(Table2[[#This Row],[Code2]],'[2]New Machine sheet'!$F$2:$I$64,3,0),0)</f>
        <v>RE Bush</v>
      </c>
      <c r="I269" s="62" t="s">
        <v>197</v>
      </c>
      <c r="J269" s="62">
        <v>21</v>
      </c>
      <c r="K269" s="62" t="str">
        <f>IFERROR(VLOOKUP(Table2[[#This Row],[Code3]],'[2]New defect code '!$A$2:$D$129,2,0),0)</f>
        <v>Bush Reject of defective part</v>
      </c>
      <c r="L269" s="62" t="s">
        <v>195</v>
      </c>
      <c r="M269" s="56">
        <v>46266</v>
      </c>
      <c r="N269" s="62">
        <v>120</v>
      </c>
      <c r="O269" s="62"/>
      <c r="P269" s="62"/>
      <c r="Q269" s="62"/>
      <c r="R269" s="62">
        <f>SUBTOTAL(9,Table2[[#This Row],[1st]:[FQC]])</f>
        <v>120</v>
      </c>
      <c r="S269" s="62">
        <f>IFERROR(VLOOKUP(Table2[[#This Row],[Part No.]],'[2]New Machine sheet'!$G$2:$I$90,3,0),0)</f>
        <v>21.77</v>
      </c>
      <c r="T269" s="62">
        <f>Table2[[#This Row],[cost per piece]]*Table2[[#This Row],[Total Rej. qty]]</f>
        <v>2612.4</v>
      </c>
      <c r="U269" s="62">
        <f>IFERROR(VLOOKUP(Table2[[#This Row],[Non Conformance]],'[2]New defect code '!$B$2:$C$129,2,0),0)</f>
        <v>0</v>
      </c>
      <c r="V269" s="62">
        <v>6</v>
      </c>
      <c r="W269" s="62" t="str">
        <f>IFERROR(VLOOKUP(Table2[[#This Row],[Code4]],'[2]New Reason code'!$A$2:$D$77,2,0),0)</f>
        <v>bush will not use again</v>
      </c>
      <c r="X269" s="62" t="str">
        <f>IFERROR(VLOOKUP(Table2[[#This Row],[Reason]],'[2]New Reason code'!$B$2:$D$77,2,0),0)</f>
        <v>Prod Declared</v>
      </c>
      <c r="Y269" s="62" t="str">
        <f>IFERROR(VLOOKUP(Table2[[#This Row],[Rejection Identified at]],'[2]New Reason code'!$C$2:$D$77,2,0),0)</f>
        <v>Process Issue</v>
      </c>
    </row>
    <row r="270" spans="1:25" ht="20.25" customHeight="1">
      <c r="A270" s="60">
        <v>266</v>
      </c>
      <c r="B270" s="62">
        <v>15</v>
      </c>
      <c r="C270" s="62" t="str">
        <f>IFERROR(VLOOKUP(Table2[[#This Row],[Code]],'[2]New Machine sheet'!$A$1:$D$101,2,0),0)</f>
        <v>282-15</v>
      </c>
      <c r="D270" s="62" t="str">
        <f>IFERROR(VLOOKUP(Table2[[#This Row],[M/c No]],'[2]New Machine sheet'!$B$1:$D$101,2,0),0)</f>
        <v>Mazak</v>
      </c>
      <c r="E270" s="62" t="str">
        <f>IFERROR(VLOOKUP(Table2[[#This Row],[M/c Name]],'[2]New Machine sheet'!$C$1:$D$101,2,0),0)</f>
        <v>Turning</v>
      </c>
      <c r="F270" s="62">
        <v>185</v>
      </c>
      <c r="G270" s="62">
        <f>IFERROR(VLOOKUP(Table2[[#This Row],[Code2]],'[2]New Machine sheet'!$F$2:$I$64,2,),0)</f>
        <v>24185</v>
      </c>
      <c r="H270" s="62" t="str">
        <f>IFERROR(VLOOKUP(Table2[[#This Row],[Code2]],'[2]New Machine sheet'!$F$2:$I$64,3,0),0)</f>
        <v>RE Bush</v>
      </c>
      <c r="I270" s="62" t="s">
        <v>197</v>
      </c>
      <c r="J270" s="62">
        <v>14</v>
      </c>
      <c r="K270" s="62" t="str">
        <f>IFERROR(VLOOKUP(Table2[[#This Row],[Code3]],'[2]New defect code '!$A$2:$D$129,2,0),0)</f>
        <v>Bush damage</v>
      </c>
      <c r="L270" s="62" t="s">
        <v>195</v>
      </c>
      <c r="M270" s="56">
        <v>46266</v>
      </c>
      <c r="N270" s="62">
        <v>100</v>
      </c>
      <c r="O270" s="62"/>
      <c r="P270" s="62"/>
      <c r="Q270" s="62"/>
      <c r="R270" s="62">
        <f>SUBTOTAL(9,Table2[[#This Row],[1st]:[FQC]])</f>
        <v>100</v>
      </c>
      <c r="S270" s="62">
        <f>IFERROR(VLOOKUP(Table2[[#This Row],[Part No.]],'[2]New Machine sheet'!$G$2:$I$90,3,0),0)</f>
        <v>25.53</v>
      </c>
      <c r="T270" s="62">
        <f>Table2[[#This Row],[cost per piece]]*Table2[[#This Row],[Total Rej. qty]]</f>
        <v>2553</v>
      </c>
      <c r="U270" s="62">
        <f>IFERROR(VLOOKUP(Table2[[#This Row],[Non Conformance]],'[2]New defect code '!$B$2:$C$129,2,0),0)</f>
        <v>0</v>
      </c>
      <c r="V270" s="62">
        <v>6</v>
      </c>
      <c r="W270" s="62" t="str">
        <f>IFERROR(VLOOKUP(Table2[[#This Row],[Code4]],'[2]New Reason code'!$A$2:$D$77,2,0),0)</f>
        <v>bush will not use again</v>
      </c>
      <c r="X270" s="62" t="str">
        <f>IFERROR(VLOOKUP(Table2[[#This Row],[Reason]],'[2]New Reason code'!$B$2:$D$77,2,0),0)</f>
        <v>Prod Declared</v>
      </c>
      <c r="Y270" s="62" t="str">
        <f>IFERROR(VLOOKUP(Table2[[#This Row],[Rejection Identified at]],'[2]New Reason code'!$C$2:$D$77,2,0),0)</f>
        <v>Process Issue</v>
      </c>
    </row>
    <row r="271" spans="1:25" ht="20.25" customHeight="1">
      <c r="A271" s="60">
        <v>267</v>
      </c>
      <c r="B271" s="62">
        <v>37</v>
      </c>
      <c r="C271" s="62" t="str">
        <f>IFERROR(VLOOKUP(Table2[[#This Row],[Code]],'[2]New Machine sheet'!$A$1:$D$101,2,0),0)</f>
        <v>ACE-17</v>
      </c>
      <c r="D271" s="62" t="str">
        <f>IFERROR(VLOOKUP(Table2[[#This Row],[M/c No]],'[2]New Machine sheet'!$B$1:$D$101,2,0),0)</f>
        <v>Micromatic</v>
      </c>
      <c r="E271" s="62" t="str">
        <f>IFERROR(VLOOKUP(Table2[[#This Row],[M/c Name]],'[2]New Machine sheet'!$C$1:$D$101,2,0),0)</f>
        <v>Turning</v>
      </c>
      <c r="F271" s="62">
        <v>127</v>
      </c>
      <c r="G271" s="62">
        <f>IFERROR(VLOOKUP(Table2[[#This Row],[Code2]],'[2]New Machine sheet'!$F$2:$I$64,2,),0)</f>
        <v>24127</v>
      </c>
      <c r="H271" s="62" t="str">
        <f>IFERROR(VLOOKUP(Table2[[#This Row],[Code2]],'[2]New Machine sheet'!$F$2:$I$64,3,0),0)</f>
        <v>RE J1</v>
      </c>
      <c r="I271" s="62" t="s">
        <v>177</v>
      </c>
      <c r="J271" s="62">
        <v>66</v>
      </c>
      <c r="K271" s="62" t="str">
        <f>IFERROR(VLOOKUP(Table2[[#This Row],[Code3]],'[2]New defect code '!$A$2:$D$129,2,0),0)</f>
        <v>OD Under Size</v>
      </c>
      <c r="L271" s="62" t="s">
        <v>195</v>
      </c>
      <c r="M271" s="56">
        <v>46266</v>
      </c>
      <c r="N271" s="62"/>
      <c r="O271" s="62">
        <v>1</v>
      </c>
      <c r="P271" s="62"/>
      <c r="Q271" s="62"/>
      <c r="R271" s="62">
        <f>SUBTOTAL(9,Table2[[#This Row],[1st]:[FQC]])</f>
        <v>1</v>
      </c>
      <c r="S271" s="62">
        <f>IFERROR(VLOOKUP(Table2[[#This Row],[Part No.]],'[2]New Machine sheet'!$G$2:$I$90,3,0),0)</f>
        <v>262.81200000000001</v>
      </c>
      <c r="T271" s="62">
        <f>Table2[[#This Row],[cost per piece]]*Table2[[#This Row],[Total Rej. qty]]</f>
        <v>262.81200000000001</v>
      </c>
      <c r="U271" s="62">
        <f>IFERROR(VLOOKUP(Table2[[#This Row],[Non Conformance]],'[2]New defect code '!$B$2:$C$129,2,0),0)</f>
        <v>3242</v>
      </c>
      <c r="V271" s="62">
        <v>18</v>
      </c>
      <c r="W271" s="62" t="str">
        <f>IFERROR(VLOOKUP(Table2[[#This Row],[Code4]],'[2]New Reason code'!$A$2:$D$77,2,0),0)</f>
        <v>During insert change</v>
      </c>
      <c r="X271" s="62" t="str">
        <f>IFERROR(VLOOKUP(Table2[[#This Row],[Reason]],'[2]New Reason code'!$B$2:$D$77,2,0),0)</f>
        <v xml:space="preserve">Due to Settup  </v>
      </c>
      <c r="Y271" s="62" t="str">
        <f>IFERROR(VLOOKUP(Table2[[#This Row],[Rejection Identified at]],'[2]New Reason code'!$C$2:$D$77,2,0),0)</f>
        <v>skill</v>
      </c>
    </row>
    <row r="272" spans="1:25" ht="20.25" customHeight="1">
      <c r="A272" s="50">
        <v>268</v>
      </c>
      <c r="B272" s="62"/>
      <c r="C272" s="62" t="s">
        <v>116</v>
      </c>
      <c r="D272" s="62" t="s">
        <v>117</v>
      </c>
      <c r="E272" s="62" t="str">
        <f>IFERROR(VLOOKUP(Table2[[#This Row],[M/c Name]],'[2]New Machine sheet'!$C$1:$D$101,2,0),0)</f>
        <v>Turning</v>
      </c>
      <c r="F272" s="62">
        <v>127</v>
      </c>
      <c r="G272" s="62">
        <f>IFERROR(VLOOKUP(Table2[[#This Row],[Code2]],'[2]New Machine sheet'!$F$2:$I$64,2,),0)</f>
        <v>24127</v>
      </c>
      <c r="H272" s="62" t="str">
        <f>IFERROR(VLOOKUP(Table2[[#This Row],[Code2]],'[2]New Machine sheet'!$F$2:$I$64,3,0),0)</f>
        <v>RE J1</v>
      </c>
      <c r="I272" s="62" t="s">
        <v>138</v>
      </c>
      <c r="J272" s="62">
        <v>93</v>
      </c>
      <c r="K272" s="62" t="str">
        <f>IFERROR(VLOOKUP(Table2[[#This Row],[Code3]],'[2]New defect code '!$A$2:$D$129,2,0),0)</f>
        <v>Thickness Under size</v>
      </c>
      <c r="L272" s="62" t="s">
        <v>195</v>
      </c>
      <c r="M272" s="56">
        <v>46266</v>
      </c>
      <c r="N272" s="62"/>
      <c r="O272" s="62">
        <v>2</v>
      </c>
      <c r="P272" s="62"/>
      <c r="Q272" s="62"/>
      <c r="R272" s="62">
        <f>SUBTOTAL(9,Table2[[#This Row],[1st]:[FQC]])</f>
        <v>2</v>
      </c>
      <c r="S272" s="62">
        <f>IFERROR(VLOOKUP(Table2[[#This Row],[Part No.]],'[2]New Machine sheet'!$G$2:$I$90,3,0),0)</f>
        <v>262.81200000000001</v>
      </c>
      <c r="T272" s="62">
        <f>Table2[[#This Row],[cost per piece]]*Table2[[#This Row],[Total Rej. qty]]</f>
        <v>525.62400000000002</v>
      </c>
      <c r="U272" s="62">
        <f>IFERROR(VLOOKUP(Table2[[#This Row],[Non Conformance]],'[2]New defect code '!$B$2:$C$129,2,0),0)</f>
        <v>3258</v>
      </c>
      <c r="V272" s="62">
        <v>64</v>
      </c>
      <c r="W272" s="62" t="str">
        <f>IFERROR(VLOOKUP(Table2[[#This Row],[Code4]],'[2]New Reason code'!$A$2:$D$77,2,0),0)</f>
        <v>Wrong correction</v>
      </c>
      <c r="X272" s="62" t="str">
        <f>IFERROR(VLOOKUP(Table2[[#This Row],[Reason]],'[2]New Reason code'!$B$2:$D$77,2,0),0)</f>
        <v>Due to operator</v>
      </c>
      <c r="Y272" s="62" t="str">
        <f>IFERROR(VLOOKUP(Table2[[#This Row],[Rejection Identified at]],'[2]New Reason code'!$C$2:$D$77,2,0),0)</f>
        <v xml:space="preserve">infrastructure </v>
      </c>
    </row>
    <row r="273" spans="1:25" ht="20.25" customHeight="1">
      <c r="A273" s="60">
        <v>269</v>
      </c>
      <c r="B273" s="62">
        <v>39</v>
      </c>
      <c r="C273" s="62" t="str">
        <f>IFERROR(VLOOKUP(Table2[[#This Row],[Code]],'[2]New Machine sheet'!$A$1:$D$101,2,0),0)</f>
        <v>ACE-19</v>
      </c>
      <c r="D273" s="62" t="str">
        <f>IFERROR(VLOOKUP(Table2[[#This Row],[M/c No]],'[2]New Machine sheet'!$B$1:$D$101,2,0),0)</f>
        <v>Micromatic</v>
      </c>
      <c r="E273" s="62" t="str">
        <f>IFERROR(VLOOKUP(Table2[[#This Row],[M/c Name]],'[2]New Machine sheet'!$C$1:$D$101,2,0),0)</f>
        <v>Turning</v>
      </c>
      <c r="F273" s="62">
        <v>117</v>
      </c>
      <c r="G273" s="62">
        <f>IFERROR(VLOOKUP(Table2[[#This Row],[Code2]],'[2]New Machine sheet'!$F$2:$I$64,2,),0)</f>
        <v>24117</v>
      </c>
      <c r="H273" s="62" t="str">
        <f>IFERROR(VLOOKUP(Table2[[#This Row],[Code2]],'[2]New Machine sheet'!$F$2:$I$64,3,0),0)</f>
        <v>RE J1</v>
      </c>
      <c r="I273" s="62" t="s">
        <v>142</v>
      </c>
      <c r="J273" s="62">
        <v>5</v>
      </c>
      <c r="K273" s="62" t="str">
        <f>IFERROR(VLOOKUP(Table2[[#This Row],[Code3]],'[2]New defect code '!$A$2:$D$129,2,0),0)</f>
        <v>Bore Over size</v>
      </c>
      <c r="L273" s="62" t="s">
        <v>195</v>
      </c>
      <c r="M273" s="56">
        <v>46266</v>
      </c>
      <c r="N273" s="62"/>
      <c r="O273" s="62">
        <v>1</v>
      </c>
      <c r="P273" s="62"/>
      <c r="Q273" s="62"/>
      <c r="R273" s="62">
        <f>SUBTOTAL(9,Table2[[#This Row],[1st]:[FQC]])</f>
        <v>1</v>
      </c>
      <c r="S273" s="62">
        <f>IFERROR(VLOOKUP(Table2[[#This Row],[Part No.]],'[2]New Machine sheet'!$G$2:$I$90,3,0),0)</f>
        <v>111.97</v>
      </c>
      <c r="T273" s="62">
        <f>Table2[[#This Row],[cost per piece]]*Table2[[#This Row],[Total Rej. qty]]</f>
        <v>111.97</v>
      </c>
      <c r="U273" s="62">
        <f>IFERROR(VLOOKUP(Table2[[#This Row],[Non Conformance]],'[2]New defect code '!$B$2:$C$129,2,0),0)</f>
        <v>3243</v>
      </c>
      <c r="V273" s="62">
        <v>18</v>
      </c>
      <c r="W273" s="62" t="str">
        <f>IFERROR(VLOOKUP(Table2[[#This Row],[Code4]],'[2]New Reason code'!$A$2:$D$77,2,0),0)</f>
        <v>During insert change</v>
      </c>
      <c r="X273" s="62" t="str">
        <f>IFERROR(VLOOKUP(Table2[[#This Row],[Reason]],'[2]New Reason code'!$B$2:$D$77,2,0),0)</f>
        <v xml:space="preserve">Due to Settup  </v>
      </c>
      <c r="Y273" s="62" t="str">
        <f>IFERROR(VLOOKUP(Table2[[#This Row],[Rejection Identified at]],'[2]New Reason code'!$C$2:$D$77,2,0),0)</f>
        <v>skill</v>
      </c>
    </row>
    <row r="274" spans="1:25" ht="20.25" customHeight="1">
      <c r="A274" s="60">
        <v>270</v>
      </c>
      <c r="B274" s="62">
        <v>3</v>
      </c>
      <c r="C274" s="62" t="str">
        <f>IFERROR(VLOOKUP(Table2[[#This Row],[Code]],'[2]New Machine sheet'!$A$1:$D$101,2,0),0)</f>
        <v>282-03</v>
      </c>
      <c r="D274" s="62" t="str">
        <f>IFERROR(VLOOKUP(Table2[[#This Row],[M/c No]],'[2]New Machine sheet'!$B$1:$D$101,2,0),0)</f>
        <v>Mazak</v>
      </c>
      <c r="E274" s="62" t="str">
        <f>IFERROR(VLOOKUP(Table2[[#This Row],[M/c Name]],'[2]New Machine sheet'!$C$1:$D$101,2,0),0)</f>
        <v>Turning</v>
      </c>
      <c r="F274" s="62">
        <v>178</v>
      </c>
      <c r="G274" s="62">
        <f>IFERROR(VLOOKUP(Table2[[#This Row],[Code2]],'[2]New Machine sheet'!$F$2:$I$64,2,),0)</f>
        <v>24178</v>
      </c>
      <c r="H274" s="62" t="str">
        <f>IFERROR(VLOOKUP(Table2[[#This Row],[Code2]],'[2]New Machine sheet'!$F$2:$I$64,3,0),0)</f>
        <v>RE J1</v>
      </c>
      <c r="I274" s="62" t="s">
        <v>153</v>
      </c>
      <c r="J274" s="62">
        <v>5</v>
      </c>
      <c r="K274" s="62" t="str">
        <f>IFERROR(VLOOKUP(Table2[[#This Row],[Code3]],'[2]New defect code '!$A$2:$D$129,2,0),0)</f>
        <v>Bore Over size</v>
      </c>
      <c r="L274" s="62" t="s">
        <v>195</v>
      </c>
      <c r="M274" s="56">
        <v>46266</v>
      </c>
      <c r="N274" s="62"/>
      <c r="O274" s="62">
        <v>1</v>
      </c>
      <c r="P274" s="62"/>
      <c r="Q274" s="62"/>
      <c r="R274" s="62">
        <f>SUBTOTAL(9,Table2[[#This Row],[1st]:[FQC]])</f>
        <v>1</v>
      </c>
      <c r="S274" s="62">
        <f>IFERROR(VLOOKUP(Table2[[#This Row],[Part No.]],'[2]New Machine sheet'!$G$2:$I$90,3,0),0)</f>
        <v>70.62</v>
      </c>
      <c r="T274" s="62">
        <f>Table2[[#This Row],[cost per piece]]*Table2[[#This Row],[Total Rej. qty]]</f>
        <v>70.62</v>
      </c>
      <c r="U274" s="62">
        <f>IFERROR(VLOOKUP(Table2[[#This Row],[Non Conformance]],'[2]New defect code '!$B$2:$C$129,2,0),0)</f>
        <v>3243</v>
      </c>
      <c r="V274" s="62">
        <v>18</v>
      </c>
      <c r="W274" s="62" t="str">
        <f>IFERROR(VLOOKUP(Table2[[#This Row],[Code4]],'[2]New Reason code'!$A$2:$D$77,2,0),0)</f>
        <v>During insert change</v>
      </c>
      <c r="X274" s="62" t="str">
        <f>IFERROR(VLOOKUP(Table2[[#This Row],[Reason]],'[2]New Reason code'!$B$2:$D$77,2,0),0)</f>
        <v xml:space="preserve">Due to Settup  </v>
      </c>
      <c r="Y274" s="62" t="str">
        <f>IFERROR(VLOOKUP(Table2[[#This Row],[Rejection Identified at]],'[2]New Reason code'!$C$2:$D$77,2,0),0)</f>
        <v>skill</v>
      </c>
    </row>
    <row r="275" spans="1:25" ht="20.25" customHeight="1">
      <c r="A275" s="50">
        <v>271</v>
      </c>
      <c r="B275" s="62"/>
      <c r="C275" s="62">
        <f>IFERROR(VLOOKUP(Table2[[#This Row],[Code]],'[2]New Machine sheet'!$A$1:$D$101,2,0),0)</f>
        <v>0</v>
      </c>
      <c r="D275" s="62">
        <f>IFERROR(VLOOKUP(Table2[[#This Row],[M/c No]],'[2]New Machine sheet'!$B$1:$D$101,2,0),0)</f>
        <v>0</v>
      </c>
      <c r="E275" s="62">
        <f>IFERROR(VLOOKUP(Table2[[#This Row],[M/c Name]],'[2]New Machine sheet'!$C$1:$D$101,2,0),0)</f>
        <v>0</v>
      </c>
      <c r="F275" s="62">
        <v>185</v>
      </c>
      <c r="G275" s="62">
        <f>IFERROR(VLOOKUP(Table2[[#This Row],[Code2]],'[2]New Machine sheet'!$F$2:$I$64,2,),0)</f>
        <v>24185</v>
      </c>
      <c r="H275" s="62" t="str">
        <f>IFERROR(VLOOKUP(Table2[[#This Row],[Code2]],'[2]New Machine sheet'!$F$2:$I$64,3,0),0)</f>
        <v>RE Bush</v>
      </c>
      <c r="I275" s="62" t="s">
        <v>197</v>
      </c>
      <c r="J275" s="62">
        <v>14</v>
      </c>
      <c r="K275" s="62" t="str">
        <f>IFERROR(VLOOKUP(Table2[[#This Row],[Code3]],'[2]New defect code '!$A$2:$D$129,2,0),0)</f>
        <v>Bush damage</v>
      </c>
      <c r="L275" s="62" t="s">
        <v>195</v>
      </c>
      <c r="M275" s="56">
        <v>46266</v>
      </c>
      <c r="N275" s="62"/>
      <c r="O275" s="62">
        <v>100</v>
      </c>
      <c r="P275" s="62"/>
      <c r="Q275" s="62"/>
      <c r="R275" s="62">
        <f>SUBTOTAL(9,Table2[[#This Row],[1st]:[FQC]])</f>
        <v>100</v>
      </c>
      <c r="S275" s="62">
        <f>IFERROR(VLOOKUP(Table2[[#This Row],[Part No.]],'[2]New Machine sheet'!$G$2:$I$90,3,0),0)</f>
        <v>25.53</v>
      </c>
      <c r="T275" s="62">
        <f>Table2[[#This Row],[cost per piece]]*Table2[[#This Row],[Total Rej. qty]]</f>
        <v>2553</v>
      </c>
      <c r="U275" s="62">
        <f>IFERROR(VLOOKUP(Table2[[#This Row],[Non Conformance]],'[2]New defect code '!$B$2:$C$129,2,0),0)</f>
        <v>0</v>
      </c>
      <c r="V275" s="62">
        <v>6</v>
      </c>
      <c r="W275" s="62" t="str">
        <f>IFERROR(VLOOKUP(Table2[[#This Row],[Code4]],'[2]New Reason code'!$A$2:$D$77,2,0),0)</f>
        <v>bush will not use again</v>
      </c>
      <c r="X275" s="62" t="str">
        <f>IFERROR(VLOOKUP(Table2[[#This Row],[Reason]],'[2]New Reason code'!$B$2:$D$77,2,0),0)</f>
        <v>Prod Declared</v>
      </c>
      <c r="Y275" s="62" t="str">
        <f>IFERROR(VLOOKUP(Table2[[#This Row],[Rejection Identified at]],'[2]New Reason code'!$C$2:$D$77,2,0),0)</f>
        <v>Process Issue</v>
      </c>
    </row>
    <row r="276" spans="1:25" ht="20.25" customHeight="1">
      <c r="A276" s="60">
        <v>272</v>
      </c>
      <c r="B276" s="62">
        <v>62</v>
      </c>
      <c r="C276" s="62" t="str">
        <f>IFERROR(VLOOKUP(Table2[[#This Row],[Code]],'[2]New Machine sheet'!$A$1:$D$101,2,0),0)</f>
        <v>FQC</v>
      </c>
      <c r="D276" s="62" t="str">
        <f>IFERROR(VLOOKUP(Table2[[#This Row],[M/c No]],'[2]New Machine sheet'!$B$1:$D$101,2,0),0)</f>
        <v>FQC</v>
      </c>
      <c r="E276" s="62" t="str">
        <f>IFERROR(VLOOKUP(Table2[[#This Row],[M/c Name]],'[2]New Machine sheet'!$C$1:$D$101,2,0),0)</f>
        <v>fqc</v>
      </c>
      <c r="F276" s="62">
        <v>77</v>
      </c>
      <c r="G276" s="62">
        <f>IFERROR(VLOOKUP(Table2[[#This Row],[Code2]],'[2]New Machine sheet'!$F$2:$I$64,2,),0)</f>
        <v>2477</v>
      </c>
      <c r="H276" s="62" t="str">
        <f>IFERROR(VLOOKUP(Table2[[#This Row],[Code2]],'[2]New Machine sheet'!$F$2:$I$64,3,0),0)</f>
        <v>RE P1</v>
      </c>
      <c r="I276" s="62"/>
      <c r="J276" s="62">
        <v>5</v>
      </c>
      <c r="K276" s="62" t="str">
        <f>IFERROR(VLOOKUP(Table2[[#This Row],[Code3]],'[2]New defect code '!$A$2:$D$129,2,0),0)</f>
        <v>Bore Over size</v>
      </c>
      <c r="L276" s="62" t="s">
        <v>195</v>
      </c>
      <c r="M276" s="56">
        <v>46266</v>
      </c>
      <c r="N276" s="62"/>
      <c r="O276" s="62"/>
      <c r="P276" s="62"/>
      <c r="Q276" s="62">
        <v>1</v>
      </c>
      <c r="R276" s="62">
        <f>SUBTOTAL(9,Table2[[#This Row],[1st]:[FQC]])</f>
        <v>1</v>
      </c>
      <c r="S276" s="62">
        <f>IFERROR(VLOOKUP(Table2[[#This Row],[Part No.]],'[2]New Machine sheet'!$G$2:$I$90,3,0),0)</f>
        <v>79.064999999999998</v>
      </c>
      <c r="T276" s="62">
        <f>Table2[[#This Row],[cost per piece]]*Table2[[#This Row],[Total Rej. qty]]</f>
        <v>79.064999999999998</v>
      </c>
      <c r="U276" s="62">
        <f>IFERROR(VLOOKUP(Table2[[#This Row],[Non Conformance]],'[2]New defect code '!$B$2:$C$129,2,0),0)</f>
        <v>3243</v>
      </c>
      <c r="V276" s="62">
        <v>24</v>
      </c>
      <c r="W276" s="62" t="str">
        <f>IFERROR(VLOOKUP(Table2[[#This Row],[Code4]],'[2]New Reason code'!$A$2:$D$77,2,0),0)</f>
        <v>FQC return</v>
      </c>
      <c r="X276" s="62" t="str">
        <f>IFERROR(VLOOKUP(Table2[[#This Row],[Reason]],'[2]New Reason code'!$B$2:$D$77,2,0),0)</f>
        <v>Due to operator</v>
      </c>
      <c r="Y276" s="62" t="str">
        <f>IFERROR(VLOOKUP(Table2[[#This Row],[Rejection Identified at]],'[2]New Reason code'!$C$2:$D$77,2,0),0)</f>
        <v xml:space="preserve">infrastructure </v>
      </c>
    </row>
    <row r="277" spans="1:25" ht="20.25" customHeight="1">
      <c r="A277" s="60">
        <v>273</v>
      </c>
      <c r="B277" s="62"/>
      <c r="C277" s="62">
        <f>IFERROR(VLOOKUP(Table2[[#This Row],[Code]],'[2]New Machine sheet'!$A$1:$D$101,2,0),0)</f>
        <v>0</v>
      </c>
      <c r="D277" s="62">
        <f>IFERROR(VLOOKUP(Table2[[#This Row],[M/c No]],'[2]New Machine sheet'!$B$1:$D$101,2,0),0)</f>
        <v>0</v>
      </c>
      <c r="E277" s="62">
        <f>IFERROR(VLOOKUP(Table2[[#This Row],[M/c Name]],'[2]New Machine sheet'!$C$1:$D$101,2,0),0)</f>
        <v>0</v>
      </c>
      <c r="F277" s="62">
        <v>185</v>
      </c>
      <c r="G277" s="62">
        <f>IFERROR(VLOOKUP(Table2[[#This Row],[Code2]],'[2]New Machine sheet'!$F$2:$I$64,2,),0)</f>
        <v>24185</v>
      </c>
      <c r="H277" s="62" t="str">
        <f>IFERROR(VLOOKUP(Table2[[#This Row],[Code2]],'[2]New Machine sheet'!$F$2:$I$64,3,0),0)</f>
        <v>RE Bush</v>
      </c>
      <c r="I277" s="62" t="s">
        <v>197</v>
      </c>
      <c r="J277" s="62">
        <v>14</v>
      </c>
      <c r="K277" s="62" t="str">
        <f>IFERROR(VLOOKUP(Table2[[#This Row],[Code3]],'[2]New defect code '!$A$2:$D$129,2,0),0)</f>
        <v>Bush damage</v>
      </c>
      <c r="L277" s="62" t="s">
        <v>195</v>
      </c>
      <c r="M277" s="56">
        <v>46266</v>
      </c>
      <c r="N277" s="62"/>
      <c r="O277" s="62"/>
      <c r="P277" s="62">
        <v>110</v>
      </c>
      <c r="Q277" s="62"/>
      <c r="R277" s="62">
        <f>SUBTOTAL(9,Table2[[#This Row],[1st]:[FQC]])</f>
        <v>110</v>
      </c>
      <c r="S277" s="62">
        <f>IFERROR(VLOOKUP(Table2[[#This Row],[Part No.]],'[2]New Machine sheet'!$G$2:$I$90,3,0),0)</f>
        <v>25.53</v>
      </c>
      <c r="T277" s="62">
        <f>Table2[[#This Row],[cost per piece]]*Table2[[#This Row],[Total Rej. qty]]</f>
        <v>2808.3</v>
      </c>
      <c r="U277" s="62">
        <f>IFERROR(VLOOKUP(Table2[[#This Row],[Non Conformance]],'[2]New defect code '!$B$2:$C$129,2,0),0)</f>
        <v>0</v>
      </c>
      <c r="V277" s="62">
        <v>6</v>
      </c>
      <c r="W277" s="62" t="str">
        <f>IFERROR(VLOOKUP(Table2[[#This Row],[Code4]],'[2]New Reason code'!$A$2:$D$77,2,0),0)</f>
        <v>bush will not use again</v>
      </c>
      <c r="X277" s="62" t="str">
        <f>IFERROR(VLOOKUP(Table2[[#This Row],[Reason]],'[2]New Reason code'!$B$2:$D$77,2,0),0)</f>
        <v>Prod Declared</v>
      </c>
      <c r="Y277" s="62" t="str">
        <f>IFERROR(VLOOKUP(Table2[[#This Row],[Rejection Identified at]],'[2]New Reason code'!$C$2:$D$77,2,0),0)</f>
        <v>Process Issue</v>
      </c>
    </row>
    <row r="278" spans="1:25" ht="20.25" customHeight="1">
      <c r="A278" s="50">
        <v>274</v>
      </c>
      <c r="B278" s="62">
        <v>5</v>
      </c>
      <c r="C278" s="62" t="str">
        <f>IFERROR(VLOOKUP(Table2[[#This Row],[Code]],'[2]New Machine sheet'!$A$1:$D$101,2,0),0)</f>
        <v>282-05</v>
      </c>
      <c r="D278" s="62" t="str">
        <f>IFERROR(VLOOKUP(Table2[[#This Row],[M/c No]],'[2]New Machine sheet'!$B$1:$D$101,2,0),0)</f>
        <v>Mazak</v>
      </c>
      <c r="E278" s="62" t="str">
        <f>IFERROR(VLOOKUP(Table2[[#This Row],[M/c Name]],'[2]New Machine sheet'!$C$1:$D$101,2,0),0)</f>
        <v>Turning</v>
      </c>
      <c r="F278" s="62">
        <v>119</v>
      </c>
      <c r="G278" s="62">
        <f>IFERROR(VLOOKUP(Table2[[#This Row],[Code2]],'[2]New Machine sheet'!$F$2:$I$64,2,),0)</f>
        <v>24119</v>
      </c>
      <c r="H278" s="62" t="str">
        <f>IFERROR(VLOOKUP(Table2[[#This Row],[Code2]],'[2]New Machine sheet'!$F$2:$I$64,3,0),0)</f>
        <v>RE J1</v>
      </c>
      <c r="I278" s="62" t="s">
        <v>177</v>
      </c>
      <c r="J278" s="62">
        <v>5</v>
      </c>
      <c r="K278" s="62" t="str">
        <f>IFERROR(VLOOKUP(Table2[[#This Row],[Code3]],'[2]New defect code '!$A$2:$D$129,2,0),0)</f>
        <v>Bore Over size</v>
      </c>
      <c r="L278" s="62" t="s">
        <v>195</v>
      </c>
      <c r="M278" s="56">
        <v>46266</v>
      </c>
      <c r="N278" s="62"/>
      <c r="O278" s="62"/>
      <c r="P278" s="62">
        <v>2</v>
      </c>
      <c r="Q278" s="62"/>
      <c r="R278" s="62">
        <f>SUBTOTAL(9,Table2[[#This Row],[1st]:[FQC]])</f>
        <v>2</v>
      </c>
      <c r="S278" s="62">
        <f>IFERROR(VLOOKUP(Table2[[#This Row],[Part No.]],'[2]New Machine sheet'!$G$2:$I$90,3,0),0)</f>
        <v>103.2</v>
      </c>
      <c r="T278" s="62">
        <f>Table2[[#This Row],[cost per piece]]*Table2[[#This Row],[Total Rej. qty]]</f>
        <v>206.4</v>
      </c>
      <c r="U278" s="62">
        <f>IFERROR(VLOOKUP(Table2[[#This Row],[Non Conformance]],'[2]New defect code '!$B$2:$C$129,2,0),0)</f>
        <v>3243</v>
      </c>
      <c r="V278" s="62">
        <v>18</v>
      </c>
      <c r="W278" s="62" t="str">
        <f>IFERROR(VLOOKUP(Table2[[#This Row],[Code4]],'[2]New Reason code'!$A$2:$D$77,2,0),0)</f>
        <v>During insert change</v>
      </c>
      <c r="X278" s="62" t="str">
        <f>IFERROR(VLOOKUP(Table2[[#This Row],[Reason]],'[2]New Reason code'!$B$2:$D$77,2,0),0)</f>
        <v xml:space="preserve">Due to Settup  </v>
      </c>
      <c r="Y278" s="62" t="str">
        <f>IFERROR(VLOOKUP(Table2[[#This Row],[Rejection Identified at]],'[2]New Reason code'!$C$2:$D$77,2,0),0)</f>
        <v>skill</v>
      </c>
    </row>
    <row r="279" spans="1:25" ht="20.25" customHeight="1">
      <c r="A279" s="60">
        <v>275</v>
      </c>
      <c r="B279" s="62">
        <v>7</v>
      </c>
      <c r="C279" s="62" t="str">
        <f>IFERROR(VLOOKUP(Table2[[#This Row],[Code]],'[2]New Machine sheet'!$A$1:$D$101,2,0),0)</f>
        <v>282-07</v>
      </c>
      <c r="D279" s="62" t="str">
        <f>IFERROR(VLOOKUP(Table2[[#This Row],[M/c No]],'[2]New Machine sheet'!$B$1:$D$101,2,0),0)</f>
        <v>Mazak</v>
      </c>
      <c r="E279" s="62" t="str">
        <f>IFERROR(VLOOKUP(Table2[[#This Row],[M/c Name]],'[2]New Machine sheet'!$C$1:$D$101,2,0),0)</f>
        <v>Turning</v>
      </c>
      <c r="F279" s="62">
        <v>119</v>
      </c>
      <c r="G279" s="62">
        <f>IFERROR(VLOOKUP(Table2[[#This Row],[Code2]],'[2]New Machine sheet'!$F$2:$I$64,2,),0)</f>
        <v>24119</v>
      </c>
      <c r="H279" s="62" t="str">
        <f>IFERROR(VLOOKUP(Table2[[#This Row],[Code2]],'[2]New Machine sheet'!$F$2:$I$64,3,0),0)</f>
        <v>RE J1</v>
      </c>
      <c r="I279" s="62" t="s">
        <v>177</v>
      </c>
      <c r="J279" s="62">
        <v>5</v>
      </c>
      <c r="K279" s="62" t="str">
        <f>IFERROR(VLOOKUP(Table2[[#This Row],[Code3]],'[2]New defect code '!$A$2:$D$129,2,0),0)</f>
        <v>Bore Over size</v>
      </c>
      <c r="L279" s="62" t="s">
        <v>195</v>
      </c>
      <c r="M279" s="56">
        <v>46266</v>
      </c>
      <c r="N279" s="62"/>
      <c r="O279" s="62"/>
      <c r="P279" s="62">
        <v>2</v>
      </c>
      <c r="Q279" s="62"/>
      <c r="R279" s="62">
        <f>SUBTOTAL(9,Table2[[#This Row],[1st]:[FQC]])</f>
        <v>2</v>
      </c>
      <c r="S279" s="62">
        <f>IFERROR(VLOOKUP(Table2[[#This Row],[Part No.]],'[2]New Machine sheet'!$G$2:$I$90,3,0),0)</f>
        <v>103.2</v>
      </c>
      <c r="T279" s="62">
        <f>Table2[[#This Row],[cost per piece]]*Table2[[#This Row],[Total Rej. qty]]</f>
        <v>206.4</v>
      </c>
      <c r="U279" s="62">
        <f>IFERROR(VLOOKUP(Table2[[#This Row],[Non Conformance]],'[2]New defect code '!$B$2:$C$129,2,0),0)</f>
        <v>3243</v>
      </c>
      <c r="V279" s="62">
        <v>18</v>
      </c>
      <c r="W279" s="62" t="str">
        <f>IFERROR(VLOOKUP(Table2[[#This Row],[Code4]],'[2]New Reason code'!$A$2:$D$77,2,0),0)</f>
        <v>During insert change</v>
      </c>
      <c r="X279" s="62" t="str">
        <f>IFERROR(VLOOKUP(Table2[[#This Row],[Reason]],'[2]New Reason code'!$B$2:$D$77,2,0),0)</f>
        <v xml:space="preserve">Due to Settup  </v>
      </c>
      <c r="Y279" s="62" t="str">
        <f>IFERROR(VLOOKUP(Table2[[#This Row],[Rejection Identified at]],'[2]New Reason code'!$C$2:$D$77,2,0),0)</f>
        <v>skill</v>
      </c>
    </row>
    <row r="280" spans="1:25" ht="20.25" customHeight="1">
      <c r="A280" s="60">
        <v>276</v>
      </c>
      <c r="B280" s="62"/>
      <c r="C280" s="62" t="s">
        <v>150</v>
      </c>
      <c r="D280" s="62" t="s">
        <v>117</v>
      </c>
      <c r="E280" s="62" t="str">
        <f>IFERROR(VLOOKUP(Table2[[#This Row],[M/c Name]],'[2]New Machine sheet'!$C$1:$D$101,2,0),0)</f>
        <v>Turning</v>
      </c>
      <c r="F280" s="62">
        <v>122</v>
      </c>
      <c r="G280" s="62">
        <f>IFERROR(VLOOKUP(Table2[[#This Row],[Code2]],'[2]New Machine sheet'!$F$2:$I$64,2,),0)</f>
        <v>24122</v>
      </c>
      <c r="H280" s="62" t="str">
        <f>IFERROR(VLOOKUP(Table2[[#This Row],[Code2]],'[2]New Machine sheet'!$F$2:$I$64,3,0),0)</f>
        <v>RE J1</v>
      </c>
      <c r="I280" s="62" t="s">
        <v>168</v>
      </c>
      <c r="J280" s="62">
        <v>66</v>
      </c>
      <c r="K280" s="62" t="str">
        <f>IFERROR(VLOOKUP(Table2[[#This Row],[Code3]],'[2]New defect code '!$A$2:$D$129,2,0),0)</f>
        <v>OD Under Size</v>
      </c>
      <c r="L280" s="62" t="s">
        <v>195</v>
      </c>
      <c r="M280" s="56">
        <v>46266</v>
      </c>
      <c r="N280" s="62"/>
      <c r="O280" s="62"/>
      <c r="P280" s="62">
        <v>1</v>
      </c>
      <c r="Q280" s="62"/>
      <c r="R280" s="62">
        <f>SUBTOTAL(9,Table2[[#This Row],[1st]:[FQC]])</f>
        <v>1</v>
      </c>
      <c r="S280" s="62">
        <f>IFERROR(VLOOKUP(Table2[[#This Row],[Part No.]],'[2]New Machine sheet'!$G$2:$I$90,3,0),0)</f>
        <v>335.39977528089889</v>
      </c>
      <c r="T280" s="62">
        <f>Table2[[#This Row],[cost per piece]]*Table2[[#This Row],[Total Rej. qty]]</f>
        <v>335.39977528089889</v>
      </c>
      <c r="U280" s="62">
        <f>IFERROR(VLOOKUP(Table2[[#This Row],[Non Conformance]],'[2]New defect code '!$B$2:$C$129,2,0),0)</f>
        <v>3242</v>
      </c>
      <c r="V280" s="62">
        <v>18</v>
      </c>
      <c r="W280" s="62" t="str">
        <f>IFERROR(VLOOKUP(Table2[[#This Row],[Code4]],'[2]New Reason code'!$A$2:$D$77,2,0),0)</f>
        <v>During insert change</v>
      </c>
      <c r="X280" s="62" t="str">
        <f>IFERROR(VLOOKUP(Table2[[#This Row],[Reason]],'[2]New Reason code'!$B$2:$D$77,2,0),0)</f>
        <v xml:space="preserve">Due to Settup  </v>
      </c>
      <c r="Y280" s="62" t="str">
        <f>IFERROR(VLOOKUP(Table2[[#This Row],[Rejection Identified at]],'[2]New Reason code'!$C$2:$D$77,2,0),0)</f>
        <v>skill</v>
      </c>
    </row>
    <row r="281" spans="1:25" ht="20.25" customHeight="1">
      <c r="A281" s="50">
        <v>277</v>
      </c>
      <c r="B281" s="62">
        <v>25</v>
      </c>
      <c r="C281" s="62" t="str">
        <f>IFERROR(VLOOKUP(Table2[[#This Row],[Code]],'[2]New Machine sheet'!$A$1:$D$101,2,0),0)</f>
        <v>ACE-05</v>
      </c>
      <c r="D281" s="62" t="str">
        <f>IFERROR(VLOOKUP(Table2[[#This Row],[M/c No]],'[2]New Machine sheet'!$B$1:$D$101,2,0),0)</f>
        <v>Micromatic</v>
      </c>
      <c r="E281" s="62" t="str">
        <f>IFERROR(VLOOKUP(Table2[[#This Row],[M/c Name]],'[2]New Machine sheet'!$C$1:$D$101,2,0),0)</f>
        <v>Turning</v>
      </c>
      <c r="F281" s="62">
        <v>122</v>
      </c>
      <c r="G281" s="62">
        <f>IFERROR(VLOOKUP(Table2[[#This Row],[Code2]],'[2]New Machine sheet'!$F$2:$I$64,2,),0)</f>
        <v>24122</v>
      </c>
      <c r="H281" s="62" t="str">
        <f>IFERROR(VLOOKUP(Table2[[#This Row],[Code2]],'[2]New Machine sheet'!$F$2:$I$64,3,0),0)</f>
        <v>RE J1</v>
      </c>
      <c r="I281" s="62" t="s">
        <v>159</v>
      </c>
      <c r="J281" s="62">
        <v>5</v>
      </c>
      <c r="K281" s="62" t="str">
        <f>IFERROR(VLOOKUP(Table2[[#This Row],[Code3]],'[2]New defect code '!$A$2:$D$129,2,0),0)</f>
        <v>Bore Over size</v>
      </c>
      <c r="L281" s="62" t="s">
        <v>195</v>
      </c>
      <c r="M281" s="56">
        <v>46266</v>
      </c>
      <c r="N281" s="62"/>
      <c r="O281" s="62"/>
      <c r="P281" s="62">
        <v>1</v>
      </c>
      <c r="Q281" s="62"/>
      <c r="R281" s="62">
        <f>SUBTOTAL(9,Table2[[#This Row],[1st]:[FQC]])</f>
        <v>1</v>
      </c>
      <c r="S281" s="62">
        <f>IFERROR(VLOOKUP(Table2[[#This Row],[Part No.]],'[2]New Machine sheet'!$G$2:$I$90,3,0),0)</f>
        <v>335.39977528089889</v>
      </c>
      <c r="T281" s="62">
        <f>Table2[[#This Row],[cost per piece]]*Table2[[#This Row],[Total Rej. qty]]</f>
        <v>335.39977528089889</v>
      </c>
      <c r="U281" s="62">
        <f>IFERROR(VLOOKUP(Table2[[#This Row],[Non Conformance]],'[2]New defect code '!$B$2:$C$129,2,0),0)</f>
        <v>3243</v>
      </c>
      <c r="V281" s="62">
        <v>18</v>
      </c>
      <c r="W281" s="62" t="str">
        <f>IFERROR(VLOOKUP(Table2[[#This Row],[Code4]],'[2]New Reason code'!$A$2:$D$77,2,0),0)</f>
        <v>During insert change</v>
      </c>
      <c r="X281" s="62" t="str">
        <f>IFERROR(VLOOKUP(Table2[[#This Row],[Reason]],'[2]New Reason code'!$B$2:$D$77,2,0),0)</f>
        <v xml:space="preserve">Due to Settup  </v>
      </c>
      <c r="Y281" s="62" t="str">
        <f>IFERROR(VLOOKUP(Table2[[#This Row],[Rejection Identified at]],'[2]New Reason code'!$C$2:$D$77,2,0),0)</f>
        <v>skill</v>
      </c>
    </row>
    <row r="282" spans="1:25" ht="20.25" customHeight="1">
      <c r="A282" s="60">
        <v>278</v>
      </c>
      <c r="B282" s="62">
        <v>52</v>
      </c>
      <c r="C282" s="62" t="str">
        <f>IFERROR(VLOOKUP(Table2[[#This Row],[Code]],'[2]New Machine sheet'!$A$1:$D$101,2,0),0)</f>
        <v>272-05</v>
      </c>
      <c r="D282" s="62" t="str">
        <f>IFERROR(VLOOKUP(Table2[[#This Row],[M/c No]],'[2]New Machine sheet'!$B$1:$D$101,2,0),0)</f>
        <v xml:space="preserve">servo </v>
      </c>
      <c r="E282" s="62" t="str">
        <f>IFERROR(VLOOKUP(Table2[[#This Row],[M/c Name]],'[2]New Machine sheet'!$C$1:$D$101,2,0),0)</f>
        <v>Bush Pressing</v>
      </c>
      <c r="F282" s="62">
        <v>127</v>
      </c>
      <c r="G282" s="62">
        <f>IFERROR(VLOOKUP(Table2[[#This Row],[Code2]],'[2]New Machine sheet'!$F$2:$I$64,2,),0)</f>
        <v>24127</v>
      </c>
      <c r="H282" s="62" t="str">
        <f>IFERROR(VLOOKUP(Table2[[#This Row],[Code2]],'[2]New Machine sheet'!$F$2:$I$64,3,0),0)</f>
        <v>RE J1</v>
      </c>
      <c r="I282" s="62" t="s">
        <v>169</v>
      </c>
      <c r="J282" s="62">
        <v>125</v>
      </c>
      <c r="K282" s="62" t="str">
        <f>IFERROR(VLOOKUP(Table2[[#This Row],[Code3]],'[2]New defect code '!$A$2:$D$129,2,0),0)</f>
        <v>OD Damage</v>
      </c>
      <c r="L282" s="62" t="s">
        <v>195</v>
      </c>
      <c r="M282" s="56">
        <v>46266</v>
      </c>
      <c r="N282" s="62"/>
      <c r="O282" s="62"/>
      <c r="P282" s="62">
        <v>1</v>
      </c>
      <c r="Q282" s="62"/>
      <c r="R282" s="62">
        <f>SUBTOTAL(9,Table2[[#This Row],[1st]:[FQC]])</f>
        <v>1</v>
      </c>
      <c r="S282" s="62">
        <f>IFERROR(VLOOKUP(Table2[[#This Row],[Part No.]],'[2]New Machine sheet'!$G$2:$I$90,3,0),0)</f>
        <v>262.81200000000001</v>
      </c>
      <c r="T282" s="62">
        <f>Table2[[#This Row],[cost per piece]]*Table2[[#This Row],[Total Rej. qty]]</f>
        <v>262.81200000000001</v>
      </c>
      <c r="U282" s="62">
        <f>IFERROR(VLOOKUP(Table2[[#This Row],[Non Conformance]],'[2]New defect code '!$B$2:$C$129,2,0),0)</f>
        <v>0</v>
      </c>
      <c r="V282" s="62">
        <v>19</v>
      </c>
      <c r="W282" s="62" t="str">
        <f>IFERROR(VLOOKUP(Table2[[#This Row],[Code4]],'[2]New Reason code'!$A$2:$D$77,2,0),0)</f>
        <v>During Rework time</v>
      </c>
      <c r="X282" s="62" t="str">
        <f>IFERROR(VLOOKUP(Table2[[#This Row],[Reason]],'[2]New Reason code'!$B$2:$D$77,2,0),0)</f>
        <v>Due to operator</v>
      </c>
      <c r="Y282" s="62" t="str">
        <f>IFERROR(VLOOKUP(Table2[[#This Row],[Rejection Identified at]],'[2]New Reason code'!$C$2:$D$77,2,0),0)</f>
        <v xml:space="preserve">infrastructure </v>
      </c>
    </row>
    <row r="283" spans="1:25" ht="20.25" customHeight="1">
      <c r="A283" s="60">
        <v>279</v>
      </c>
      <c r="B283" s="62">
        <v>18</v>
      </c>
      <c r="C283" s="62" t="str">
        <f>IFERROR(VLOOKUP(Table2[[#This Row],[Code]],'[2]New Machine sheet'!$A$1:$D$101,2,0),0)</f>
        <v>282-18</v>
      </c>
      <c r="D283" s="62" t="str">
        <f>IFERROR(VLOOKUP(Table2[[#This Row],[M/c No]],'[2]New Machine sheet'!$B$1:$D$101,2,0),0)</f>
        <v>Mazak</v>
      </c>
      <c r="E283" s="62" t="str">
        <f>IFERROR(VLOOKUP(Table2[[#This Row],[M/c Name]],'[2]New Machine sheet'!$C$1:$D$101,2,0),0)</f>
        <v>Turning</v>
      </c>
      <c r="F283" s="62">
        <v>178</v>
      </c>
      <c r="G283" s="62">
        <f>IFERROR(VLOOKUP(Table2[[#This Row],[Code2]],'[2]New Machine sheet'!$F$2:$I$64,2,),0)</f>
        <v>24178</v>
      </c>
      <c r="H283" s="62" t="str">
        <f>IFERROR(VLOOKUP(Table2[[#This Row],[Code2]],'[2]New Machine sheet'!$F$2:$I$64,3,0),0)</f>
        <v>RE J1</v>
      </c>
      <c r="I283" s="62" t="s">
        <v>151</v>
      </c>
      <c r="J283" s="62">
        <v>5</v>
      </c>
      <c r="K283" s="62" t="str">
        <f>IFERROR(VLOOKUP(Table2[[#This Row],[Code3]],'[2]New defect code '!$A$2:$D$129,2,0),0)</f>
        <v>Bore Over size</v>
      </c>
      <c r="L283" s="62" t="s">
        <v>195</v>
      </c>
      <c r="M283" s="56">
        <v>46266</v>
      </c>
      <c r="N283" s="62"/>
      <c r="O283" s="62"/>
      <c r="P283" s="62">
        <v>1</v>
      </c>
      <c r="Q283" s="62"/>
      <c r="R283" s="62">
        <f>SUBTOTAL(9,Table2[[#This Row],[1st]:[FQC]])</f>
        <v>1</v>
      </c>
      <c r="S283" s="62">
        <f>IFERROR(VLOOKUP(Table2[[#This Row],[Part No.]],'[2]New Machine sheet'!$G$2:$I$90,3,0),0)</f>
        <v>70.62</v>
      </c>
      <c r="T283" s="62">
        <f>Table2[[#This Row],[cost per piece]]*Table2[[#This Row],[Total Rej. qty]]</f>
        <v>70.62</v>
      </c>
      <c r="U283" s="62">
        <f>IFERROR(VLOOKUP(Table2[[#This Row],[Non Conformance]],'[2]New defect code '!$B$2:$C$129,2,0),0)</f>
        <v>3243</v>
      </c>
      <c r="V283" s="62">
        <v>18</v>
      </c>
      <c r="W283" s="62" t="str">
        <f>IFERROR(VLOOKUP(Table2[[#This Row],[Code4]],'[2]New Reason code'!$A$2:$D$77,2,0),0)</f>
        <v>During insert change</v>
      </c>
      <c r="X283" s="62" t="str">
        <f>IFERROR(VLOOKUP(Table2[[#This Row],[Reason]],'[2]New Reason code'!$B$2:$D$77,2,0),0)</f>
        <v xml:space="preserve">Due to Settup  </v>
      </c>
      <c r="Y283" s="62" t="str">
        <f>IFERROR(VLOOKUP(Table2[[#This Row],[Rejection Identified at]],'[2]New Reason code'!$C$2:$D$77,2,0),0)</f>
        <v>skill</v>
      </c>
    </row>
    <row r="284" spans="1:25" ht="20.25" customHeight="1">
      <c r="A284" s="50">
        <v>280</v>
      </c>
      <c r="B284" s="62">
        <v>6</v>
      </c>
      <c r="C284" s="62" t="str">
        <f>IFERROR(VLOOKUP(Table2[[#This Row],[Code]],'[2]New Machine sheet'!$A$1:$D$101,2,0),0)</f>
        <v>282-06</v>
      </c>
      <c r="D284" s="62" t="str">
        <f>IFERROR(VLOOKUP(Table2[[#This Row],[M/c No]],'[2]New Machine sheet'!$B$1:$D$101,2,0),0)</f>
        <v>Mazak</v>
      </c>
      <c r="E284" s="62" t="str">
        <f>IFERROR(VLOOKUP(Table2[[#This Row],[M/c Name]],'[2]New Machine sheet'!$C$1:$D$101,2,0),0)</f>
        <v>Turning</v>
      </c>
      <c r="F284" s="62">
        <v>178</v>
      </c>
      <c r="G284" s="62">
        <f>IFERROR(VLOOKUP(Table2[[#This Row],[Code2]],'[2]New Machine sheet'!$F$2:$I$64,2,),0)</f>
        <v>24178</v>
      </c>
      <c r="H284" s="62" t="str">
        <f>IFERROR(VLOOKUP(Table2[[#This Row],[Code2]],'[2]New Machine sheet'!$F$2:$I$64,3,0),0)</f>
        <v>RE J1</v>
      </c>
      <c r="I284" s="62" t="s">
        <v>151</v>
      </c>
      <c r="J284" s="62">
        <v>5</v>
      </c>
      <c r="K284" s="62" t="str">
        <f>IFERROR(VLOOKUP(Table2[[#This Row],[Code3]],'[2]New defect code '!$A$2:$D$129,2,0),0)</f>
        <v>Bore Over size</v>
      </c>
      <c r="L284" s="62" t="s">
        <v>195</v>
      </c>
      <c r="M284" s="56">
        <v>46266</v>
      </c>
      <c r="N284" s="62"/>
      <c r="O284" s="62"/>
      <c r="P284" s="62">
        <v>1</v>
      </c>
      <c r="Q284" s="62"/>
      <c r="R284" s="62">
        <f>SUBTOTAL(9,Table2[[#This Row],[1st]:[FQC]])</f>
        <v>1</v>
      </c>
      <c r="S284" s="62">
        <f>IFERROR(VLOOKUP(Table2[[#This Row],[Part No.]],'[2]New Machine sheet'!$G$2:$I$90,3,0),0)</f>
        <v>70.62</v>
      </c>
      <c r="T284" s="62">
        <f>Table2[[#This Row],[cost per piece]]*Table2[[#This Row],[Total Rej. qty]]</f>
        <v>70.62</v>
      </c>
      <c r="U284" s="62">
        <f>IFERROR(VLOOKUP(Table2[[#This Row],[Non Conformance]],'[2]New defect code '!$B$2:$C$129,2,0),0)</f>
        <v>3243</v>
      </c>
      <c r="V284" s="62">
        <v>18</v>
      </c>
      <c r="W284" s="62" t="str">
        <f>IFERROR(VLOOKUP(Table2[[#This Row],[Code4]],'[2]New Reason code'!$A$2:$D$77,2,0),0)</f>
        <v>During insert change</v>
      </c>
      <c r="X284" s="62" t="str">
        <f>IFERROR(VLOOKUP(Table2[[#This Row],[Reason]],'[2]New Reason code'!$B$2:$D$77,2,0),0)</f>
        <v xml:space="preserve">Due to Settup  </v>
      </c>
      <c r="Y284" s="62" t="str">
        <f>IFERROR(VLOOKUP(Table2[[#This Row],[Rejection Identified at]],'[2]New Reason code'!$C$2:$D$77,2,0),0)</f>
        <v>skill</v>
      </c>
    </row>
    <row r="285" spans="1:25" ht="20.25" customHeight="1">
      <c r="A285" s="60">
        <v>281</v>
      </c>
      <c r="B285" s="62">
        <v>3</v>
      </c>
      <c r="C285" s="62" t="str">
        <f>IFERROR(VLOOKUP(Table2[[#This Row],[Code]],'[2]New Machine sheet'!$A$1:$D$101,2,0),0)</f>
        <v>282-03</v>
      </c>
      <c r="D285" s="62" t="str">
        <f>IFERROR(VLOOKUP(Table2[[#This Row],[M/c No]],'[2]New Machine sheet'!$B$1:$D$101,2,0),0)</f>
        <v>Mazak</v>
      </c>
      <c r="E285" s="62" t="str">
        <f>IFERROR(VLOOKUP(Table2[[#This Row],[M/c Name]],'[2]New Machine sheet'!$C$1:$D$101,2,0),0)</f>
        <v>Turning</v>
      </c>
      <c r="F285" s="62">
        <v>178</v>
      </c>
      <c r="G285" s="62">
        <f>IFERROR(VLOOKUP(Table2[[#This Row],[Code2]],'[2]New Machine sheet'!$F$2:$I$64,2,),0)</f>
        <v>24178</v>
      </c>
      <c r="H285" s="62" t="str">
        <f>IFERROR(VLOOKUP(Table2[[#This Row],[Code2]],'[2]New Machine sheet'!$F$2:$I$64,3,0),0)</f>
        <v>RE J1</v>
      </c>
      <c r="I285" s="62" t="s">
        <v>162</v>
      </c>
      <c r="J285" s="62">
        <v>5</v>
      </c>
      <c r="K285" s="62" t="str">
        <f>IFERROR(VLOOKUP(Table2[[#This Row],[Code3]],'[2]New defect code '!$A$2:$D$129,2,0),0)</f>
        <v>Bore Over size</v>
      </c>
      <c r="L285" s="62" t="s">
        <v>195</v>
      </c>
      <c r="M285" s="56">
        <v>46266</v>
      </c>
      <c r="N285" s="62"/>
      <c r="O285" s="62"/>
      <c r="P285" s="62">
        <v>1</v>
      </c>
      <c r="Q285" s="62"/>
      <c r="R285" s="62">
        <f>SUBTOTAL(9,Table2[[#This Row],[1st]:[FQC]])</f>
        <v>1</v>
      </c>
      <c r="S285" s="62">
        <f>IFERROR(VLOOKUP(Table2[[#This Row],[Part No.]],'[2]New Machine sheet'!$G$2:$I$90,3,0),0)</f>
        <v>70.62</v>
      </c>
      <c r="T285" s="62">
        <f>Table2[[#This Row],[cost per piece]]*Table2[[#This Row],[Total Rej. qty]]</f>
        <v>70.62</v>
      </c>
      <c r="U285" s="62">
        <f>IFERROR(VLOOKUP(Table2[[#This Row],[Non Conformance]],'[2]New defect code '!$B$2:$C$129,2,0),0)</f>
        <v>3243</v>
      </c>
      <c r="V285" s="62">
        <v>18</v>
      </c>
      <c r="W285" s="62" t="str">
        <f>IFERROR(VLOOKUP(Table2[[#This Row],[Code4]],'[2]New Reason code'!$A$2:$D$77,2,0),0)</f>
        <v>During insert change</v>
      </c>
      <c r="X285" s="62" t="str">
        <f>IFERROR(VLOOKUP(Table2[[#This Row],[Reason]],'[2]New Reason code'!$B$2:$D$77,2,0),0)</f>
        <v xml:space="preserve">Due to Settup  </v>
      </c>
      <c r="Y285" s="62" t="str">
        <f>IFERROR(VLOOKUP(Table2[[#This Row],[Rejection Identified at]],'[2]New Reason code'!$C$2:$D$77,2,0),0)</f>
        <v>skill</v>
      </c>
    </row>
    <row r="286" spans="1:25" ht="20.25" customHeight="1">
      <c r="A286" s="60">
        <v>282</v>
      </c>
      <c r="B286" s="62">
        <v>1</v>
      </c>
      <c r="C286" s="62" t="str">
        <f>IFERROR(VLOOKUP(Table2[[#This Row],[Code]],'[2]New Machine sheet'!$A$1:$D$101,2,0),0)</f>
        <v>282-01</v>
      </c>
      <c r="D286" s="62" t="str">
        <f>IFERROR(VLOOKUP(Table2[[#This Row],[M/c No]],'[2]New Machine sheet'!$B$1:$D$101,2,0),0)</f>
        <v>Mazak</v>
      </c>
      <c r="E286" s="62" t="str">
        <f>IFERROR(VLOOKUP(Table2[[#This Row],[M/c Name]],'[2]New Machine sheet'!$C$1:$D$101,2,0),0)</f>
        <v>Turning</v>
      </c>
      <c r="F286" s="62">
        <v>52</v>
      </c>
      <c r="G286" s="62">
        <f>IFERROR(VLOOKUP(Table2[[#This Row],[Code2]],'[2]New Machine sheet'!$F$2:$I$64,2,),0)</f>
        <v>2452</v>
      </c>
      <c r="H286" s="62" t="str">
        <f>IFERROR(VLOOKUP(Table2[[#This Row],[Code2]],'[2]New Machine sheet'!$F$2:$I$64,3,0),0)</f>
        <v>RE P1</v>
      </c>
      <c r="I286" s="62" t="s">
        <v>134</v>
      </c>
      <c r="J286" s="62">
        <v>5</v>
      </c>
      <c r="K286" s="62" t="str">
        <f>IFERROR(VLOOKUP(Table2[[#This Row],[Code3]],'[2]New defect code '!$A$2:$D$129,2,0),0)</f>
        <v>Bore Over size</v>
      </c>
      <c r="L286" s="62" t="s">
        <v>195</v>
      </c>
      <c r="M286" s="56">
        <v>46266</v>
      </c>
      <c r="N286" s="62"/>
      <c r="O286" s="62"/>
      <c r="P286" s="62">
        <v>6</v>
      </c>
      <c r="Q286" s="62"/>
      <c r="R286" s="62">
        <f>SUBTOTAL(9,Table2[[#This Row],[1st]:[FQC]])</f>
        <v>6</v>
      </c>
      <c r="S286" s="62">
        <f>IFERROR(VLOOKUP(Table2[[#This Row],[Part No.]],'[2]New Machine sheet'!$G$2:$I$90,3,0),0)</f>
        <v>400</v>
      </c>
      <c r="T286" s="62">
        <f>Table2[[#This Row],[cost per piece]]*Table2[[#This Row],[Total Rej. qty]]</f>
        <v>2400</v>
      </c>
      <c r="U286" s="62">
        <f>IFERROR(VLOOKUP(Table2[[#This Row],[Non Conformance]],'[2]New defect code '!$B$2:$C$129,2,0),0)</f>
        <v>3243</v>
      </c>
      <c r="V286" s="62">
        <v>19</v>
      </c>
      <c r="W286" s="62" t="str">
        <f>IFERROR(VLOOKUP(Table2[[#This Row],[Code4]],'[2]New Reason code'!$A$2:$D$77,2,0),0)</f>
        <v>During Rework time</v>
      </c>
      <c r="X286" s="62" t="str">
        <f>IFERROR(VLOOKUP(Table2[[#This Row],[Reason]],'[2]New Reason code'!$B$2:$D$77,2,0),0)</f>
        <v>Due to operator</v>
      </c>
      <c r="Y286" s="62" t="str">
        <f>IFERROR(VLOOKUP(Table2[[#This Row],[Rejection Identified at]],'[2]New Reason code'!$C$2:$D$77,2,0),0)</f>
        <v xml:space="preserve">infrastructure </v>
      </c>
    </row>
    <row r="287" spans="1:25" ht="20.25" customHeight="1">
      <c r="A287" s="50">
        <v>283</v>
      </c>
      <c r="B287" s="62">
        <v>62</v>
      </c>
      <c r="C287" s="62" t="str">
        <f>IFERROR(VLOOKUP(Table2[[#This Row],[Code]],'[2]New Machine sheet'!$A$1:$D$101,2,0),0)</f>
        <v>FQC</v>
      </c>
      <c r="D287" s="62" t="str">
        <f>IFERROR(VLOOKUP(Table2[[#This Row],[M/c No]],'[2]New Machine sheet'!$B$1:$D$101,2,0),0)</f>
        <v>FQC</v>
      </c>
      <c r="E287" s="62" t="str">
        <f>IFERROR(VLOOKUP(Table2[[#This Row],[M/c Name]],'[2]New Machine sheet'!$C$1:$D$101,2,0),0)</f>
        <v>fqc</v>
      </c>
      <c r="F287" s="62">
        <v>77</v>
      </c>
      <c r="G287" s="62">
        <f>IFERROR(VLOOKUP(Table2[[#This Row],[Code2]],'[2]New Machine sheet'!$F$2:$I$64,2,),0)</f>
        <v>2477</v>
      </c>
      <c r="H287" s="62" t="str">
        <f>IFERROR(VLOOKUP(Table2[[#This Row],[Code2]],'[2]New Machine sheet'!$F$2:$I$64,3,0),0)</f>
        <v>RE P1</v>
      </c>
      <c r="I287" s="62" t="s">
        <v>167</v>
      </c>
      <c r="J287" s="62">
        <v>5</v>
      </c>
      <c r="K287" s="62" t="str">
        <f>IFERROR(VLOOKUP(Table2[[#This Row],[Code3]],'[2]New defect code '!$A$2:$D$129,2,0),0)</f>
        <v>Bore Over size</v>
      </c>
      <c r="L287" s="62" t="s">
        <v>195</v>
      </c>
      <c r="M287" s="56">
        <v>46266</v>
      </c>
      <c r="N287" s="62"/>
      <c r="O287" s="62"/>
      <c r="P287" s="62"/>
      <c r="Q287" s="62">
        <v>1</v>
      </c>
      <c r="R287" s="62">
        <f>SUBTOTAL(9,Table2[[#This Row],[1st]:[FQC]])</f>
        <v>1</v>
      </c>
      <c r="S287" s="62">
        <f>IFERROR(VLOOKUP(Table2[[#This Row],[Part No.]],'[2]New Machine sheet'!$G$2:$I$90,3,0),0)</f>
        <v>79.064999999999998</v>
      </c>
      <c r="T287" s="62">
        <f>Table2[[#This Row],[cost per piece]]*Table2[[#This Row],[Total Rej. qty]]</f>
        <v>79.064999999999998</v>
      </c>
      <c r="U287" s="62">
        <f>IFERROR(VLOOKUP(Table2[[#This Row],[Non Conformance]],'[2]New defect code '!$B$2:$C$129,2,0),0)</f>
        <v>3243</v>
      </c>
      <c r="V287" s="62">
        <v>24</v>
      </c>
      <c r="W287" s="62" t="str">
        <f>IFERROR(VLOOKUP(Table2[[#This Row],[Code4]],'[2]New Reason code'!$A$2:$D$77,2,0),0)</f>
        <v>FQC return</v>
      </c>
      <c r="X287" s="62" t="str">
        <f>IFERROR(VLOOKUP(Table2[[#This Row],[Reason]],'[2]New Reason code'!$B$2:$D$77,2,0),0)</f>
        <v>Due to operator</v>
      </c>
      <c r="Y287" s="62" t="str">
        <f>IFERROR(VLOOKUP(Table2[[#This Row],[Rejection Identified at]],'[2]New Reason code'!$C$2:$D$77,2,0),0)</f>
        <v xml:space="preserve">infrastructure </v>
      </c>
    </row>
    <row r="288" spans="1:25" ht="20.25" customHeight="1">
      <c r="A288" s="60">
        <v>284</v>
      </c>
      <c r="B288" s="62">
        <v>19</v>
      </c>
      <c r="C288" s="62" t="str">
        <f>IFERROR(VLOOKUP(Table2[[#This Row],[Code]],'[2]New Machine sheet'!$A$1:$D$101,2,0),0)</f>
        <v>282-19</v>
      </c>
      <c r="D288" s="62" t="str">
        <f>IFERROR(VLOOKUP(Table2[[#This Row],[M/c No]],'[2]New Machine sheet'!$B$1:$D$101,2,0),0)</f>
        <v>Mazak</v>
      </c>
      <c r="E288" s="62" t="str">
        <f>IFERROR(VLOOKUP(Table2[[#This Row],[M/c Name]],'[2]New Machine sheet'!$C$1:$D$101,2,0),0)</f>
        <v>Turning</v>
      </c>
      <c r="F288" s="62">
        <v>122</v>
      </c>
      <c r="G288" s="62">
        <f>IFERROR(VLOOKUP(Table2[[#This Row],[Code2]],'[2]New Machine sheet'!$F$2:$I$64,2,),0)</f>
        <v>24122</v>
      </c>
      <c r="H288" s="62" t="str">
        <f>IFERROR(VLOOKUP(Table2[[#This Row],[Code2]],'[2]New Machine sheet'!$F$2:$I$64,3,0),0)</f>
        <v>RE J1</v>
      </c>
      <c r="I288" s="62" t="s">
        <v>171</v>
      </c>
      <c r="J288" s="62">
        <v>5</v>
      </c>
      <c r="K288" s="62" t="str">
        <f>IFERROR(VLOOKUP(Table2[[#This Row],[Code3]],'[2]New defect code '!$A$2:$D$129,2,0),0)</f>
        <v>Bore Over size</v>
      </c>
      <c r="L288" s="62" t="s">
        <v>195</v>
      </c>
      <c r="M288" s="56">
        <v>46266</v>
      </c>
      <c r="N288" s="62"/>
      <c r="O288" s="62"/>
      <c r="P288" s="62">
        <v>1</v>
      </c>
      <c r="Q288" s="62"/>
      <c r="R288" s="62">
        <f>SUBTOTAL(9,Table2[[#This Row],[1st]:[FQC]])</f>
        <v>1</v>
      </c>
      <c r="S288" s="62">
        <f>IFERROR(VLOOKUP(Table2[[#This Row],[Part No.]],'[2]New Machine sheet'!$G$2:$I$90,3,0),0)</f>
        <v>335.39977528089889</v>
      </c>
      <c r="T288" s="62">
        <f>Table2[[#This Row],[cost per piece]]*Table2[[#This Row],[Total Rej. qty]]</f>
        <v>335.39977528089889</v>
      </c>
      <c r="U288" s="62">
        <f>IFERROR(VLOOKUP(Table2[[#This Row],[Non Conformance]],'[2]New defect code '!$B$2:$C$129,2,0),0)</f>
        <v>3243</v>
      </c>
      <c r="V288" s="62">
        <v>18</v>
      </c>
      <c r="W288" s="62" t="str">
        <f>IFERROR(VLOOKUP(Table2[[#This Row],[Code4]],'[2]New Reason code'!$A$2:$D$77,2,0),0)</f>
        <v>During insert change</v>
      </c>
      <c r="X288" s="62" t="str">
        <f>IFERROR(VLOOKUP(Table2[[#This Row],[Reason]],'[2]New Reason code'!$B$2:$D$77,2,0),0)</f>
        <v xml:space="preserve">Due to Settup  </v>
      </c>
      <c r="Y288" s="62" t="str">
        <f>IFERROR(VLOOKUP(Table2[[#This Row],[Rejection Identified at]],'[2]New Reason code'!$C$2:$D$77,2,0),0)</f>
        <v>skill</v>
      </c>
    </row>
    <row r="289" spans="1:25" ht="20.25" customHeight="1">
      <c r="A289" s="60">
        <v>285</v>
      </c>
      <c r="B289" s="62">
        <v>44</v>
      </c>
      <c r="C289" s="62" t="str">
        <f>IFERROR(VLOOKUP(Table2[[#This Row],[Code]],'[2]New Machine sheet'!$A$1:$D$101,2,0),0)</f>
        <v>LT20-NEW</v>
      </c>
      <c r="D289" s="62" t="str">
        <f>IFERROR(VLOOKUP(Table2[[#This Row],[M/c No]],'[2]New Machine sheet'!$B$1:$D$101,2,0),0)</f>
        <v>ACE</v>
      </c>
      <c r="E289" s="62" t="str">
        <f>IFERROR(VLOOKUP(Table2[[#This Row],[M/c Name]],'[2]New Machine sheet'!$C$1:$D$101,2,0),0)</f>
        <v xml:space="preserve">turning </v>
      </c>
      <c r="F289" s="62">
        <v>172</v>
      </c>
      <c r="G289" s="62">
        <f>IFERROR(VLOOKUP(Table2[[#This Row],[Code2]],'[2]New Machine sheet'!$F$2:$I$64,2,),0)</f>
        <v>24172</v>
      </c>
      <c r="H289" s="62" t="str">
        <f>IFERROR(VLOOKUP(Table2[[#This Row],[Code2]],'[2]New Machine sheet'!$F$2:$I$64,3,0),0)</f>
        <v>RE J1</v>
      </c>
      <c r="I289" s="62" t="s">
        <v>185</v>
      </c>
      <c r="J289" s="62">
        <v>66</v>
      </c>
      <c r="K289" s="62" t="str">
        <f>IFERROR(VLOOKUP(Table2[[#This Row],[Code3]],'[2]New defect code '!$A$2:$D$129,2,0),0)</f>
        <v>OD Under Size</v>
      </c>
      <c r="L289" s="62" t="s">
        <v>195</v>
      </c>
      <c r="M289" s="56">
        <v>46266</v>
      </c>
      <c r="N289" s="62"/>
      <c r="O289" s="62"/>
      <c r="P289" s="62">
        <v>2</v>
      </c>
      <c r="Q289" s="62"/>
      <c r="R289" s="62">
        <f>SUBTOTAL(9,Table2[[#This Row],[1st]:[FQC]])</f>
        <v>2</v>
      </c>
      <c r="S289" s="62">
        <f>IFERROR(VLOOKUP(Table2[[#This Row],[Part No.]],'[2]New Machine sheet'!$G$2:$I$90,3,0),0)</f>
        <v>348.33</v>
      </c>
      <c r="T289" s="62">
        <f>Table2[[#This Row],[cost per piece]]*Table2[[#This Row],[Total Rej. qty]]</f>
        <v>696.66</v>
      </c>
      <c r="U289" s="62">
        <f>IFERROR(VLOOKUP(Table2[[#This Row],[Non Conformance]],'[2]New defect code '!$B$2:$C$129,2,0),0)</f>
        <v>3242</v>
      </c>
      <c r="V289" s="62">
        <v>19</v>
      </c>
      <c r="W289" s="62" t="str">
        <f>IFERROR(VLOOKUP(Table2[[#This Row],[Code4]],'[2]New Reason code'!$A$2:$D$77,2,0),0)</f>
        <v>During Rework time</v>
      </c>
      <c r="X289" s="62" t="str">
        <f>IFERROR(VLOOKUP(Table2[[#This Row],[Reason]],'[2]New Reason code'!$B$2:$D$77,2,0),0)</f>
        <v>Due to operator</v>
      </c>
      <c r="Y289" s="62" t="str">
        <f>IFERROR(VLOOKUP(Table2[[#This Row],[Rejection Identified at]],'[2]New Reason code'!$C$2:$D$77,2,0),0)</f>
        <v xml:space="preserve">infrastructure </v>
      </c>
    </row>
    <row r="290" spans="1:25" ht="20.25" customHeight="1">
      <c r="A290" s="50">
        <v>286</v>
      </c>
      <c r="B290" s="62">
        <v>23</v>
      </c>
      <c r="C290" s="62" t="str">
        <f>IFERROR(VLOOKUP(Table2[[#This Row],[Code]],'[2]New Machine sheet'!$A$1:$D$101,2,0),0)</f>
        <v>ACE-03</v>
      </c>
      <c r="D290" s="62" t="str">
        <f>IFERROR(VLOOKUP(Table2[[#This Row],[M/c No]],'[2]New Machine sheet'!$B$1:$D$101,2,0),0)</f>
        <v>Micromatic</v>
      </c>
      <c r="E290" s="62" t="str">
        <f>IFERROR(VLOOKUP(Table2[[#This Row],[M/c Name]],'[2]New Machine sheet'!$C$1:$D$101,2,0),0)</f>
        <v>Turning</v>
      </c>
      <c r="F290" s="62">
        <v>29</v>
      </c>
      <c r="G290" s="62">
        <f>IFERROR(VLOOKUP(Table2[[#This Row],[Code2]],'[2]New Machine sheet'!$F$2:$I$64,2,),0)</f>
        <v>2429</v>
      </c>
      <c r="H290" s="62" t="str">
        <f>IFERROR(VLOOKUP(Table2[[#This Row],[Code2]],'[2]New Machine sheet'!$F$2:$I$64,3,0),0)</f>
        <v>RE P1</v>
      </c>
      <c r="I290" s="62" t="s">
        <v>198</v>
      </c>
      <c r="J290" s="62">
        <v>93</v>
      </c>
      <c r="K290" s="62" t="str">
        <f>IFERROR(VLOOKUP(Table2[[#This Row],[Code3]],'[2]New defect code '!$A$2:$D$129,2,0),0)</f>
        <v>Thickness Under size</v>
      </c>
      <c r="L290" s="62" t="s">
        <v>195</v>
      </c>
      <c r="M290" s="56">
        <v>46266</v>
      </c>
      <c r="N290" s="62"/>
      <c r="O290" s="62"/>
      <c r="P290" s="62">
        <v>4</v>
      </c>
      <c r="Q290" s="62"/>
      <c r="R290" s="62">
        <f>SUBTOTAL(9,Table2[[#This Row],[1st]:[FQC]])</f>
        <v>4</v>
      </c>
      <c r="S290" s="62">
        <f>IFERROR(VLOOKUP(Table2[[#This Row],[Part No.]],'[2]New Machine sheet'!$G$2:$I$90,3,0),0)</f>
        <v>142.61000000000001</v>
      </c>
      <c r="T290" s="62">
        <f>Table2[[#This Row],[cost per piece]]*Table2[[#This Row],[Total Rej. qty]]</f>
        <v>570.44000000000005</v>
      </c>
      <c r="U290" s="62">
        <f>IFERROR(VLOOKUP(Table2[[#This Row],[Non Conformance]],'[2]New defect code '!$B$2:$C$129,2,0),0)</f>
        <v>3258</v>
      </c>
      <c r="V290" s="62">
        <v>19</v>
      </c>
      <c r="W290" s="62" t="str">
        <f>IFERROR(VLOOKUP(Table2[[#This Row],[Code4]],'[2]New Reason code'!$A$2:$D$77,2,0),0)</f>
        <v>During Rework time</v>
      </c>
      <c r="X290" s="62" t="str">
        <f>IFERROR(VLOOKUP(Table2[[#This Row],[Reason]],'[2]New Reason code'!$B$2:$D$77,2,0),0)</f>
        <v>Due to operator</v>
      </c>
      <c r="Y290" s="62" t="str">
        <f>IFERROR(VLOOKUP(Table2[[#This Row],[Rejection Identified at]],'[2]New Reason code'!$C$2:$D$77,2,0),0)</f>
        <v xml:space="preserve">infrastructure </v>
      </c>
    </row>
    <row r="291" spans="1:25" ht="20.25" customHeight="1">
      <c r="A291" s="50">
        <v>287</v>
      </c>
      <c r="B291" s="62">
        <v>44</v>
      </c>
      <c r="C291" s="62" t="str">
        <f>IFERROR(VLOOKUP(Table2[[#This Row],[Code]],'[2]New Machine sheet'!$A$1:$D$101,2,0),0)</f>
        <v>LT20-NEW</v>
      </c>
      <c r="D291" s="62" t="str">
        <f>IFERROR(VLOOKUP(Table2[[#This Row],[M/c No]],'[2]New Machine sheet'!$B$1:$D$101,2,0),0)</f>
        <v>ACE</v>
      </c>
      <c r="E291" s="62" t="str">
        <f>IFERROR(VLOOKUP(Table2[[#This Row],[M/c Name]],'[2]New Machine sheet'!$C$1:$D$101,2,0),0)</f>
        <v xml:space="preserve">turning </v>
      </c>
      <c r="F291" s="62">
        <v>172</v>
      </c>
      <c r="G291" s="62">
        <f>IFERROR(VLOOKUP(Table2[[#This Row],[Code2]],'[2]New Machine sheet'!$F$2:$I$64,2,),0)</f>
        <v>24172</v>
      </c>
      <c r="H291" s="62" t="str">
        <f>IFERROR(VLOOKUP(Table2[[#This Row],[Code2]],'[2]New Machine sheet'!$F$2:$I$64,3,0),0)</f>
        <v>RE J1</v>
      </c>
      <c r="I291" s="62" t="s">
        <v>141</v>
      </c>
      <c r="J291" s="62">
        <v>66</v>
      </c>
      <c r="K291" s="62" t="str">
        <f>IFERROR(VLOOKUP(Table2[[#This Row],[Code3]],'[2]New defect code '!$A$2:$D$129,2,0),0)</f>
        <v>OD Under Size</v>
      </c>
      <c r="L291" s="62" t="s">
        <v>200</v>
      </c>
      <c r="M291" s="56">
        <v>46266</v>
      </c>
      <c r="N291" s="62">
        <v>1</v>
      </c>
      <c r="O291" s="62"/>
      <c r="P291" s="62"/>
      <c r="Q291" s="62"/>
      <c r="R291" s="62">
        <f>SUBTOTAL(9,Table2[[#This Row],[1st]:[FQC]])</f>
        <v>1</v>
      </c>
      <c r="S291" s="62">
        <f>IFERROR(VLOOKUP(Table2[[#This Row],[Part No.]],'[2]New Machine sheet'!$G$2:$I$90,3,0),0)</f>
        <v>348.33</v>
      </c>
      <c r="T291" s="62">
        <f>Table2[[#This Row],[cost per piece]]*Table2[[#This Row],[Total Rej. qty]]</f>
        <v>348.33</v>
      </c>
      <c r="U291" s="62">
        <f>IFERROR(VLOOKUP(Table2[[#This Row],[Non Conformance]],'[2]New defect code '!$B$2:$C$129,2,0),0)</f>
        <v>3242</v>
      </c>
      <c r="V291" s="62">
        <v>19</v>
      </c>
      <c r="W291" s="62" t="str">
        <f>IFERROR(VLOOKUP(Table2[[#This Row],[Code4]],'[2]New Reason code'!$A$2:$D$77,2,0),0)</f>
        <v>During Rework time</v>
      </c>
      <c r="X291" s="62" t="str">
        <f>IFERROR(VLOOKUP(Table2[[#This Row],[Reason]],'[2]New Reason code'!$B$2:$D$77,2,0),0)</f>
        <v>Due to operator</v>
      </c>
      <c r="Y291" s="62" t="str">
        <f>IFERROR(VLOOKUP(Table2[[#This Row],[Rejection Identified at]],'[2]New Reason code'!$C$2:$D$77,2,0),0)</f>
        <v xml:space="preserve">infrastructure </v>
      </c>
    </row>
    <row r="292" spans="1:25" ht="20.25" customHeight="1">
      <c r="A292" s="60">
        <v>288</v>
      </c>
      <c r="B292" s="62">
        <v>44</v>
      </c>
      <c r="C292" s="62" t="str">
        <f>IFERROR(VLOOKUP(Table2[[#This Row],[Code]],'[2]New Machine sheet'!$A$1:$D$101,2,0),0)</f>
        <v>LT20-NEW</v>
      </c>
      <c r="D292" s="62" t="str">
        <f>IFERROR(VLOOKUP(Table2[[#This Row],[M/c No]],'[2]New Machine sheet'!$B$1:$D$101,2,0),0)</f>
        <v>ACE</v>
      </c>
      <c r="E292" s="62" t="str">
        <f>IFERROR(VLOOKUP(Table2[[#This Row],[M/c Name]],'[2]New Machine sheet'!$C$1:$D$101,2,0),0)</f>
        <v xml:space="preserve">turning </v>
      </c>
      <c r="F292" s="62">
        <v>185</v>
      </c>
      <c r="G292" s="62">
        <f>IFERROR(VLOOKUP(Table2[[#This Row],[Code2]],'[2]New Machine sheet'!$F$2:$I$64,2,),0)</f>
        <v>24185</v>
      </c>
      <c r="H292" s="62" t="str">
        <f>IFERROR(VLOOKUP(Table2[[#This Row],[Code2]],'[2]New Machine sheet'!$F$2:$I$64,3,0),0)</f>
        <v>RE Bush</v>
      </c>
      <c r="I292" s="62" t="s">
        <v>141</v>
      </c>
      <c r="J292" s="62">
        <v>21</v>
      </c>
      <c r="K292" s="62" t="str">
        <f>IFERROR(VLOOKUP(Table2[[#This Row],[Code3]],'[2]New defect code '!$A$2:$D$129,2,0),0)</f>
        <v>Bush Reject of defective part</v>
      </c>
      <c r="L292" s="62" t="s">
        <v>200</v>
      </c>
      <c r="M292" s="56">
        <v>46266</v>
      </c>
      <c r="N292" s="62">
        <v>1</v>
      </c>
      <c r="O292" s="62"/>
      <c r="P292" s="62"/>
      <c r="Q292" s="62"/>
      <c r="R292" s="62">
        <f>SUBTOTAL(9,Table2[[#This Row],[1st]:[FQC]])</f>
        <v>1</v>
      </c>
      <c r="S292" s="62">
        <f>IFERROR(VLOOKUP(Table2[[#This Row],[Part No.]],'[2]New Machine sheet'!$G$2:$I$90,3,0),0)</f>
        <v>25.53</v>
      </c>
      <c r="T292" s="62">
        <f>Table2[[#This Row],[cost per piece]]*Table2[[#This Row],[Total Rej. qty]]</f>
        <v>25.53</v>
      </c>
      <c r="U292" s="62">
        <f>IFERROR(VLOOKUP(Table2[[#This Row],[Non Conformance]],'[2]New defect code '!$B$2:$C$129,2,0),0)</f>
        <v>0</v>
      </c>
      <c r="V292" s="62">
        <v>6</v>
      </c>
      <c r="W292" s="62" t="str">
        <f>IFERROR(VLOOKUP(Table2[[#This Row],[Code4]],'[2]New Reason code'!$A$2:$D$77,2,0),0)</f>
        <v>bush will not use again</v>
      </c>
      <c r="X292" s="62" t="str">
        <f>IFERROR(VLOOKUP(Table2[[#This Row],[Reason]],'[2]New Reason code'!$B$2:$D$77,2,0),0)</f>
        <v>Prod Declared</v>
      </c>
      <c r="Y292" s="62" t="str">
        <f>IFERROR(VLOOKUP(Table2[[#This Row],[Rejection Identified at]],'[2]New Reason code'!$C$2:$D$77,2,0),0)</f>
        <v>Process Issue</v>
      </c>
    </row>
    <row r="293" spans="1:25" ht="20.25" customHeight="1">
      <c r="A293" s="60">
        <v>289</v>
      </c>
      <c r="B293" s="62">
        <v>12</v>
      </c>
      <c r="C293" s="62" t="str">
        <f>IFERROR(VLOOKUP(Table2[[#This Row],[Code]],'[2]New Machine sheet'!$A$1:$D$101,2,0),0)</f>
        <v>282-12</v>
      </c>
      <c r="D293" s="62" t="str">
        <f>IFERROR(VLOOKUP(Table2[[#This Row],[M/c No]],'[2]New Machine sheet'!$B$1:$D$101,2,0),0)</f>
        <v>Mazak</v>
      </c>
      <c r="E293" s="62" t="str">
        <f>IFERROR(VLOOKUP(Table2[[#This Row],[M/c Name]],'[2]New Machine sheet'!$C$1:$D$101,2,0),0)</f>
        <v>Turning</v>
      </c>
      <c r="F293" s="62">
        <v>74</v>
      </c>
      <c r="G293" s="62">
        <f>IFERROR(VLOOKUP(Table2[[#This Row],[Code2]],'[2]New Machine sheet'!$F$2:$I$64,2,),0)</f>
        <v>2474</v>
      </c>
      <c r="H293" s="62" t="str">
        <f>IFERROR(VLOOKUP(Table2[[#This Row],[Code2]],'[2]New Machine sheet'!$F$2:$I$64,3,0),0)</f>
        <v>RE P1</v>
      </c>
      <c r="I293" s="62" t="s">
        <v>127</v>
      </c>
      <c r="J293" s="62">
        <v>3</v>
      </c>
      <c r="K293" s="62" t="str">
        <f>IFERROR(VLOOKUP(Table2[[#This Row],[Code3]],'[2]New defect code '!$A$2:$D$129,2,0),0)</f>
        <v>Bore damage</v>
      </c>
      <c r="L293" s="62" t="s">
        <v>200</v>
      </c>
      <c r="M293" s="56">
        <v>46266</v>
      </c>
      <c r="N293" s="62">
        <v>1</v>
      </c>
      <c r="O293" s="62"/>
      <c r="P293" s="62"/>
      <c r="Q293" s="62"/>
      <c r="R293" s="62">
        <f>SUBTOTAL(9,Table2[[#This Row],[1st]:[FQC]])</f>
        <v>1</v>
      </c>
      <c r="S293" s="62">
        <f>IFERROR(VLOOKUP(Table2[[#This Row],[Part No.]],'[2]New Machine sheet'!$G$2:$I$90,3,0),0)</f>
        <v>158.21</v>
      </c>
      <c r="T293" s="62">
        <f>Table2[[#This Row],[cost per piece]]*Table2[[#This Row],[Total Rej. qty]]</f>
        <v>158.21</v>
      </c>
      <c r="U293" s="62">
        <f>IFERROR(VLOOKUP(Table2[[#This Row],[Non Conformance]],'[2]New defect code '!$B$2:$C$129,2,0),0)</f>
        <v>0</v>
      </c>
      <c r="V293" s="62">
        <v>66</v>
      </c>
      <c r="W293" s="62" t="str">
        <f>IFERROR(VLOOKUP(Table2[[#This Row],[Code4]],'[2]New Reason code'!$A$2:$D$77,2,0),0)</f>
        <v>Wrong Loading</v>
      </c>
      <c r="X293" s="62" t="str">
        <f>IFERROR(VLOOKUP(Table2[[#This Row],[Reason]],'[2]New Reason code'!$B$2:$D$77,2,0),0)</f>
        <v>Due to operator</v>
      </c>
      <c r="Y293" s="62" t="str">
        <f>IFERROR(VLOOKUP(Table2[[#This Row],[Rejection Identified at]],'[2]New Reason code'!$C$2:$D$77,2,0),0)</f>
        <v xml:space="preserve">infrastructure </v>
      </c>
    </row>
    <row r="294" spans="1:25" ht="20.25" customHeight="1">
      <c r="A294" s="50">
        <v>290</v>
      </c>
      <c r="B294" s="62">
        <v>5</v>
      </c>
      <c r="C294" s="62" t="str">
        <f>IFERROR(VLOOKUP(Table2[[#This Row],[Code]],'[2]New Machine sheet'!$A$1:$D$101,2,0),0)</f>
        <v>282-05</v>
      </c>
      <c r="D294" s="62" t="str">
        <f>IFERROR(VLOOKUP(Table2[[#This Row],[M/c No]],'[2]New Machine sheet'!$B$1:$D$101,2,0),0)</f>
        <v>Mazak</v>
      </c>
      <c r="E294" s="62" t="str">
        <f>IFERROR(VLOOKUP(Table2[[#This Row],[M/c Name]],'[2]New Machine sheet'!$C$1:$D$101,2,0),0)</f>
        <v>Turning</v>
      </c>
      <c r="F294" s="62">
        <v>119</v>
      </c>
      <c r="G294" s="62">
        <f>IFERROR(VLOOKUP(Table2[[#This Row],[Code2]],'[2]New Machine sheet'!$F$2:$I$64,2,),0)</f>
        <v>24119</v>
      </c>
      <c r="H294" s="62" t="str">
        <f>IFERROR(VLOOKUP(Table2[[#This Row],[Code2]],'[2]New Machine sheet'!$F$2:$I$64,3,0),0)</f>
        <v>RE J1</v>
      </c>
      <c r="I294" s="62" t="s">
        <v>154</v>
      </c>
      <c r="J294" s="62">
        <v>5</v>
      </c>
      <c r="K294" s="62" t="str">
        <f>IFERROR(VLOOKUP(Table2[[#This Row],[Code3]],'[2]New defect code '!$A$2:$D$129,2,0),0)</f>
        <v>Bore Over size</v>
      </c>
      <c r="L294" s="62" t="s">
        <v>200</v>
      </c>
      <c r="M294" s="56">
        <v>46266</v>
      </c>
      <c r="N294" s="62">
        <v>2</v>
      </c>
      <c r="O294" s="62"/>
      <c r="P294" s="62"/>
      <c r="Q294" s="62"/>
      <c r="R294" s="62">
        <f>SUBTOTAL(9,Table2[[#This Row],[1st]:[FQC]])</f>
        <v>2</v>
      </c>
      <c r="S294" s="62">
        <f>IFERROR(VLOOKUP(Table2[[#This Row],[Part No.]],'[2]New Machine sheet'!$G$2:$I$90,3,0),0)</f>
        <v>103.2</v>
      </c>
      <c r="T294" s="62">
        <f>Table2[[#This Row],[cost per piece]]*Table2[[#This Row],[Total Rej. qty]]</f>
        <v>206.4</v>
      </c>
      <c r="U294" s="62">
        <f>IFERROR(VLOOKUP(Table2[[#This Row],[Non Conformance]],'[2]New defect code '!$B$2:$C$129,2,0),0)</f>
        <v>3243</v>
      </c>
      <c r="V294" s="62">
        <v>45</v>
      </c>
      <c r="W294" s="62" t="str">
        <f>IFERROR(VLOOKUP(Table2[[#This Row],[Code4]],'[2]New Reason code'!$A$2:$D$77,2,0),0)</f>
        <v>Running m/c</v>
      </c>
      <c r="X294" s="62" t="str">
        <f>IFERROR(VLOOKUP(Table2[[#This Row],[Reason]],'[2]New Reason code'!$B$2:$D$77,2,0),0)</f>
        <v xml:space="preserve">Due to machine </v>
      </c>
      <c r="Y294" s="62" t="str">
        <f>IFERROR(VLOOKUP(Table2[[#This Row],[Rejection Identified at]],'[2]New Reason code'!$C$2:$D$77,2,0),0)</f>
        <v>process</v>
      </c>
    </row>
    <row r="295" spans="1:25" ht="20.25" customHeight="1">
      <c r="A295" s="50">
        <v>291</v>
      </c>
      <c r="B295" s="62"/>
      <c r="C295" s="62" t="s">
        <v>116</v>
      </c>
      <c r="D295" s="62" t="s">
        <v>117</v>
      </c>
      <c r="E295" s="62" t="str">
        <f>IFERROR(VLOOKUP(Table2[[#This Row],[M/c Name]],'[2]New Machine sheet'!$C$1:$D$101,2,0),0)</f>
        <v>Turning</v>
      </c>
      <c r="F295" s="62">
        <v>127</v>
      </c>
      <c r="G295" s="62">
        <f>IFERROR(VLOOKUP(Table2[[#This Row],[Code2]],'[2]New Machine sheet'!$F$2:$I$64,2,),0)</f>
        <v>24127</v>
      </c>
      <c r="H295" s="62" t="str">
        <f>IFERROR(VLOOKUP(Table2[[#This Row],[Code2]],'[2]New Machine sheet'!$F$2:$I$64,3,0),0)</f>
        <v>RE J1</v>
      </c>
      <c r="I295" s="62"/>
      <c r="J295" s="62">
        <v>40</v>
      </c>
      <c r="K295" s="62" t="str">
        <f>IFERROR(VLOOKUP(Table2[[#This Row],[Code3]],'[2]New defect code '!$A$2:$D$129,2,0),0)</f>
        <v>FACE Damage</v>
      </c>
      <c r="L295" s="62" t="s">
        <v>200</v>
      </c>
      <c r="M295" s="56">
        <v>46266</v>
      </c>
      <c r="N295" s="62">
        <v>1</v>
      </c>
      <c r="O295" s="62"/>
      <c r="P295" s="62"/>
      <c r="Q295" s="62"/>
      <c r="R295" s="62">
        <f>SUBTOTAL(9,Table2[[#This Row],[1st]:[FQC]])</f>
        <v>1</v>
      </c>
      <c r="S295" s="62">
        <f>IFERROR(VLOOKUP(Table2[[#This Row],[Part No.]],'[2]New Machine sheet'!$G$2:$I$90,3,0),0)</f>
        <v>262.81200000000001</v>
      </c>
      <c r="T295" s="62">
        <f>Table2[[#This Row],[cost per piece]]*Table2[[#This Row],[Total Rej. qty]]</f>
        <v>262.81200000000001</v>
      </c>
      <c r="U295" s="62">
        <f>IFERROR(VLOOKUP(Table2[[#This Row],[Non Conformance]],'[2]New defect code '!$B$2:$C$129,2,0),0)</f>
        <v>3229</v>
      </c>
      <c r="V295" s="62">
        <v>42</v>
      </c>
      <c r="W295" s="62" t="str">
        <f>IFERROR(VLOOKUP(Table2[[#This Row],[Code4]],'[2]New Reason code'!$A$2:$D$77,2,0),0)</f>
        <v>part not checked by operator</v>
      </c>
      <c r="X295" s="62" t="str">
        <f>IFERROR(VLOOKUP(Table2[[#This Row],[Reason]],'[2]New Reason code'!$B$2:$D$77,2,0),0)</f>
        <v>Line audit</v>
      </c>
      <c r="Y295" s="62" t="str">
        <f>IFERROR(VLOOKUP(Table2[[#This Row],[Rejection Identified at]],'[2]New Reason code'!$C$2:$D$77,2,0),0)</f>
        <v>Process Issue</v>
      </c>
    </row>
    <row r="296" spans="1:25" ht="20.25" customHeight="1">
      <c r="A296" s="60">
        <v>292</v>
      </c>
      <c r="B296" s="61"/>
      <c r="C296" s="61" t="s">
        <v>116</v>
      </c>
      <c r="D296" s="61" t="s">
        <v>117</v>
      </c>
      <c r="E296" s="61" t="str">
        <f>IFERROR(VLOOKUP(Table2[[#This Row],[M/c Name]],'[2]New Machine sheet'!$C$1:$D$101,2,0),0)</f>
        <v>Turning</v>
      </c>
      <c r="F296" s="61">
        <v>185</v>
      </c>
      <c r="G296" s="61">
        <f>IFERROR(VLOOKUP(Table2[[#This Row],[Code2]],'[2]New Machine sheet'!$F$2:$I$64,2,),0)</f>
        <v>24185</v>
      </c>
      <c r="H296" s="61" t="str">
        <f>IFERROR(VLOOKUP(Table2[[#This Row],[Code2]],'[2]New Machine sheet'!$F$2:$I$64,3,0),0)</f>
        <v>RE Bush</v>
      </c>
      <c r="I296" s="61"/>
      <c r="J296" s="61">
        <v>21</v>
      </c>
      <c r="K296" s="61" t="str">
        <f>IFERROR(VLOOKUP(Table2[[#This Row],[Code3]],'[2]New defect code '!$A$2:$D$129,2,0),0)</f>
        <v>Bush Reject of defective part</v>
      </c>
      <c r="L296" s="62" t="s">
        <v>200</v>
      </c>
      <c r="M296" s="56">
        <v>46266</v>
      </c>
      <c r="N296" s="61">
        <v>184</v>
      </c>
      <c r="O296" s="61"/>
      <c r="P296" s="61"/>
      <c r="Q296" s="61"/>
      <c r="R296" s="61">
        <f>SUBTOTAL(9,Table2[[#This Row],[1st]:[FQC]])</f>
        <v>184</v>
      </c>
      <c r="S296" s="61">
        <f>IFERROR(VLOOKUP(Table2[[#This Row],[Part No.]],'[2]New Machine sheet'!$G$2:$I$90,3,0),0)</f>
        <v>25.53</v>
      </c>
      <c r="T296" s="61">
        <f>Table2[[#This Row],[cost per piece]]*Table2[[#This Row],[Total Rej. qty]]</f>
        <v>4697.5200000000004</v>
      </c>
      <c r="U296" s="61">
        <f>IFERROR(VLOOKUP(Table2[[#This Row],[Non Conformance]],'[2]New defect code '!$B$2:$C$129,2,0),0)</f>
        <v>0</v>
      </c>
      <c r="V296" s="61">
        <v>6</v>
      </c>
      <c r="W296" s="61" t="str">
        <f>IFERROR(VLOOKUP(Table2[[#This Row],[Code4]],'[2]New Reason code'!$A$2:$D$77,2,0),0)</f>
        <v>bush will not use again</v>
      </c>
      <c r="X296" s="61" t="str">
        <f>IFERROR(VLOOKUP(Table2[[#This Row],[Reason]],'[2]New Reason code'!$B$2:$D$77,2,0),0)</f>
        <v>Prod Declared</v>
      </c>
      <c r="Y296" s="61" t="str">
        <f>IFERROR(VLOOKUP(Table2[[#This Row],[Rejection Identified at]],'[2]New Reason code'!$C$2:$D$77,2,0),0)</f>
        <v>Process Issue</v>
      </c>
    </row>
    <row r="297" spans="1:25" ht="20.25" customHeight="1">
      <c r="A297" s="60">
        <v>293</v>
      </c>
      <c r="B297" s="62">
        <v>22</v>
      </c>
      <c r="C297" s="62" t="str">
        <f>IFERROR(VLOOKUP(Table2[[#This Row],[Code]],'[2]New Machine sheet'!$A$1:$D$101,2,0),0)</f>
        <v>ACE-02</v>
      </c>
      <c r="D297" s="62" t="str">
        <f>IFERROR(VLOOKUP(Table2[[#This Row],[M/c No]],'[2]New Machine sheet'!$B$1:$D$101,2,0),0)</f>
        <v>Micromatic</v>
      </c>
      <c r="E297" s="62" t="str">
        <f>IFERROR(VLOOKUP(Table2[[#This Row],[M/c Name]],'[2]New Machine sheet'!$C$1:$D$101,2,0),0)</f>
        <v>Turning</v>
      </c>
      <c r="F297" s="62">
        <v>115</v>
      </c>
      <c r="G297" s="62">
        <f>IFERROR(VLOOKUP(Table2[[#This Row],[Code2]],'[2]New Machine sheet'!$F$2:$I$64,2,),0)</f>
        <v>24115</v>
      </c>
      <c r="H297" s="62" t="str">
        <f>IFERROR(VLOOKUP(Table2[[#This Row],[Code2]],'[2]New Machine sheet'!$F$2:$I$64,3,0),0)</f>
        <v>RE J1</v>
      </c>
      <c r="I297" s="62" t="s">
        <v>141</v>
      </c>
      <c r="J297" s="62">
        <v>5</v>
      </c>
      <c r="K297" s="62" t="str">
        <f>IFERROR(VLOOKUP(Table2[[#This Row],[Code3]],'[2]New defect code '!$A$2:$D$129,2,0),0)</f>
        <v>Bore Over size</v>
      </c>
      <c r="L297" s="62" t="s">
        <v>200</v>
      </c>
      <c r="M297" s="56">
        <v>46266</v>
      </c>
      <c r="N297" s="62">
        <v>9</v>
      </c>
      <c r="O297" s="62"/>
      <c r="P297" s="62"/>
      <c r="Q297" s="62"/>
      <c r="R297" s="62">
        <f>SUBTOTAL(9,Table2[[#This Row],[1st]:[FQC]])</f>
        <v>9</v>
      </c>
      <c r="S297" s="62">
        <f>IFERROR(VLOOKUP(Table2[[#This Row],[Part No.]],'[2]New Machine sheet'!$G$2:$I$90,3,0),0)</f>
        <v>66.900000000000006</v>
      </c>
      <c r="T297" s="62">
        <f>Table2[[#This Row],[cost per piece]]*Table2[[#This Row],[Total Rej. qty]]</f>
        <v>602.1</v>
      </c>
      <c r="U297" s="62">
        <f>IFERROR(VLOOKUP(Table2[[#This Row],[Non Conformance]],'[2]New defect code '!$B$2:$C$129,2,0),0)</f>
        <v>3243</v>
      </c>
      <c r="V297" s="62">
        <v>19</v>
      </c>
      <c r="W297" s="62" t="str">
        <f>IFERROR(VLOOKUP(Table2[[#This Row],[Code4]],'[2]New Reason code'!$A$2:$D$77,2,0),0)</f>
        <v>During Rework time</v>
      </c>
      <c r="X297" s="62" t="str">
        <f>IFERROR(VLOOKUP(Table2[[#This Row],[Reason]],'[2]New Reason code'!$B$2:$D$77,2,0),0)</f>
        <v>Due to operator</v>
      </c>
      <c r="Y297" s="62" t="str">
        <f>IFERROR(VLOOKUP(Table2[[#This Row],[Rejection Identified at]],'[2]New Reason code'!$C$2:$D$77,2,0),0)</f>
        <v xml:space="preserve">infrastructure </v>
      </c>
    </row>
    <row r="298" spans="1:25" ht="20.25" customHeight="1">
      <c r="A298" s="50">
        <v>294</v>
      </c>
      <c r="B298" s="62">
        <v>22</v>
      </c>
      <c r="C298" s="62" t="str">
        <f>IFERROR(VLOOKUP(Table2[[#This Row],[Code]],'[2]New Machine sheet'!$A$1:$D$101,2,0),0)</f>
        <v>ACE-02</v>
      </c>
      <c r="D298" s="62" t="str">
        <f>IFERROR(VLOOKUP(Table2[[#This Row],[M/c No]],'[2]New Machine sheet'!$B$1:$D$101,2,0),0)</f>
        <v>Micromatic</v>
      </c>
      <c r="E298" s="62" t="str">
        <f>IFERROR(VLOOKUP(Table2[[#This Row],[M/c Name]],'[2]New Machine sheet'!$C$1:$D$101,2,0),0)</f>
        <v>Turning</v>
      </c>
      <c r="F298" s="62">
        <v>115</v>
      </c>
      <c r="G298" s="62">
        <f>IFERROR(VLOOKUP(Table2[[#This Row],[Code2]],'[2]New Machine sheet'!$F$2:$I$64,2,),0)</f>
        <v>24115</v>
      </c>
      <c r="H298" s="62" t="str">
        <f>IFERROR(VLOOKUP(Table2[[#This Row],[Code2]],'[2]New Machine sheet'!$F$2:$I$64,3,0),0)</f>
        <v>RE J1</v>
      </c>
      <c r="I298" s="62" t="s">
        <v>141</v>
      </c>
      <c r="J298" s="62">
        <v>93</v>
      </c>
      <c r="K298" s="62" t="str">
        <f>IFERROR(VLOOKUP(Table2[[#This Row],[Code3]],'[2]New defect code '!$A$2:$D$129,2,0),0)</f>
        <v>Thickness Under size</v>
      </c>
      <c r="L298" s="62" t="s">
        <v>200</v>
      </c>
      <c r="M298" s="56">
        <v>46266</v>
      </c>
      <c r="N298" s="62">
        <v>3</v>
      </c>
      <c r="O298" s="62"/>
      <c r="P298" s="62"/>
      <c r="Q298" s="62"/>
      <c r="R298" s="62">
        <f>SUBTOTAL(9,Table2[[#This Row],[1st]:[FQC]])</f>
        <v>3</v>
      </c>
      <c r="S298" s="62">
        <f>IFERROR(VLOOKUP(Table2[[#This Row],[Part No.]],'[2]New Machine sheet'!$G$2:$I$90,3,0),0)</f>
        <v>66.900000000000006</v>
      </c>
      <c r="T298" s="62">
        <f>Table2[[#This Row],[cost per piece]]*Table2[[#This Row],[Total Rej. qty]]</f>
        <v>200.70000000000002</v>
      </c>
      <c r="U298" s="62">
        <f>IFERROR(VLOOKUP(Table2[[#This Row],[Non Conformance]],'[2]New defect code '!$B$2:$C$129,2,0),0)</f>
        <v>3258</v>
      </c>
      <c r="V298" s="62">
        <v>19</v>
      </c>
      <c r="W298" s="62" t="str">
        <f>IFERROR(VLOOKUP(Table2[[#This Row],[Code4]],'[2]New Reason code'!$A$2:$D$77,2,0),0)</f>
        <v>During Rework time</v>
      </c>
      <c r="X298" s="62" t="str">
        <f>IFERROR(VLOOKUP(Table2[[#This Row],[Reason]],'[2]New Reason code'!$B$2:$D$77,2,0),0)</f>
        <v>Due to operator</v>
      </c>
      <c r="Y298" s="62" t="str">
        <f>IFERROR(VLOOKUP(Table2[[#This Row],[Rejection Identified at]],'[2]New Reason code'!$C$2:$D$77,2,0),0)</f>
        <v xml:space="preserve">infrastructure </v>
      </c>
    </row>
    <row r="299" spans="1:25" ht="20.25" customHeight="1">
      <c r="A299" s="50">
        <v>295</v>
      </c>
      <c r="B299" s="62">
        <v>5</v>
      </c>
      <c r="C299" s="62" t="str">
        <f>IFERROR(VLOOKUP(Table2[[#This Row],[Code]],'[2]New Machine sheet'!$A$1:$D$101,2,0),0)</f>
        <v>282-05</v>
      </c>
      <c r="D299" s="62" t="str">
        <f>IFERROR(VLOOKUP(Table2[[#This Row],[M/c No]],'[2]New Machine sheet'!$B$1:$D$101,2,0),0)</f>
        <v>Mazak</v>
      </c>
      <c r="E299" s="62" t="str">
        <f>IFERROR(VLOOKUP(Table2[[#This Row],[M/c Name]],'[2]New Machine sheet'!$C$1:$D$101,2,0),0)</f>
        <v>Turning</v>
      </c>
      <c r="F299" s="62">
        <v>119</v>
      </c>
      <c r="G299" s="62">
        <f>IFERROR(VLOOKUP(Table2[[#This Row],[Code2]],'[2]New Machine sheet'!$F$2:$I$64,2,),0)</f>
        <v>24119</v>
      </c>
      <c r="H299" s="62" t="str">
        <f>IFERROR(VLOOKUP(Table2[[#This Row],[Code2]],'[2]New Machine sheet'!$F$2:$I$64,3,0),0)</f>
        <v>RE J1</v>
      </c>
      <c r="I299" s="62" t="s">
        <v>154</v>
      </c>
      <c r="J299" s="62">
        <v>70</v>
      </c>
      <c r="K299" s="62" t="str">
        <f>IFERROR(VLOOKUP(Table2[[#This Row],[Code3]],'[2]New defect code '!$A$2:$D$129,2,0),0)</f>
        <v>PCD R/O More</v>
      </c>
      <c r="L299" s="62" t="s">
        <v>200</v>
      </c>
      <c r="M299" s="56">
        <v>46266</v>
      </c>
      <c r="N299" s="62">
        <v>4</v>
      </c>
      <c r="O299" s="62"/>
      <c r="P299" s="62"/>
      <c r="Q299" s="62"/>
      <c r="R299" s="62">
        <f>SUBTOTAL(9,Table2[[#This Row],[1st]:[FQC]])</f>
        <v>4</v>
      </c>
      <c r="S299" s="62">
        <f>IFERROR(VLOOKUP(Table2[[#This Row],[Part No.]],'[2]New Machine sheet'!$G$2:$I$90,3,0),0)</f>
        <v>103.2</v>
      </c>
      <c r="T299" s="62">
        <f>Table2[[#This Row],[cost per piece]]*Table2[[#This Row],[Total Rej. qty]]</f>
        <v>412.8</v>
      </c>
      <c r="U299" s="62">
        <f>IFERROR(VLOOKUP(Table2[[#This Row],[Non Conformance]],'[2]New defect code '!$B$2:$C$129,2,0),0)</f>
        <v>3203</v>
      </c>
      <c r="V299" s="62">
        <v>45</v>
      </c>
      <c r="W299" s="62" t="str">
        <f>IFERROR(VLOOKUP(Table2[[#This Row],[Code4]],'[2]New Reason code'!$A$2:$D$77,2,0),0)</f>
        <v>Running m/c</v>
      </c>
      <c r="X299" s="62" t="str">
        <f>IFERROR(VLOOKUP(Table2[[#This Row],[Reason]],'[2]New Reason code'!$B$2:$D$77,2,0),0)</f>
        <v xml:space="preserve">Due to machine </v>
      </c>
      <c r="Y299" s="62" t="str">
        <f>IFERROR(VLOOKUP(Table2[[#This Row],[Rejection Identified at]],'[2]New Reason code'!$C$2:$D$77,2,0),0)</f>
        <v>process</v>
      </c>
    </row>
    <row r="300" spans="1:25" ht="20.25" customHeight="1">
      <c r="A300" s="60">
        <v>296</v>
      </c>
      <c r="B300" s="62">
        <v>15</v>
      </c>
      <c r="C300" s="62" t="str">
        <f>IFERROR(VLOOKUP(Table2[[#This Row],[Code]],'[2]New Machine sheet'!$A$1:$D$101,2,0),0)</f>
        <v>282-15</v>
      </c>
      <c r="D300" s="62" t="str">
        <f>IFERROR(VLOOKUP(Table2[[#This Row],[M/c No]],'[2]New Machine sheet'!$B$1:$D$101,2,0),0)</f>
        <v>Mazak</v>
      </c>
      <c r="E300" s="62" t="str">
        <f>IFERROR(VLOOKUP(Table2[[#This Row],[M/c Name]],'[2]New Machine sheet'!$C$1:$D$101,2,0),0)</f>
        <v>Turning</v>
      </c>
      <c r="F300" s="62">
        <v>122</v>
      </c>
      <c r="G300" s="62">
        <f>IFERROR(VLOOKUP(Table2[[#This Row],[Code2]],'[2]New Machine sheet'!$F$2:$I$64,2,),0)</f>
        <v>24122</v>
      </c>
      <c r="H300" s="62" t="str">
        <f>IFERROR(VLOOKUP(Table2[[#This Row],[Code2]],'[2]New Machine sheet'!$F$2:$I$64,3,0),0)</f>
        <v>RE J1</v>
      </c>
      <c r="I300" s="62"/>
      <c r="J300" s="62">
        <v>66</v>
      </c>
      <c r="K300" s="62" t="str">
        <f>IFERROR(VLOOKUP(Table2[[#This Row],[Code3]],'[2]New defect code '!$A$2:$D$129,2,0),0)</f>
        <v>OD Under Size</v>
      </c>
      <c r="L300" s="62" t="s">
        <v>200</v>
      </c>
      <c r="M300" s="56">
        <v>46266</v>
      </c>
      <c r="N300" s="62">
        <v>9</v>
      </c>
      <c r="O300" s="62"/>
      <c r="P300" s="62"/>
      <c r="Q300" s="62"/>
      <c r="R300" s="62">
        <f>SUBTOTAL(9,Table2[[#This Row],[1st]:[FQC]])</f>
        <v>9</v>
      </c>
      <c r="S300" s="62">
        <f>IFERROR(VLOOKUP(Table2[[#This Row],[Part No.]],'[2]New Machine sheet'!$G$2:$I$90,3,0),0)</f>
        <v>335.39977528089889</v>
      </c>
      <c r="T300" s="62">
        <f>Table2[[#This Row],[cost per piece]]*Table2[[#This Row],[Total Rej. qty]]</f>
        <v>3018.5979775280903</v>
      </c>
      <c r="U300" s="62">
        <f>IFERROR(VLOOKUP(Table2[[#This Row],[Non Conformance]],'[2]New defect code '!$B$2:$C$129,2,0),0)</f>
        <v>3242</v>
      </c>
      <c r="V300" s="62">
        <v>19</v>
      </c>
      <c r="W300" s="62" t="str">
        <f>IFERROR(VLOOKUP(Table2[[#This Row],[Code4]],'[2]New Reason code'!$A$2:$D$77,2,0),0)</f>
        <v>During Rework time</v>
      </c>
      <c r="X300" s="62" t="str">
        <f>IFERROR(VLOOKUP(Table2[[#This Row],[Reason]],'[2]New Reason code'!$B$2:$D$77,2,0),0)</f>
        <v>Due to operator</v>
      </c>
      <c r="Y300" s="62" t="str">
        <f>IFERROR(VLOOKUP(Table2[[#This Row],[Rejection Identified at]],'[2]New Reason code'!$C$2:$D$77,2,0),0)</f>
        <v xml:space="preserve">infrastructure </v>
      </c>
    </row>
    <row r="301" spans="1:25" ht="20.25" customHeight="1">
      <c r="A301" s="60">
        <v>297</v>
      </c>
      <c r="B301" s="62">
        <v>15</v>
      </c>
      <c r="C301" s="62" t="str">
        <f>IFERROR(VLOOKUP(Table2[[#This Row],[Code]],'[2]New Machine sheet'!$A$1:$D$101,2,0),0)</f>
        <v>282-15</v>
      </c>
      <c r="D301" s="62" t="str">
        <f>IFERROR(VLOOKUP(Table2[[#This Row],[M/c No]],'[2]New Machine sheet'!$B$1:$D$101,2,0),0)</f>
        <v>Mazak</v>
      </c>
      <c r="E301" s="62" t="str">
        <f>IFERROR(VLOOKUP(Table2[[#This Row],[M/c Name]],'[2]New Machine sheet'!$C$1:$D$101,2,0),0)</f>
        <v>Turning</v>
      </c>
      <c r="F301" s="62">
        <v>122</v>
      </c>
      <c r="G301" s="62">
        <f>IFERROR(VLOOKUP(Table2[[#This Row],[Code2]],'[2]New Machine sheet'!$F$2:$I$64,2,),0)</f>
        <v>24122</v>
      </c>
      <c r="H301" s="62" t="str">
        <f>IFERROR(VLOOKUP(Table2[[#This Row],[Code2]],'[2]New Machine sheet'!$F$2:$I$64,3,0),0)</f>
        <v>RE J1</v>
      </c>
      <c r="I301" s="62"/>
      <c r="J301" s="62">
        <v>93</v>
      </c>
      <c r="K301" s="62" t="str">
        <f>IFERROR(VLOOKUP(Table2[[#This Row],[Code3]],'[2]New defect code '!$A$2:$D$129,2,0),0)</f>
        <v>Thickness Under size</v>
      </c>
      <c r="L301" s="62" t="s">
        <v>200</v>
      </c>
      <c r="M301" s="56">
        <v>46266</v>
      </c>
      <c r="N301" s="62">
        <v>8</v>
      </c>
      <c r="O301" s="62"/>
      <c r="P301" s="62"/>
      <c r="Q301" s="62"/>
      <c r="R301" s="62">
        <f>SUBTOTAL(9,Table2[[#This Row],[1st]:[FQC]])</f>
        <v>8</v>
      </c>
      <c r="S301" s="62">
        <f>IFERROR(VLOOKUP(Table2[[#This Row],[Part No.]],'[2]New Machine sheet'!$G$2:$I$90,3,0),0)</f>
        <v>335.39977528089889</v>
      </c>
      <c r="T301" s="62">
        <f>Table2[[#This Row],[cost per piece]]*Table2[[#This Row],[Total Rej. qty]]</f>
        <v>2683.1982022471911</v>
      </c>
      <c r="U301" s="62">
        <f>IFERROR(VLOOKUP(Table2[[#This Row],[Non Conformance]],'[2]New defect code '!$B$2:$C$129,2,0),0)</f>
        <v>3258</v>
      </c>
      <c r="V301" s="62">
        <v>19</v>
      </c>
      <c r="W301" s="62" t="str">
        <f>IFERROR(VLOOKUP(Table2[[#This Row],[Code4]],'[2]New Reason code'!$A$2:$D$77,2,0),0)</f>
        <v>During Rework time</v>
      </c>
      <c r="X301" s="62" t="str">
        <f>IFERROR(VLOOKUP(Table2[[#This Row],[Reason]],'[2]New Reason code'!$B$2:$D$77,2,0),0)</f>
        <v>Due to operator</v>
      </c>
      <c r="Y301" s="62" t="str">
        <f>IFERROR(VLOOKUP(Table2[[#This Row],[Rejection Identified at]],'[2]New Reason code'!$C$2:$D$77,2,0),0)</f>
        <v xml:space="preserve">infrastructure </v>
      </c>
    </row>
    <row r="302" spans="1:25" ht="20.25" customHeight="1">
      <c r="A302" s="50">
        <v>298</v>
      </c>
      <c r="B302" s="62">
        <v>15</v>
      </c>
      <c r="C302" s="62" t="str">
        <f>IFERROR(VLOOKUP(Table2[[#This Row],[Code]],'[2]New Machine sheet'!$A$1:$D$101,2,0),0)</f>
        <v>282-15</v>
      </c>
      <c r="D302" s="62" t="str">
        <f>IFERROR(VLOOKUP(Table2[[#This Row],[M/c No]],'[2]New Machine sheet'!$B$1:$D$101,2,0),0)</f>
        <v>Mazak</v>
      </c>
      <c r="E302" s="62" t="str">
        <f>IFERROR(VLOOKUP(Table2[[#This Row],[M/c Name]],'[2]New Machine sheet'!$C$1:$D$101,2,0),0)</f>
        <v>Turning</v>
      </c>
      <c r="F302" s="62">
        <v>185</v>
      </c>
      <c r="G302" s="62">
        <f>IFERROR(VLOOKUP(Table2[[#This Row],[Code2]],'[2]New Machine sheet'!$F$2:$I$64,2,),0)</f>
        <v>24185</v>
      </c>
      <c r="H302" s="62" t="str">
        <f>IFERROR(VLOOKUP(Table2[[#This Row],[Code2]],'[2]New Machine sheet'!$F$2:$I$64,3,0),0)</f>
        <v>RE Bush</v>
      </c>
      <c r="I302" s="62"/>
      <c r="J302" s="62">
        <v>21</v>
      </c>
      <c r="K302" s="62" t="str">
        <f>IFERROR(VLOOKUP(Table2[[#This Row],[Code3]],'[2]New defect code '!$A$2:$D$129,2,0),0)</f>
        <v>Bush Reject of defective part</v>
      </c>
      <c r="L302" s="62" t="s">
        <v>200</v>
      </c>
      <c r="M302" s="56">
        <v>46266</v>
      </c>
      <c r="N302" s="62">
        <v>17</v>
      </c>
      <c r="O302" s="62"/>
      <c r="P302" s="62"/>
      <c r="Q302" s="62"/>
      <c r="R302" s="62">
        <f>SUBTOTAL(9,Table2[[#This Row],[1st]:[FQC]])</f>
        <v>17</v>
      </c>
      <c r="S302" s="62">
        <f>IFERROR(VLOOKUP(Table2[[#This Row],[Part No.]],'[2]New Machine sheet'!$G$2:$I$90,3,0),0)</f>
        <v>25.53</v>
      </c>
      <c r="T302" s="62">
        <f>Table2[[#This Row],[cost per piece]]*Table2[[#This Row],[Total Rej. qty]]</f>
        <v>434.01</v>
      </c>
      <c r="U302" s="62">
        <f>IFERROR(VLOOKUP(Table2[[#This Row],[Non Conformance]],'[2]New defect code '!$B$2:$C$129,2,0),0)</f>
        <v>0</v>
      </c>
      <c r="V302" s="62">
        <v>6</v>
      </c>
      <c r="W302" s="62" t="str">
        <f>IFERROR(VLOOKUP(Table2[[#This Row],[Code4]],'[2]New Reason code'!$A$2:$D$77,2,0),0)</f>
        <v>bush will not use again</v>
      </c>
      <c r="X302" s="62" t="str">
        <f>IFERROR(VLOOKUP(Table2[[#This Row],[Reason]],'[2]New Reason code'!$B$2:$D$77,2,0),0)</f>
        <v>Prod Declared</v>
      </c>
      <c r="Y302" s="62" t="str">
        <f>IFERROR(VLOOKUP(Table2[[#This Row],[Rejection Identified at]],'[2]New Reason code'!$C$2:$D$77,2,0),0)</f>
        <v>Process Issue</v>
      </c>
    </row>
    <row r="303" spans="1:25" ht="20.25" customHeight="1">
      <c r="A303" s="50">
        <v>299</v>
      </c>
      <c r="B303" s="62">
        <v>62</v>
      </c>
      <c r="C303" s="62" t="str">
        <f>IFERROR(VLOOKUP(Table2[[#This Row],[Code]],'[2]New Machine sheet'!$A$1:$D$101,2,0),0)</f>
        <v>FQC</v>
      </c>
      <c r="D303" s="62" t="str">
        <f>IFERROR(VLOOKUP(Table2[[#This Row],[M/c No]],'[2]New Machine sheet'!$B$1:$D$101,2,0),0)</f>
        <v>FQC</v>
      </c>
      <c r="E303" s="62" t="str">
        <f>IFERROR(VLOOKUP(Table2[[#This Row],[M/c Name]],'[2]New Machine sheet'!$C$1:$D$101,2,0),0)</f>
        <v>fqc</v>
      </c>
      <c r="F303" s="62">
        <v>115</v>
      </c>
      <c r="G303" s="62">
        <f>IFERROR(VLOOKUP(Table2[[#This Row],[Code2]],'[2]New Machine sheet'!$F$2:$I$64,2,),0)</f>
        <v>24115</v>
      </c>
      <c r="H303" s="62" t="str">
        <f>IFERROR(VLOOKUP(Table2[[#This Row],[Code2]],'[2]New Machine sheet'!$F$2:$I$64,3,0),0)</f>
        <v>RE J1</v>
      </c>
      <c r="I303" s="62"/>
      <c r="J303" s="62">
        <v>93</v>
      </c>
      <c r="K303" s="62" t="str">
        <f>IFERROR(VLOOKUP(Table2[[#This Row],[Code3]],'[2]New defect code '!$A$2:$D$129,2,0),0)</f>
        <v>Thickness Under size</v>
      </c>
      <c r="L303" s="62" t="s">
        <v>200</v>
      </c>
      <c r="M303" s="56">
        <v>46266</v>
      </c>
      <c r="N303" s="62"/>
      <c r="O303" s="62"/>
      <c r="P303" s="62"/>
      <c r="Q303" s="62">
        <v>4</v>
      </c>
      <c r="R303" s="62">
        <f>SUBTOTAL(9,Table2[[#This Row],[1st]:[FQC]])</f>
        <v>4</v>
      </c>
      <c r="S303" s="62">
        <f>IFERROR(VLOOKUP(Table2[[#This Row],[Part No.]],'[2]New Machine sheet'!$G$2:$I$90,3,0),0)</f>
        <v>66.900000000000006</v>
      </c>
      <c r="T303" s="62">
        <f>Table2[[#This Row],[cost per piece]]*Table2[[#This Row],[Total Rej. qty]]</f>
        <v>267.60000000000002</v>
      </c>
      <c r="U303" s="62">
        <f>IFERROR(VLOOKUP(Table2[[#This Row],[Non Conformance]],'[2]New defect code '!$B$2:$C$129,2,0),0)</f>
        <v>3258</v>
      </c>
      <c r="V303" s="62">
        <v>24</v>
      </c>
      <c r="W303" s="62" t="str">
        <f>IFERROR(VLOOKUP(Table2[[#This Row],[Code4]],'[2]New Reason code'!$A$2:$D$77,2,0),0)</f>
        <v>FQC return</v>
      </c>
      <c r="X303" s="62" t="str">
        <f>IFERROR(VLOOKUP(Table2[[#This Row],[Reason]],'[2]New Reason code'!$B$2:$D$77,2,0),0)</f>
        <v>Due to operator</v>
      </c>
      <c r="Y303" s="62" t="str">
        <f>IFERROR(VLOOKUP(Table2[[#This Row],[Rejection Identified at]],'[2]New Reason code'!$C$2:$D$77,2,0),0)</f>
        <v xml:space="preserve">infrastructure </v>
      </c>
    </row>
    <row r="304" spans="1:25" ht="20.25" customHeight="1">
      <c r="A304" s="60">
        <v>300</v>
      </c>
      <c r="B304" s="62">
        <v>13</v>
      </c>
      <c r="C304" s="62" t="str">
        <f>IFERROR(VLOOKUP(Table2[[#This Row],[Code]],'[2]New Machine sheet'!$A$1:$D$101,2,0),0)</f>
        <v>282-13</v>
      </c>
      <c r="D304" s="62" t="str">
        <f>IFERROR(VLOOKUP(Table2[[#This Row],[M/c No]],'[2]New Machine sheet'!$B$1:$D$101,2,0),0)</f>
        <v>Mazak</v>
      </c>
      <c r="E304" s="62" t="str">
        <f>IFERROR(VLOOKUP(Table2[[#This Row],[M/c Name]],'[2]New Machine sheet'!$C$1:$D$101,2,0),0)</f>
        <v>Turning</v>
      </c>
      <c r="F304" s="62">
        <v>102</v>
      </c>
      <c r="G304" s="62">
        <f>IFERROR(VLOOKUP(Table2[[#This Row],[Code2]],'[2]New Machine sheet'!$F$2:$I$64,2,),0)</f>
        <v>24102</v>
      </c>
      <c r="H304" s="62" t="str">
        <f>IFERROR(VLOOKUP(Table2[[#This Row],[Code2]],'[2]New Machine sheet'!$F$2:$I$64,3,0),0)</f>
        <v>RE J1</v>
      </c>
      <c r="I304" s="62"/>
      <c r="J304" s="62">
        <v>93</v>
      </c>
      <c r="K304" s="62" t="str">
        <f>IFERROR(VLOOKUP(Table2[[#This Row],[Code3]],'[2]New defect code '!$A$2:$D$129,2,0),0)</f>
        <v>Thickness Under size</v>
      </c>
      <c r="L304" s="62" t="s">
        <v>200</v>
      </c>
      <c r="M304" s="56">
        <v>46266</v>
      </c>
      <c r="N304" s="62">
        <v>10</v>
      </c>
      <c r="O304" s="62"/>
      <c r="P304" s="62"/>
      <c r="Q304" s="62"/>
      <c r="R304" s="62">
        <f>SUBTOTAL(9,Table2[[#This Row],[1st]:[FQC]])</f>
        <v>10</v>
      </c>
      <c r="S304" s="62">
        <f>IFERROR(VLOOKUP(Table2[[#This Row],[Part No.]],'[2]New Machine sheet'!$G$2:$I$90,3,0),0)</f>
        <v>93</v>
      </c>
      <c r="T304" s="62">
        <f>Table2[[#This Row],[cost per piece]]*Table2[[#This Row],[Total Rej. qty]]</f>
        <v>930</v>
      </c>
      <c r="U304" s="62">
        <f>IFERROR(VLOOKUP(Table2[[#This Row],[Non Conformance]],'[2]New defect code '!$B$2:$C$129,2,0),0)</f>
        <v>3258</v>
      </c>
      <c r="V304" s="62">
        <v>19</v>
      </c>
      <c r="W304" s="62" t="str">
        <f>IFERROR(VLOOKUP(Table2[[#This Row],[Code4]],'[2]New Reason code'!$A$2:$D$77,2,0),0)</f>
        <v>During Rework time</v>
      </c>
      <c r="X304" s="62" t="str">
        <f>IFERROR(VLOOKUP(Table2[[#This Row],[Reason]],'[2]New Reason code'!$B$2:$D$77,2,0),0)</f>
        <v>Due to operator</v>
      </c>
      <c r="Y304" s="62" t="str">
        <f>IFERROR(VLOOKUP(Table2[[#This Row],[Rejection Identified at]],'[2]New Reason code'!$C$2:$D$77,2,0),0)</f>
        <v xml:space="preserve">infrastructure </v>
      </c>
    </row>
    <row r="305" spans="1:25" ht="20.25" customHeight="1">
      <c r="A305" s="60">
        <v>301</v>
      </c>
      <c r="B305" s="62">
        <v>11</v>
      </c>
      <c r="C305" s="62" t="str">
        <f>IFERROR(VLOOKUP(Table2[[#This Row],[Code]],'[2]New Machine sheet'!$A$1:$D$101,2,0),0)</f>
        <v>282-11</v>
      </c>
      <c r="D305" s="62" t="str">
        <f>IFERROR(VLOOKUP(Table2[[#This Row],[M/c No]],'[2]New Machine sheet'!$B$1:$D$101,2,0),0)</f>
        <v>Mazak</v>
      </c>
      <c r="E305" s="62" t="str">
        <f>IFERROR(VLOOKUP(Table2[[#This Row],[M/c Name]],'[2]New Machine sheet'!$C$1:$D$101,2,0),0)</f>
        <v>Turning</v>
      </c>
      <c r="F305" s="62">
        <v>121</v>
      </c>
      <c r="G305" s="62">
        <f>IFERROR(VLOOKUP(Table2[[#This Row],[Code2]],'[2]New Machine sheet'!$F$2:$I$64,2,),0)</f>
        <v>24121</v>
      </c>
      <c r="H305" s="62" t="str">
        <f>IFERROR(VLOOKUP(Table2[[#This Row],[Code2]],'[2]New Machine sheet'!$F$2:$I$64,3,0),0)</f>
        <v>RE J1</v>
      </c>
      <c r="I305" s="62"/>
      <c r="J305" s="62">
        <v>93</v>
      </c>
      <c r="K305" s="62" t="str">
        <f>IFERROR(VLOOKUP(Table2[[#This Row],[Code3]],'[2]New defect code '!$A$2:$D$129,2,0),0)</f>
        <v>Thickness Under size</v>
      </c>
      <c r="L305" s="62" t="s">
        <v>200</v>
      </c>
      <c r="M305" s="56">
        <v>46266</v>
      </c>
      <c r="N305" s="62">
        <v>10</v>
      </c>
      <c r="O305" s="62"/>
      <c r="P305" s="62"/>
      <c r="Q305" s="62"/>
      <c r="R305" s="62">
        <f>SUBTOTAL(9,Table2[[#This Row],[1st]:[FQC]])</f>
        <v>10</v>
      </c>
      <c r="S305" s="62">
        <f>IFERROR(VLOOKUP(Table2[[#This Row],[Part No.]],'[2]New Machine sheet'!$G$2:$I$90,3,0),0)</f>
        <v>135.66999999999999</v>
      </c>
      <c r="T305" s="62">
        <f>Table2[[#This Row],[cost per piece]]*Table2[[#This Row],[Total Rej. qty]]</f>
        <v>1356.6999999999998</v>
      </c>
      <c r="U305" s="62">
        <f>IFERROR(VLOOKUP(Table2[[#This Row],[Non Conformance]],'[2]New defect code '!$B$2:$C$129,2,0),0)</f>
        <v>3258</v>
      </c>
      <c r="V305" s="62">
        <v>19</v>
      </c>
      <c r="W305" s="62" t="str">
        <f>IFERROR(VLOOKUP(Table2[[#This Row],[Code4]],'[2]New Reason code'!$A$2:$D$77,2,0),0)</f>
        <v>During Rework time</v>
      </c>
      <c r="X305" s="62" t="str">
        <f>IFERROR(VLOOKUP(Table2[[#This Row],[Reason]],'[2]New Reason code'!$B$2:$D$77,2,0),0)</f>
        <v>Due to operator</v>
      </c>
      <c r="Y305" s="62" t="str">
        <f>IFERROR(VLOOKUP(Table2[[#This Row],[Rejection Identified at]],'[2]New Reason code'!$C$2:$D$77,2,0),0)</f>
        <v xml:space="preserve">infrastructure </v>
      </c>
    </row>
    <row r="306" spans="1:25" ht="20.25" customHeight="1">
      <c r="A306" s="50">
        <v>302</v>
      </c>
      <c r="B306" s="62">
        <v>11</v>
      </c>
      <c r="C306" s="62" t="str">
        <f>IFERROR(VLOOKUP(Table2[[#This Row],[Code]],'[2]New Machine sheet'!$A$1:$D$101,2,0),0)</f>
        <v>282-11</v>
      </c>
      <c r="D306" s="62" t="str">
        <f>IFERROR(VLOOKUP(Table2[[#This Row],[M/c No]],'[2]New Machine sheet'!$B$1:$D$101,2,0),0)</f>
        <v>Mazak</v>
      </c>
      <c r="E306" s="62" t="str">
        <f>IFERROR(VLOOKUP(Table2[[#This Row],[M/c Name]],'[2]New Machine sheet'!$C$1:$D$101,2,0),0)</f>
        <v>Turning</v>
      </c>
      <c r="F306" s="62">
        <v>195</v>
      </c>
      <c r="G306" s="62">
        <f>IFERROR(VLOOKUP(Table2[[#This Row],[Code2]],'[2]New Machine sheet'!$F$2:$I$64,2,),0)</f>
        <v>24195</v>
      </c>
      <c r="H306" s="62" t="str">
        <f>IFERROR(VLOOKUP(Table2[[#This Row],[Code2]],'[2]New Machine sheet'!$F$2:$I$64,3,0),0)</f>
        <v>RE Bush</v>
      </c>
      <c r="I306" s="62"/>
      <c r="J306" s="62">
        <v>21</v>
      </c>
      <c r="K306" s="62" t="str">
        <f>IFERROR(VLOOKUP(Table2[[#This Row],[Code3]],'[2]New defect code '!$A$2:$D$129,2,0),0)</f>
        <v>Bush Reject of defective part</v>
      </c>
      <c r="L306" s="62" t="s">
        <v>200</v>
      </c>
      <c r="M306" s="56">
        <v>46266</v>
      </c>
      <c r="N306" s="62">
        <v>10</v>
      </c>
      <c r="O306" s="62"/>
      <c r="P306" s="62"/>
      <c r="Q306" s="62"/>
      <c r="R306" s="62">
        <f>SUBTOTAL(9,Table2[[#This Row],[1st]:[FQC]])</f>
        <v>10</v>
      </c>
      <c r="S306" s="62">
        <f>IFERROR(VLOOKUP(Table2[[#This Row],[Part No.]],'[2]New Machine sheet'!$G$2:$I$90,3,0),0)</f>
        <v>16.39</v>
      </c>
      <c r="T306" s="62">
        <f>Table2[[#This Row],[cost per piece]]*Table2[[#This Row],[Total Rej. qty]]</f>
        <v>163.9</v>
      </c>
      <c r="U306" s="62">
        <f>IFERROR(VLOOKUP(Table2[[#This Row],[Non Conformance]],'[2]New defect code '!$B$2:$C$129,2,0),0)</f>
        <v>0</v>
      </c>
      <c r="V306" s="62">
        <v>6</v>
      </c>
      <c r="W306" s="62" t="str">
        <f>IFERROR(VLOOKUP(Table2[[#This Row],[Code4]],'[2]New Reason code'!$A$2:$D$77,2,0),0)</f>
        <v>bush will not use again</v>
      </c>
      <c r="X306" s="62" t="str">
        <f>IFERROR(VLOOKUP(Table2[[#This Row],[Reason]],'[2]New Reason code'!$B$2:$D$77,2,0),0)</f>
        <v>Prod Declared</v>
      </c>
      <c r="Y306" s="62" t="str">
        <f>IFERROR(VLOOKUP(Table2[[#This Row],[Rejection Identified at]],'[2]New Reason code'!$C$2:$D$77,2,0),0)</f>
        <v>Process Issue</v>
      </c>
    </row>
    <row r="307" spans="1:25" ht="20.25" customHeight="1">
      <c r="A307" s="50">
        <v>303</v>
      </c>
      <c r="B307" s="62">
        <v>2</v>
      </c>
      <c r="C307" s="62" t="str">
        <f>IFERROR(VLOOKUP(Table2[[#This Row],[Code]],'[2]New Machine sheet'!$A$1:$D$101,2,0),0)</f>
        <v>282-02</v>
      </c>
      <c r="D307" s="62" t="str">
        <f>IFERROR(VLOOKUP(Table2[[#This Row],[M/c No]],'[2]New Machine sheet'!$B$1:$D$101,2,0),0)</f>
        <v>Mazak</v>
      </c>
      <c r="E307" s="62" t="str">
        <f>IFERROR(VLOOKUP(Table2[[#This Row],[M/c Name]],'[2]New Machine sheet'!$C$1:$D$101,2,0),0)</f>
        <v>Turning</v>
      </c>
      <c r="F307" s="62">
        <v>178</v>
      </c>
      <c r="G307" s="62">
        <f>IFERROR(VLOOKUP(Table2[[#This Row],[Code2]],'[2]New Machine sheet'!$F$2:$I$64,2,),0)</f>
        <v>24178</v>
      </c>
      <c r="H307" s="62" t="str">
        <f>IFERROR(VLOOKUP(Table2[[#This Row],[Code2]],'[2]New Machine sheet'!$F$2:$I$64,3,0),0)</f>
        <v>RE J1</v>
      </c>
      <c r="I307" s="62"/>
      <c r="J307" s="62">
        <v>5</v>
      </c>
      <c r="K307" s="62" t="str">
        <f>IFERROR(VLOOKUP(Table2[[#This Row],[Code3]],'[2]New defect code '!$A$2:$D$129,2,0),0)</f>
        <v>Bore Over size</v>
      </c>
      <c r="L307" s="62" t="s">
        <v>200</v>
      </c>
      <c r="M307" s="56">
        <v>46266</v>
      </c>
      <c r="N307" s="62">
        <v>9</v>
      </c>
      <c r="O307" s="62"/>
      <c r="P307" s="62"/>
      <c r="Q307" s="62"/>
      <c r="R307" s="62">
        <f>SUBTOTAL(9,Table2[[#This Row],[1st]:[FQC]])</f>
        <v>9</v>
      </c>
      <c r="S307" s="62">
        <f>IFERROR(VLOOKUP(Table2[[#This Row],[Part No.]],'[2]New Machine sheet'!$G$2:$I$90,3,0),0)</f>
        <v>70.62</v>
      </c>
      <c r="T307" s="62">
        <f>Table2[[#This Row],[cost per piece]]*Table2[[#This Row],[Total Rej. qty]]</f>
        <v>635.58000000000004</v>
      </c>
      <c r="U307" s="62">
        <f>IFERROR(VLOOKUP(Table2[[#This Row],[Non Conformance]],'[2]New defect code '!$B$2:$C$129,2,0),0)</f>
        <v>3243</v>
      </c>
      <c r="V307" s="62">
        <v>19</v>
      </c>
      <c r="W307" s="62" t="str">
        <f>IFERROR(VLOOKUP(Table2[[#This Row],[Code4]],'[2]New Reason code'!$A$2:$D$77,2,0),0)</f>
        <v>During Rework time</v>
      </c>
      <c r="X307" s="62" t="str">
        <f>IFERROR(VLOOKUP(Table2[[#This Row],[Reason]],'[2]New Reason code'!$B$2:$D$77,2,0),0)</f>
        <v>Due to operator</v>
      </c>
      <c r="Y307" s="62" t="str">
        <f>IFERROR(VLOOKUP(Table2[[#This Row],[Rejection Identified at]],'[2]New Reason code'!$C$2:$D$77,2,0),0)</f>
        <v xml:space="preserve">infrastructure </v>
      </c>
    </row>
    <row r="308" spans="1:25" ht="20.25" customHeight="1">
      <c r="A308" s="60">
        <v>304</v>
      </c>
      <c r="B308" s="62"/>
      <c r="C308" s="62" t="s">
        <v>150</v>
      </c>
      <c r="D308" s="62" t="s">
        <v>117</v>
      </c>
      <c r="E308" s="62" t="str">
        <f>IFERROR(VLOOKUP(Table2[[#This Row],[M/c Name]],'[2]New Machine sheet'!$C$1:$D$101,2,0),0)</f>
        <v>Turning</v>
      </c>
      <c r="F308" s="62">
        <v>122</v>
      </c>
      <c r="G308" s="62">
        <f>IFERROR(VLOOKUP(Table2[[#This Row],[Code2]],'[2]New Machine sheet'!$F$2:$I$64,2,),0)</f>
        <v>24122</v>
      </c>
      <c r="H308" s="62" t="str">
        <f>IFERROR(VLOOKUP(Table2[[#This Row],[Code2]],'[2]New Machine sheet'!$F$2:$I$64,3,0),0)</f>
        <v>RE J1</v>
      </c>
      <c r="I308" s="62" t="s">
        <v>138</v>
      </c>
      <c r="J308" s="62">
        <v>66</v>
      </c>
      <c r="K308" s="62" t="str">
        <f>IFERROR(VLOOKUP(Table2[[#This Row],[Code3]],'[2]New defect code '!$A$2:$D$129,2,0),0)</f>
        <v>OD Under Size</v>
      </c>
      <c r="L308" s="62" t="s">
        <v>200</v>
      </c>
      <c r="M308" s="56">
        <v>46266</v>
      </c>
      <c r="N308" s="62"/>
      <c r="O308" s="62">
        <v>1</v>
      </c>
      <c r="P308" s="62"/>
      <c r="Q308" s="62"/>
      <c r="R308" s="62">
        <f>SUBTOTAL(9,Table2[[#This Row],[1st]:[FQC]])</f>
        <v>1</v>
      </c>
      <c r="S308" s="62">
        <f>IFERROR(VLOOKUP(Table2[[#This Row],[Part No.]],'[2]New Machine sheet'!$G$2:$I$90,3,0),0)</f>
        <v>335.39977528089889</v>
      </c>
      <c r="T308" s="62">
        <f>Table2[[#This Row],[cost per piece]]*Table2[[#This Row],[Total Rej. qty]]</f>
        <v>335.39977528089889</v>
      </c>
      <c r="U308" s="62">
        <f>IFERROR(VLOOKUP(Table2[[#This Row],[Non Conformance]],'[2]New defect code '!$B$2:$C$129,2,0),0)</f>
        <v>3242</v>
      </c>
      <c r="V308" s="62">
        <v>18</v>
      </c>
      <c r="W308" s="62" t="str">
        <f>IFERROR(VLOOKUP(Table2[[#This Row],[Code4]],'[2]New Reason code'!$A$2:$D$77,2,0),0)</f>
        <v>During insert change</v>
      </c>
      <c r="X308" s="62" t="str">
        <f>IFERROR(VLOOKUP(Table2[[#This Row],[Reason]],'[2]New Reason code'!$B$2:$D$77,2,0),0)</f>
        <v xml:space="preserve">Due to Settup  </v>
      </c>
      <c r="Y308" s="62" t="str">
        <f>IFERROR(VLOOKUP(Table2[[#This Row],[Rejection Identified at]],'[2]New Reason code'!$C$2:$D$77,2,0),0)</f>
        <v>skill</v>
      </c>
    </row>
    <row r="309" spans="1:25" ht="20.25" customHeight="1">
      <c r="A309" s="60">
        <v>305</v>
      </c>
      <c r="B309" s="61"/>
      <c r="C309" s="61" t="s">
        <v>150</v>
      </c>
      <c r="D309" s="61" t="s">
        <v>117</v>
      </c>
      <c r="E309" s="61" t="str">
        <f>IFERROR(VLOOKUP(Table2[[#This Row],[M/c Name]],'[2]New Machine sheet'!$C$1:$D$101,2,0),0)</f>
        <v>Turning</v>
      </c>
      <c r="F309" s="61">
        <v>122</v>
      </c>
      <c r="G309" s="61">
        <f>IFERROR(VLOOKUP(Table2[[#This Row],[Code2]],'[2]New Machine sheet'!$F$2:$I$64,2,),0)</f>
        <v>24122</v>
      </c>
      <c r="H309" s="61" t="str">
        <f>IFERROR(VLOOKUP(Table2[[#This Row],[Code2]],'[2]New Machine sheet'!$F$2:$I$64,3,0),0)</f>
        <v>RE J1</v>
      </c>
      <c r="I309" s="61" t="s">
        <v>138</v>
      </c>
      <c r="J309" s="61">
        <v>93</v>
      </c>
      <c r="K309" s="61" t="str">
        <f>IFERROR(VLOOKUP(Table2[[#This Row],[Code3]],'[2]New defect code '!$A$2:$D$129,2,0),0)</f>
        <v>Thickness Under size</v>
      </c>
      <c r="L309" s="62" t="s">
        <v>200</v>
      </c>
      <c r="M309" s="56">
        <v>46266</v>
      </c>
      <c r="N309" s="61"/>
      <c r="O309" s="61">
        <v>1</v>
      </c>
      <c r="P309" s="61"/>
      <c r="Q309" s="61"/>
      <c r="R309" s="61">
        <f>SUBTOTAL(9,Table2[[#This Row],[1st]:[FQC]])</f>
        <v>1</v>
      </c>
      <c r="S309" s="61">
        <f>IFERROR(VLOOKUP(Table2[[#This Row],[Part No.]],'[2]New Machine sheet'!$G$2:$I$90,3,0),0)</f>
        <v>335.39977528089889</v>
      </c>
      <c r="T309" s="61">
        <f>Table2[[#This Row],[cost per piece]]*Table2[[#This Row],[Total Rej. qty]]</f>
        <v>335.39977528089889</v>
      </c>
      <c r="U309" s="61">
        <f>IFERROR(VLOOKUP(Table2[[#This Row],[Non Conformance]],'[2]New defect code '!$B$2:$C$129,2,0),0)</f>
        <v>3258</v>
      </c>
      <c r="V309" s="61">
        <v>18</v>
      </c>
      <c r="W309" s="61" t="str">
        <f>IFERROR(VLOOKUP(Table2[[#This Row],[Code4]],'[2]New Reason code'!$A$2:$D$77,2,0),0)</f>
        <v>During insert change</v>
      </c>
      <c r="X309" s="61" t="str">
        <f>IFERROR(VLOOKUP(Table2[[#This Row],[Reason]],'[2]New Reason code'!$B$2:$D$77,2,0),0)</f>
        <v xml:space="preserve">Due to Settup  </v>
      </c>
      <c r="Y309" s="61" t="str">
        <f>IFERROR(VLOOKUP(Table2[[#This Row],[Rejection Identified at]],'[2]New Reason code'!$C$2:$D$77,2,0),0)</f>
        <v>skill</v>
      </c>
    </row>
    <row r="310" spans="1:25" ht="20.25" customHeight="1">
      <c r="A310" s="50">
        <v>306</v>
      </c>
      <c r="B310" s="62">
        <v>10</v>
      </c>
      <c r="C310" s="62" t="str">
        <f>IFERROR(VLOOKUP(Table2[[#This Row],[Code]],'[2]New Machine sheet'!$A$1:$D$101,2,0),0)</f>
        <v>282-10</v>
      </c>
      <c r="D310" s="62" t="str">
        <f>IFERROR(VLOOKUP(Table2[[#This Row],[M/c No]],'[2]New Machine sheet'!$B$1:$D$101,2,0),0)</f>
        <v>Mazak</v>
      </c>
      <c r="E310" s="62" t="str">
        <f>IFERROR(VLOOKUP(Table2[[#This Row],[M/c Name]],'[2]New Machine sheet'!$C$1:$D$101,2,0),0)</f>
        <v>Turning</v>
      </c>
      <c r="F310" s="62">
        <v>155</v>
      </c>
      <c r="G310" s="62">
        <f>IFERROR(VLOOKUP(Table2[[#This Row],[Code2]],'[2]New Machine sheet'!$F$2:$I$64,2,),0)</f>
        <v>24155</v>
      </c>
      <c r="H310" s="62" t="str">
        <f>IFERROR(VLOOKUP(Table2[[#This Row],[Code2]],'[2]New Machine sheet'!$F$2:$I$64,3,0),0)</f>
        <v>RE J1</v>
      </c>
      <c r="I310" s="62" t="s">
        <v>153</v>
      </c>
      <c r="J310" s="62">
        <v>93</v>
      </c>
      <c r="K310" s="62" t="str">
        <f>IFERROR(VLOOKUP(Table2[[#This Row],[Code3]],'[2]New defect code '!$A$2:$D$129,2,0),0)</f>
        <v>Thickness Under size</v>
      </c>
      <c r="L310" s="62" t="s">
        <v>200</v>
      </c>
      <c r="M310" s="56">
        <v>46266</v>
      </c>
      <c r="N310" s="62"/>
      <c r="O310" s="62">
        <v>2</v>
      </c>
      <c r="P310" s="62"/>
      <c r="Q310" s="62"/>
      <c r="R310" s="62">
        <f>SUBTOTAL(9,Table2[[#This Row],[1st]:[FQC]])</f>
        <v>2</v>
      </c>
      <c r="S310" s="62">
        <f>IFERROR(VLOOKUP(Table2[[#This Row],[Part No.]],'[2]New Machine sheet'!$G$2:$I$90,3,0),0)</f>
        <v>107.67</v>
      </c>
      <c r="T310" s="62">
        <f>Table2[[#This Row],[cost per piece]]*Table2[[#This Row],[Total Rej. qty]]</f>
        <v>215.34</v>
      </c>
      <c r="U310" s="62">
        <f>IFERROR(VLOOKUP(Table2[[#This Row],[Non Conformance]],'[2]New defect code '!$B$2:$C$129,2,0),0)</f>
        <v>3258</v>
      </c>
      <c r="V310" s="62">
        <v>18</v>
      </c>
      <c r="W310" s="62" t="str">
        <f>IFERROR(VLOOKUP(Table2[[#This Row],[Code4]],'[2]New Reason code'!$A$2:$D$77,2,0),0)</f>
        <v>During insert change</v>
      </c>
      <c r="X310" s="62" t="str">
        <f>IFERROR(VLOOKUP(Table2[[#This Row],[Reason]],'[2]New Reason code'!$B$2:$D$77,2,0),0)</f>
        <v xml:space="preserve">Due to Settup  </v>
      </c>
      <c r="Y310" s="62" t="str">
        <f>IFERROR(VLOOKUP(Table2[[#This Row],[Rejection Identified at]],'[2]New Reason code'!$C$2:$D$77,2,0),0)</f>
        <v>skill</v>
      </c>
    </row>
    <row r="311" spans="1:25" ht="20.25" customHeight="1">
      <c r="A311" s="50">
        <v>307</v>
      </c>
      <c r="B311" s="62">
        <v>42</v>
      </c>
      <c r="C311" s="62" t="str">
        <f>IFERROR(VLOOKUP(Table2[[#This Row],[Code]],'[2]New Machine sheet'!$A$1:$D$101,2,0),0)</f>
        <v>252-04</v>
      </c>
      <c r="D311" s="62" t="str">
        <f>IFERROR(VLOOKUP(Table2[[#This Row],[M/c No]],'[2]New Machine sheet'!$B$1:$D$101,2,0),0)</f>
        <v>VMC</v>
      </c>
      <c r="E311" s="62" t="str">
        <f>IFERROR(VLOOKUP(Table2[[#This Row],[M/c Name]],'[2]New Machine sheet'!$C$1:$D$101,2,0),0)</f>
        <v>VMC</v>
      </c>
      <c r="F311" s="62">
        <v>154</v>
      </c>
      <c r="G311" s="62">
        <f>IFERROR(VLOOKUP(Table2[[#This Row],[Code2]],'[2]New Machine sheet'!$F$2:$I$64,2,),0)</f>
        <v>24154</v>
      </c>
      <c r="H311" s="62" t="str">
        <f>IFERROR(VLOOKUP(Table2[[#This Row],[Code2]],'[2]New Machine sheet'!$F$2:$I$64,3,0),0)</f>
        <v>RE J1</v>
      </c>
      <c r="I311" s="62" t="s">
        <v>133</v>
      </c>
      <c r="J311" s="62">
        <v>32</v>
      </c>
      <c r="K311" s="62" t="str">
        <f>IFERROR(VLOOKUP(Table2[[#This Row],[Code3]],'[2]New defect code '!$A$2:$D$129,2,0),0)</f>
        <v>Double Dot Punching</v>
      </c>
      <c r="L311" s="62" t="s">
        <v>200</v>
      </c>
      <c r="M311" s="56">
        <v>46266</v>
      </c>
      <c r="N311" s="62"/>
      <c r="O311" s="62">
        <v>3</v>
      </c>
      <c r="P311" s="62"/>
      <c r="Q311" s="62"/>
      <c r="R311" s="62">
        <f>SUBTOTAL(9,Table2[[#This Row],[1st]:[FQC]])</f>
        <v>3</v>
      </c>
      <c r="S311" s="62">
        <f>IFERROR(VLOOKUP(Table2[[#This Row],[Part No.]],'[2]New Machine sheet'!$G$2:$I$90,3,0),0)</f>
        <v>82.64</v>
      </c>
      <c r="T311" s="62">
        <f>Table2[[#This Row],[cost per piece]]*Table2[[#This Row],[Total Rej. qty]]</f>
        <v>247.92000000000002</v>
      </c>
      <c r="U311" s="62">
        <f>IFERROR(VLOOKUP(Table2[[#This Row],[Non Conformance]],'[2]New defect code '!$B$2:$C$129,2,0),0)</f>
        <v>0</v>
      </c>
      <c r="V311" s="62">
        <v>20</v>
      </c>
      <c r="W311" s="62" t="str">
        <f>IFERROR(VLOOKUP(Table2[[#This Row],[Code4]],'[2]New Reason code'!$A$2:$D$77,2,0),0)</f>
        <v xml:space="preserve">During segrigetion </v>
      </c>
      <c r="X311" s="62" t="str">
        <f>IFERROR(VLOOKUP(Table2[[#This Row],[Reason]],'[2]New Reason code'!$B$2:$D$77,2,0),0)</f>
        <v xml:space="preserve">During segrigetion </v>
      </c>
      <c r="Y311" s="62" t="str">
        <f>IFERROR(VLOOKUP(Table2[[#This Row],[Rejection Identified at]],'[2]New Reason code'!$C$2:$D$77,2,0),0)</f>
        <v>Attitude</v>
      </c>
    </row>
    <row r="312" spans="1:25" ht="20.25" customHeight="1">
      <c r="A312" s="60">
        <v>308</v>
      </c>
      <c r="B312" s="62">
        <v>5</v>
      </c>
      <c r="C312" s="62" t="str">
        <f>IFERROR(VLOOKUP(Table2[[#This Row],[Code]],'[2]New Machine sheet'!$A$1:$D$101,2,0),0)</f>
        <v>282-05</v>
      </c>
      <c r="D312" s="62" t="str">
        <f>IFERROR(VLOOKUP(Table2[[#This Row],[M/c No]],'[2]New Machine sheet'!$B$1:$D$101,2,0),0)</f>
        <v>Mazak</v>
      </c>
      <c r="E312" s="62" t="str">
        <f>IFERROR(VLOOKUP(Table2[[#This Row],[M/c Name]],'[2]New Machine sheet'!$C$1:$D$101,2,0),0)</f>
        <v>Turning</v>
      </c>
      <c r="F312" s="62">
        <v>119</v>
      </c>
      <c r="G312" s="62">
        <f>IFERROR(VLOOKUP(Table2[[#This Row],[Code2]],'[2]New Machine sheet'!$F$2:$I$64,2,),0)</f>
        <v>24119</v>
      </c>
      <c r="H312" s="62" t="str">
        <f>IFERROR(VLOOKUP(Table2[[#This Row],[Code2]],'[2]New Machine sheet'!$F$2:$I$64,3,0),0)</f>
        <v>RE J1</v>
      </c>
      <c r="I312" s="62" t="s">
        <v>142</v>
      </c>
      <c r="J312" s="62">
        <v>5</v>
      </c>
      <c r="K312" s="62" t="str">
        <f>IFERROR(VLOOKUP(Table2[[#This Row],[Code3]],'[2]New defect code '!$A$2:$D$129,2,0),0)</f>
        <v>Bore Over size</v>
      </c>
      <c r="L312" s="62" t="s">
        <v>200</v>
      </c>
      <c r="M312" s="56">
        <v>46266</v>
      </c>
      <c r="N312" s="62"/>
      <c r="O312" s="62">
        <v>8</v>
      </c>
      <c r="P312" s="62"/>
      <c r="Q312" s="62"/>
      <c r="R312" s="62">
        <f>SUBTOTAL(9,Table2[[#This Row],[1st]:[FQC]])</f>
        <v>8</v>
      </c>
      <c r="S312" s="62">
        <f>IFERROR(VLOOKUP(Table2[[#This Row],[Part No.]],'[2]New Machine sheet'!$G$2:$I$90,3,0),0)</f>
        <v>103.2</v>
      </c>
      <c r="T312" s="62">
        <f>Table2[[#This Row],[cost per piece]]*Table2[[#This Row],[Total Rej. qty]]</f>
        <v>825.6</v>
      </c>
      <c r="U312" s="62">
        <f>IFERROR(VLOOKUP(Table2[[#This Row],[Non Conformance]],'[2]New defect code '!$B$2:$C$129,2,0),0)</f>
        <v>3243</v>
      </c>
      <c r="V312" s="62"/>
      <c r="W312" s="62" t="s">
        <v>201</v>
      </c>
      <c r="X312" s="62">
        <f>IFERROR(VLOOKUP(Table2[[#This Row],[Reason]],'[2]New Reason code'!$B$2:$D$77,2,0),0)</f>
        <v>0</v>
      </c>
      <c r="Y312" s="62">
        <f>IFERROR(VLOOKUP(Table2[[#This Row],[Rejection Identified at]],'[2]New Reason code'!$C$2:$D$77,2,0),0)</f>
        <v>0</v>
      </c>
    </row>
    <row r="313" spans="1:25" ht="20.25" customHeight="1">
      <c r="A313" s="60">
        <v>309</v>
      </c>
      <c r="B313" s="62">
        <v>23</v>
      </c>
      <c r="C313" s="62" t="str">
        <f>IFERROR(VLOOKUP(Table2[[#This Row],[Code]],'[2]New Machine sheet'!$A$1:$D$101,2,0),0)</f>
        <v>ACE-03</v>
      </c>
      <c r="D313" s="62" t="str">
        <f>IFERROR(VLOOKUP(Table2[[#This Row],[M/c No]],'[2]New Machine sheet'!$B$1:$D$101,2,0),0)</f>
        <v>Micromatic</v>
      </c>
      <c r="E313" s="62" t="str">
        <f>IFERROR(VLOOKUP(Table2[[#This Row],[M/c Name]],'[2]New Machine sheet'!$C$1:$D$101,2,0),0)</f>
        <v>Turning</v>
      </c>
      <c r="F313" s="62">
        <v>79</v>
      </c>
      <c r="G313" s="62">
        <f>IFERROR(VLOOKUP(Table2[[#This Row],[Code2]],'[2]New Machine sheet'!$F$2:$I$64,2,),0)</f>
        <v>2479</v>
      </c>
      <c r="H313" s="62" t="str">
        <f>IFERROR(VLOOKUP(Table2[[#This Row],[Code2]],'[2]New Machine sheet'!$F$2:$I$64,3,0),0)</f>
        <v>RE P1</v>
      </c>
      <c r="I313" s="62" t="s">
        <v>133</v>
      </c>
      <c r="J313" s="62">
        <v>66</v>
      </c>
      <c r="K313" s="62" t="str">
        <f>IFERROR(VLOOKUP(Table2[[#This Row],[Code3]],'[2]New defect code '!$A$2:$D$129,2,0),0)</f>
        <v>OD Under Size</v>
      </c>
      <c r="L313" s="62" t="s">
        <v>200</v>
      </c>
      <c r="M313" s="56">
        <v>46266</v>
      </c>
      <c r="N313" s="62"/>
      <c r="O313" s="62">
        <v>10</v>
      </c>
      <c r="P313" s="62"/>
      <c r="Q313" s="62"/>
      <c r="R313" s="62">
        <f>SUBTOTAL(9,Table2[[#This Row],[1st]:[FQC]])</f>
        <v>10</v>
      </c>
      <c r="S313" s="62">
        <f>IFERROR(VLOOKUP(Table2[[#This Row],[Part No.]],'[2]New Machine sheet'!$G$2:$I$90,3,0),0)</f>
        <v>43.11</v>
      </c>
      <c r="T313" s="62">
        <f>Table2[[#This Row],[cost per piece]]*Table2[[#This Row],[Total Rej. qty]]</f>
        <v>431.1</v>
      </c>
      <c r="U313" s="62">
        <f>IFERROR(VLOOKUP(Table2[[#This Row],[Non Conformance]],'[2]New defect code '!$B$2:$C$129,2,0),0)</f>
        <v>3242</v>
      </c>
      <c r="V313" s="62">
        <v>20</v>
      </c>
      <c r="W313" s="62" t="str">
        <f>IFERROR(VLOOKUP(Table2[[#This Row],[Code4]],'[2]New Reason code'!$A$2:$D$77,2,0),0)</f>
        <v xml:space="preserve">During segrigetion </v>
      </c>
      <c r="X313" s="62" t="str">
        <f>IFERROR(VLOOKUP(Table2[[#This Row],[Reason]],'[2]New Reason code'!$B$2:$D$77,2,0),0)</f>
        <v xml:space="preserve">During segrigetion </v>
      </c>
      <c r="Y313" s="62" t="str">
        <f>IFERROR(VLOOKUP(Table2[[#This Row],[Rejection Identified at]],'[2]New Reason code'!$C$2:$D$77,2,0),0)</f>
        <v>Attitude</v>
      </c>
    </row>
    <row r="314" spans="1:25" ht="20.25" customHeight="1">
      <c r="A314" s="50">
        <v>310</v>
      </c>
      <c r="B314" s="62">
        <v>16</v>
      </c>
      <c r="C314" s="62" t="str">
        <f>IFERROR(VLOOKUP(Table2[[#This Row],[Code]],'[2]New Machine sheet'!$A$1:$D$101,2,0),0)</f>
        <v>282-16</v>
      </c>
      <c r="D314" s="62" t="str">
        <f>IFERROR(VLOOKUP(Table2[[#This Row],[M/c No]],'[2]New Machine sheet'!$B$1:$D$101,2,0),0)</f>
        <v>Mazak</v>
      </c>
      <c r="E314" s="62" t="str">
        <f>IFERROR(VLOOKUP(Table2[[#This Row],[M/c Name]],'[2]New Machine sheet'!$C$1:$D$101,2,0),0)</f>
        <v>Turning</v>
      </c>
      <c r="F314" s="62">
        <v>102</v>
      </c>
      <c r="G314" s="62">
        <f>IFERROR(VLOOKUP(Table2[[#This Row],[Code2]],'[2]New Machine sheet'!$F$2:$I$64,2,),0)</f>
        <v>24102</v>
      </c>
      <c r="H314" s="62" t="str">
        <f>IFERROR(VLOOKUP(Table2[[#This Row],[Code2]],'[2]New Machine sheet'!$F$2:$I$64,3,0),0)</f>
        <v>RE J1</v>
      </c>
      <c r="I314" s="62" t="s">
        <v>167</v>
      </c>
      <c r="J314" s="62">
        <v>93</v>
      </c>
      <c r="K314" s="62" t="str">
        <f>IFERROR(VLOOKUP(Table2[[#This Row],[Code3]],'[2]New defect code '!$A$2:$D$129,2,0),0)</f>
        <v>Thickness Under size</v>
      </c>
      <c r="L314" s="62" t="s">
        <v>200</v>
      </c>
      <c r="M314" s="56">
        <v>46266</v>
      </c>
      <c r="N314" s="62"/>
      <c r="O314" s="62">
        <v>1</v>
      </c>
      <c r="P314" s="62"/>
      <c r="Q314" s="62"/>
      <c r="R314" s="62">
        <f>SUBTOTAL(9,Table2[[#This Row],[1st]:[FQC]])</f>
        <v>1</v>
      </c>
      <c r="S314" s="62">
        <f>IFERROR(VLOOKUP(Table2[[#This Row],[Part No.]],'[2]New Machine sheet'!$G$2:$I$90,3,0),0)</f>
        <v>93</v>
      </c>
      <c r="T314" s="62">
        <f>Table2[[#This Row],[cost per piece]]*Table2[[#This Row],[Total Rej. qty]]</f>
        <v>93</v>
      </c>
      <c r="U314" s="62">
        <f>IFERROR(VLOOKUP(Table2[[#This Row],[Non Conformance]],'[2]New defect code '!$B$2:$C$129,2,0),0)</f>
        <v>3258</v>
      </c>
      <c r="V314" s="62">
        <v>20</v>
      </c>
      <c r="W314" s="62" t="str">
        <f>IFERROR(VLOOKUP(Table2[[#This Row],[Code4]],'[2]New Reason code'!$A$2:$D$77,2,0),0)</f>
        <v xml:space="preserve">During segrigetion </v>
      </c>
      <c r="X314" s="62" t="str">
        <f>IFERROR(VLOOKUP(Table2[[#This Row],[Reason]],'[2]New Reason code'!$B$2:$D$77,2,0),0)</f>
        <v xml:space="preserve">During segrigetion </v>
      </c>
      <c r="Y314" s="62" t="str">
        <f>IFERROR(VLOOKUP(Table2[[#This Row],[Rejection Identified at]],'[2]New Reason code'!$C$2:$D$77,2,0),0)</f>
        <v>Attitude</v>
      </c>
    </row>
    <row r="315" spans="1:25" ht="20.25" customHeight="1">
      <c r="A315" s="50">
        <v>311</v>
      </c>
      <c r="B315" s="62">
        <v>9</v>
      </c>
      <c r="C315" s="62" t="str">
        <f>IFERROR(VLOOKUP(Table2[[#This Row],[Code]],'[2]New Machine sheet'!$A$1:$D$101,2,0),0)</f>
        <v>282-09</v>
      </c>
      <c r="D315" s="62" t="str">
        <f>IFERROR(VLOOKUP(Table2[[#This Row],[M/c No]],'[2]New Machine sheet'!$B$1:$D$101,2,0),0)</f>
        <v>Mazak</v>
      </c>
      <c r="E315" s="62" t="str">
        <f>IFERROR(VLOOKUP(Table2[[#This Row],[M/c Name]],'[2]New Machine sheet'!$C$1:$D$101,2,0),0)</f>
        <v>Turning</v>
      </c>
      <c r="F315" s="62">
        <v>125</v>
      </c>
      <c r="G315" s="62">
        <f>IFERROR(VLOOKUP(Table2[[#This Row],[Code2]],'[2]New Machine sheet'!$F$2:$I$64,2,),0)</f>
        <v>24125</v>
      </c>
      <c r="H315" s="62" t="str">
        <f>IFERROR(VLOOKUP(Table2[[#This Row],[Code2]],'[2]New Machine sheet'!$F$2:$I$64,3,0),0)</f>
        <v>RE J1</v>
      </c>
      <c r="I315" s="62" t="s">
        <v>158</v>
      </c>
      <c r="J315" s="62">
        <v>5</v>
      </c>
      <c r="K315" s="62" t="str">
        <f>IFERROR(VLOOKUP(Table2[[#This Row],[Code3]],'[2]New defect code '!$A$2:$D$129,2,0),0)</f>
        <v>Bore Over size</v>
      </c>
      <c r="L315" s="62" t="s">
        <v>200</v>
      </c>
      <c r="M315" s="56">
        <v>46266</v>
      </c>
      <c r="N315" s="62"/>
      <c r="O315" s="62">
        <v>1</v>
      </c>
      <c r="P315" s="62"/>
      <c r="Q315" s="62"/>
      <c r="R315" s="62">
        <f>SUBTOTAL(9,Table2[[#This Row],[1st]:[FQC]])</f>
        <v>1</v>
      </c>
      <c r="S315" s="62">
        <f>IFERROR(VLOOKUP(Table2[[#This Row],[Part No.]],'[2]New Machine sheet'!$G$2:$I$90,3,0),0)</f>
        <v>65.17</v>
      </c>
      <c r="T315" s="62">
        <f>Table2[[#This Row],[cost per piece]]*Table2[[#This Row],[Total Rej. qty]]</f>
        <v>65.17</v>
      </c>
      <c r="U315" s="62">
        <f>IFERROR(VLOOKUP(Table2[[#This Row],[Non Conformance]],'[2]New defect code '!$B$2:$C$129,2,0),0)</f>
        <v>3243</v>
      </c>
      <c r="V315" s="62">
        <v>19</v>
      </c>
      <c r="W315" s="62" t="str">
        <f>IFERROR(VLOOKUP(Table2[[#This Row],[Code4]],'[2]New Reason code'!$A$2:$D$77,2,0),0)</f>
        <v>During Rework time</v>
      </c>
      <c r="X315" s="62" t="str">
        <f>IFERROR(VLOOKUP(Table2[[#This Row],[Reason]],'[2]New Reason code'!$B$2:$D$77,2,0),0)</f>
        <v>Due to operator</v>
      </c>
      <c r="Y315" s="62" t="str">
        <f>IFERROR(VLOOKUP(Table2[[#This Row],[Rejection Identified at]],'[2]New Reason code'!$C$2:$D$77,2,0),0)</f>
        <v xml:space="preserve">infrastructure </v>
      </c>
    </row>
    <row r="316" spans="1:25" ht="20.25" customHeight="1">
      <c r="A316" s="60">
        <v>312</v>
      </c>
      <c r="B316" s="62">
        <v>2</v>
      </c>
      <c r="C316" s="62" t="str">
        <f>IFERROR(VLOOKUP(Table2[[#This Row],[Code]],'[2]New Machine sheet'!$A$1:$D$101,2,0),0)</f>
        <v>282-02</v>
      </c>
      <c r="D316" s="62" t="str">
        <f>IFERROR(VLOOKUP(Table2[[#This Row],[M/c No]],'[2]New Machine sheet'!$B$1:$D$101,2,0),0)</f>
        <v>Mazak</v>
      </c>
      <c r="E316" s="62" t="str">
        <f>IFERROR(VLOOKUP(Table2[[#This Row],[M/c Name]],'[2]New Machine sheet'!$C$1:$D$101,2,0),0)</f>
        <v>Turning</v>
      </c>
      <c r="F316" s="62">
        <v>79</v>
      </c>
      <c r="G316" s="62">
        <f>IFERROR(VLOOKUP(Table2[[#This Row],[Code2]],'[2]New Machine sheet'!$F$2:$I$64,2,),0)</f>
        <v>2479</v>
      </c>
      <c r="H316" s="62" t="str">
        <f>IFERROR(VLOOKUP(Table2[[#This Row],[Code2]],'[2]New Machine sheet'!$F$2:$I$64,3,0),0)</f>
        <v>RE P1</v>
      </c>
      <c r="I316" s="62" t="s">
        <v>193</v>
      </c>
      <c r="J316" s="62">
        <v>5</v>
      </c>
      <c r="K316" s="62" t="str">
        <f>IFERROR(VLOOKUP(Table2[[#This Row],[Code3]],'[2]New defect code '!$A$2:$D$129,2,0),0)</f>
        <v>Bore Over size</v>
      </c>
      <c r="L316" s="62" t="s">
        <v>200</v>
      </c>
      <c r="M316" s="56">
        <v>46266</v>
      </c>
      <c r="N316" s="62"/>
      <c r="O316" s="62">
        <v>2</v>
      </c>
      <c r="P316" s="62"/>
      <c r="Q316" s="62"/>
      <c r="R316" s="62">
        <f>SUBTOTAL(9,Table2[[#This Row],[1st]:[FQC]])</f>
        <v>2</v>
      </c>
      <c r="S316" s="62">
        <f>IFERROR(VLOOKUP(Table2[[#This Row],[Part No.]],'[2]New Machine sheet'!$G$2:$I$90,3,0),0)</f>
        <v>43.11</v>
      </c>
      <c r="T316" s="62">
        <f>Table2[[#This Row],[cost per piece]]*Table2[[#This Row],[Total Rej. qty]]</f>
        <v>86.22</v>
      </c>
      <c r="U316" s="62">
        <f>IFERROR(VLOOKUP(Table2[[#This Row],[Non Conformance]],'[2]New defect code '!$B$2:$C$129,2,0),0)</f>
        <v>3243</v>
      </c>
      <c r="V316" s="62">
        <v>51</v>
      </c>
      <c r="W316" s="62" t="str">
        <f>IFERROR(VLOOKUP(Table2[[#This Row],[Code4]],'[2]New Reason code'!$A$2:$D$77,2,0),0)</f>
        <v>Size veriation on m/c</v>
      </c>
      <c r="X316" s="62" t="str">
        <f>IFERROR(VLOOKUP(Table2[[#This Row],[Reason]],'[2]New Reason code'!$B$2:$D$77,2,0),0)</f>
        <v xml:space="preserve">Due to machine </v>
      </c>
      <c r="Y316" s="62" t="str">
        <f>IFERROR(VLOOKUP(Table2[[#This Row],[Rejection Identified at]],'[2]New Reason code'!$C$2:$D$77,2,0),0)</f>
        <v>process</v>
      </c>
    </row>
    <row r="317" spans="1:25" ht="20.25" customHeight="1">
      <c r="A317" s="60">
        <v>313</v>
      </c>
      <c r="B317" s="62">
        <v>15</v>
      </c>
      <c r="C317" s="62" t="str">
        <f>IFERROR(VLOOKUP(Table2[[#This Row],[Code]],'[2]New Machine sheet'!$A$1:$D$101,2,0),0)</f>
        <v>282-15</v>
      </c>
      <c r="D317" s="62" t="str">
        <f>IFERROR(VLOOKUP(Table2[[#This Row],[M/c No]],'[2]New Machine sheet'!$B$1:$D$101,2,0),0)</f>
        <v>Mazak</v>
      </c>
      <c r="E317" s="62" t="str">
        <f>IFERROR(VLOOKUP(Table2[[#This Row],[M/c Name]],'[2]New Machine sheet'!$C$1:$D$101,2,0),0)</f>
        <v>Turning</v>
      </c>
      <c r="F317" s="62">
        <v>82</v>
      </c>
      <c r="G317" s="62">
        <f>IFERROR(VLOOKUP(Table2[[#This Row],[Code2]],'[2]New Machine sheet'!$F$2:$I$64,2,),0)</f>
        <v>2482</v>
      </c>
      <c r="H317" s="62" t="str">
        <f>IFERROR(VLOOKUP(Table2[[#This Row],[Code2]],'[2]New Machine sheet'!$F$2:$I$64,3,0),0)</f>
        <v>RE P1</v>
      </c>
      <c r="I317" s="62" t="s">
        <v>168</v>
      </c>
      <c r="J317" s="62">
        <v>93</v>
      </c>
      <c r="K317" s="62" t="str">
        <f>IFERROR(VLOOKUP(Table2[[#This Row],[Code3]],'[2]New defect code '!$A$2:$D$129,2,0),0)</f>
        <v>Thickness Under size</v>
      </c>
      <c r="L317" s="62" t="s">
        <v>200</v>
      </c>
      <c r="M317" s="56">
        <v>46266</v>
      </c>
      <c r="N317" s="62"/>
      <c r="O317" s="62">
        <v>3</v>
      </c>
      <c r="P317" s="62"/>
      <c r="Q317" s="62"/>
      <c r="R317" s="62">
        <f>SUBTOTAL(9,Table2[[#This Row],[1st]:[FQC]])</f>
        <v>3</v>
      </c>
      <c r="S317" s="62">
        <f>IFERROR(VLOOKUP(Table2[[#This Row],[Part No.]],'[2]New Machine sheet'!$G$2:$I$90,3,0),0)</f>
        <v>303.45333333333332</v>
      </c>
      <c r="T317" s="62">
        <f>Table2[[#This Row],[cost per piece]]*Table2[[#This Row],[Total Rej. qty]]</f>
        <v>910.3599999999999</v>
      </c>
      <c r="U317" s="62">
        <f>IFERROR(VLOOKUP(Table2[[#This Row],[Non Conformance]],'[2]New defect code '!$B$2:$C$129,2,0),0)</f>
        <v>3258</v>
      </c>
      <c r="V317" s="62">
        <v>64</v>
      </c>
      <c r="W317" s="62" t="str">
        <f>IFERROR(VLOOKUP(Table2[[#This Row],[Code4]],'[2]New Reason code'!$A$2:$D$77,2,0),0)</f>
        <v>Wrong correction</v>
      </c>
      <c r="X317" s="62" t="str">
        <f>IFERROR(VLOOKUP(Table2[[#This Row],[Reason]],'[2]New Reason code'!$B$2:$D$77,2,0),0)</f>
        <v>Due to operator</v>
      </c>
      <c r="Y317" s="62" t="str">
        <f>IFERROR(VLOOKUP(Table2[[#This Row],[Rejection Identified at]],'[2]New Reason code'!$C$2:$D$77,2,0),0)</f>
        <v xml:space="preserve">infrastructure </v>
      </c>
    </row>
    <row r="318" spans="1:25" ht="20.25" customHeight="1">
      <c r="A318" s="50">
        <v>314</v>
      </c>
      <c r="B318" s="62">
        <v>15</v>
      </c>
      <c r="C318" s="62" t="str">
        <f>IFERROR(VLOOKUP(Table2[[#This Row],[Code]],'[2]New Machine sheet'!$A$1:$D$101,2,0),0)</f>
        <v>282-15</v>
      </c>
      <c r="D318" s="62" t="str">
        <f>IFERROR(VLOOKUP(Table2[[#This Row],[M/c No]],'[2]New Machine sheet'!$B$1:$D$101,2,0),0)</f>
        <v>Mazak</v>
      </c>
      <c r="E318" s="62" t="str">
        <f>IFERROR(VLOOKUP(Table2[[#This Row],[M/c Name]],'[2]New Machine sheet'!$C$1:$D$101,2,0),0)</f>
        <v>Turning</v>
      </c>
      <c r="F318" s="62">
        <v>122</v>
      </c>
      <c r="G318" s="62">
        <f>IFERROR(VLOOKUP(Table2[[#This Row],[Code2]],'[2]New Machine sheet'!$F$2:$I$64,2,),0)</f>
        <v>24122</v>
      </c>
      <c r="H318" s="62" t="str">
        <f>IFERROR(VLOOKUP(Table2[[#This Row],[Code2]],'[2]New Machine sheet'!$F$2:$I$64,3,0),0)</f>
        <v>RE J1</v>
      </c>
      <c r="I318" s="62"/>
      <c r="J318" s="62">
        <v>66</v>
      </c>
      <c r="K318" s="62" t="str">
        <f>IFERROR(VLOOKUP(Table2[[#This Row],[Code3]],'[2]New defect code '!$A$2:$D$129,2,0),0)</f>
        <v>OD Under Size</v>
      </c>
      <c r="L318" s="62" t="s">
        <v>200</v>
      </c>
      <c r="M318" s="56">
        <v>46266</v>
      </c>
      <c r="N318" s="62"/>
      <c r="O318" s="62">
        <v>7</v>
      </c>
      <c r="P318" s="62"/>
      <c r="Q318" s="62"/>
      <c r="R318" s="62">
        <f>SUBTOTAL(9,Table2[[#This Row],[1st]:[FQC]])</f>
        <v>7</v>
      </c>
      <c r="S318" s="62">
        <f>IFERROR(VLOOKUP(Table2[[#This Row],[Part No.]],'[2]New Machine sheet'!$G$2:$I$90,3,0),0)</f>
        <v>335.39977528089889</v>
      </c>
      <c r="T318" s="62">
        <f>Table2[[#This Row],[cost per piece]]*Table2[[#This Row],[Total Rej. qty]]</f>
        <v>2347.798426966292</v>
      </c>
      <c r="U318" s="62">
        <f>IFERROR(VLOOKUP(Table2[[#This Row],[Non Conformance]],'[2]New defect code '!$B$2:$C$129,2,0),0)</f>
        <v>3242</v>
      </c>
      <c r="V318" s="62">
        <v>19</v>
      </c>
      <c r="W318" s="62" t="str">
        <f>IFERROR(VLOOKUP(Table2[[#This Row],[Code4]],'[2]New Reason code'!$A$2:$D$77,2,0),0)</f>
        <v>During Rework time</v>
      </c>
      <c r="X318" s="62" t="str">
        <f>IFERROR(VLOOKUP(Table2[[#This Row],[Reason]],'[2]New Reason code'!$B$2:$D$77,2,0),0)</f>
        <v>Due to operator</v>
      </c>
      <c r="Y318" s="62" t="str">
        <f>IFERROR(VLOOKUP(Table2[[#This Row],[Rejection Identified at]],'[2]New Reason code'!$C$2:$D$77,2,0),0)</f>
        <v xml:space="preserve">infrastructure </v>
      </c>
    </row>
    <row r="319" spans="1:25" ht="20.25" customHeight="1">
      <c r="A319" s="50">
        <v>315</v>
      </c>
      <c r="B319" s="62">
        <v>15</v>
      </c>
      <c r="C319" s="62" t="str">
        <f>IFERROR(VLOOKUP(Table2[[#This Row],[Code]],'[2]New Machine sheet'!$A$1:$D$101,2,0),0)</f>
        <v>282-15</v>
      </c>
      <c r="D319" s="62" t="str">
        <f>IFERROR(VLOOKUP(Table2[[#This Row],[M/c No]],'[2]New Machine sheet'!$B$1:$D$101,2,0),0)</f>
        <v>Mazak</v>
      </c>
      <c r="E319" s="62" t="str">
        <f>IFERROR(VLOOKUP(Table2[[#This Row],[M/c Name]],'[2]New Machine sheet'!$C$1:$D$101,2,0),0)</f>
        <v>Turning</v>
      </c>
      <c r="F319" s="62">
        <v>122</v>
      </c>
      <c r="G319" s="62">
        <f>IFERROR(VLOOKUP(Table2[[#This Row],[Code2]],'[2]New Machine sheet'!$F$2:$I$64,2,),0)</f>
        <v>24122</v>
      </c>
      <c r="H319" s="62" t="str">
        <f>IFERROR(VLOOKUP(Table2[[#This Row],[Code2]],'[2]New Machine sheet'!$F$2:$I$64,3,0),0)</f>
        <v>RE J1</v>
      </c>
      <c r="I319" s="62"/>
      <c r="J319" s="62">
        <v>93</v>
      </c>
      <c r="K319" s="62" t="str">
        <f>IFERROR(VLOOKUP(Table2[[#This Row],[Code3]],'[2]New defect code '!$A$2:$D$129,2,0),0)</f>
        <v>Thickness Under size</v>
      </c>
      <c r="L319" s="62" t="s">
        <v>200</v>
      </c>
      <c r="M319" s="56">
        <v>46266</v>
      </c>
      <c r="N319" s="62"/>
      <c r="O319" s="62">
        <v>8</v>
      </c>
      <c r="P319" s="62"/>
      <c r="Q319" s="62"/>
      <c r="R319" s="62">
        <f>SUBTOTAL(9,Table2[[#This Row],[1st]:[FQC]])</f>
        <v>8</v>
      </c>
      <c r="S319" s="62">
        <f>IFERROR(VLOOKUP(Table2[[#This Row],[Part No.]],'[2]New Machine sheet'!$G$2:$I$90,3,0),0)</f>
        <v>335.39977528089889</v>
      </c>
      <c r="T319" s="62">
        <f>Table2[[#This Row],[cost per piece]]*Table2[[#This Row],[Total Rej. qty]]</f>
        <v>2683.1982022471911</v>
      </c>
      <c r="U319" s="62">
        <f>IFERROR(VLOOKUP(Table2[[#This Row],[Non Conformance]],'[2]New defect code '!$B$2:$C$129,2,0),0)</f>
        <v>3258</v>
      </c>
      <c r="V319" s="62">
        <v>19</v>
      </c>
      <c r="W319" s="62" t="str">
        <f>IFERROR(VLOOKUP(Table2[[#This Row],[Code4]],'[2]New Reason code'!$A$2:$D$77,2,0),0)</f>
        <v>During Rework time</v>
      </c>
      <c r="X319" s="62" t="str">
        <f>IFERROR(VLOOKUP(Table2[[#This Row],[Reason]],'[2]New Reason code'!$B$2:$D$77,2,0),0)</f>
        <v>Due to operator</v>
      </c>
      <c r="Y319" s="62" t="str">
        <f>IFERROR(VLOOKUP(Table2[[#This Row],[Rejection Identified at]],'[2]New Reason code'!$C$2:$D$77,2,0),0)</f>
        <v xml:space="preserve">infrastructure </v>
      </c>
    </row>
    <row r="320" spans="1:25" ht="20.25" customHeight="1">
      <c r="A320" s="60">
        <v>316</v>
      </c>
      <c r="B320" s="62">
        <v>15</v>
      </c>
      <c r="C320" s="62" t="str">
        <f>IFERROR(VLOOKUP(Table2[[#This Row],[Code]],'[2]New Machine sheet'!$A$1:$D$101,2,0),0)</f>
        <v>282-15</v>
      </c>
      <c r="D320" s="62" t="str">
        <f>IFERROR(VLOOKUP(Table2[[#This Row],[M/c No]],'[2]New Machine sheet'!$B$1:$D$101,2,0),0)</f>
        <v>Mazak</v>
      </c>
      <c r="E320" s="62" t="str">
        <f>IFERROR(VLOOKUP(Table2[[#This Row],[M/c Name]],'[2]New Machine sheet'!$C$1:$D$101,2,0),0)</f>
        <v>Turning</v>
      </c>
      <c r="F320" s="62">
        <v>185</v>
      </c>
      <c r="G320" s="62">
        <f>IFERROR(VLOOKUP(Table2[[#This Row],[Code2]],'[2]New Machine sheet'!$F$2:$I$64,2,),0)</f>
        <v>24185</v>
      </c>
      <c r="H320" s="62" t="str">
        <f>IFERROR(VLOOKUP(Table2[[#This Row],[Code2]],'[2]New Machine sheet'!$F$2:$I$64,3,0),0)</f>
        <v>RE Bush</v>
      </c>
      <c r="I320" s="62"/>
      <c r="J320" s="62">
        <v>21</v>
      </c>
      <c r="K320" s="62" t="str">
        <f>IFERROR(VLOOKUP(Table2[[#This Row],[Code3]],'[2]New defect code '!$A$2:$D$129,2,0),0)</f>
        <v>Bush Reject of defective part</v>
      </c>
      <c r="L320" s="62" t="s">
        <v>200</v>
      </c>
      <c r="M320" s="56">
        <v>46266</v>
      </c>
      <c r="N320" s="62"/>
      <c r="O320" s="62">
        <v>15</v>
      </c>
      <c r="P320" s="62"/>
      <c r="Q320" s="62"/>
      <c r="R320" s="62">
        <f>SUBTOTAL(9,Table2[[#This Row],[1st]:[FQC]])</f>
        <v>15</v>
      </c>
      <c r="S320" s="62">
        <f>IFERROR(VLOOKUP(Table2[[#This Row],[Part No.]],'[2]New Machine sheet'!$G$2:$I$90,3,0),0)</f>
        <v>25.53</v>
      </c>
      <c r="T320" s="62">
        <f>Table2[[#This Row],[cost per piece]]*Table2[[#This Row],[Total Rej. qty]]</f>
        <v>382.95000000000005</v>
      </c>
      <c r="U320" s="62">
        <f>IFERROR(VLOOKUP(Table2[[#This Row],[Non Conformance]],'[2]New defect code '!$B$2:$C$129,2,0),0)</f>
        <v>0</v>
      </c>
      <c r="V320" s="62">
        <v>6</v>
      </c>
      <c r="W320" s="62" t="str">
        <f>IFERROR(VLOOKUP(Table2[[#This Row],[Code4]],'[2]New Reason code'!$A$2:$D$77,2,0),0)</f>
        <v>bush will not use again</v>
      </c>
      <c r="X320" s="62" t="str">
        <f>IFERROR(VLOOKUP(Table2[[#This Row],[Reason]],'[2]New Reason code'!$B$2:$D$77,2,0),0)</f>
        <v>Prod Declared</v>
      </c>
      <c r="Y320" s="62" t="str">
        <f>IFERROR(VLOOKUP(Table2[[#This Row],[Rejection Identified at]],'[2]New Reason code'!$C$2:$D$77,2,0),0)</f>
        <v>Process Issue</v>
      </c>
    </row>
    <row r="321" spans="1:25" ht="20.25" customHeight="1">
      <c r="A321" s="60">
        <v>317</v>
      </c>
      <c r="B321" s="62">
        <v>11</v>
      </c>
      <c r="C321" s="62" t="str">
        <f>IFERROR(VLOOKUP(Table2[[#This Row],[Code]],'[2]New Machine sheet'!$A$1:$D$101,2,0),0)</f>
        <v>282-11</v>
      </c>
      <c r="D321" s="62" t="str">
        <f>IFERROR(VLOOKUP(Table2[[#This Row],[M/c No]],'[2]New Machine sheet'!$B$1:$D$101,2,0),0)</f>
        <v>Mazak</v>
      </c>
      <c r="E321" s="62" t="str">
        <f>IFERROR(VLOOKUP(Table2[[#This Row],[M/c Name]],'[2]New Machine sheet'!$C$1:$D$101,2,0),0)</f>
        <v>Turning</v>
      </c>
      <c r="F321" s="62">
        <v>121</v>
      </c>
      <c r="G321" s="62">
        <f>IFERROR(VLOOKUP(Table2[[#This Row],[Code2]],'[2]New Machine sheet'!$F$2:$I$64,2,),0)</f>
        <v>24121</v>
      </c>
      <c r="H321" s="62" t="str">
        <f>IFERROR(VLOOKUP(Table2[[#This Row],[Code2]],'[2]New Machine sheet'!$F$2:$I$64,3,0),0)</f>
        <v>RE J1</v>
      </c>
      <c r="I321" s="62"/>
      <c r="J321" s="62">
        <v>93</v>
      </c>
      <c r="K321" s="62" t="str">
        <f>IFERROR(VLOOKUP(Table2[[#This Row],[Code3]],'[2]New defect code '!$A$2:$D$129,2,0),0)</f>
        <v>Thickness Under size</v>
      </c>
      <c r="L321" s="62" t="s">
        <v>200</v>
      </c>
      <c r="M321" s="56">
        <v>46266</v>
      </c>
      <c r="N321" s="62"/>
      <c r="O321" s="62">
        <v>8</v>
      </c>
      <c r="P321" s="62"/>
      <c r="Q321" s="62"/>
      <c r="R321" s="62">
        <f>SUBTOTAL(9,Table2[[#This Row],[1st]:[FQC]])</f>
        <v>8</v>
      </c>
      <c r="S321" s="62">
        <f>IFERROR(VLOOKUP(Table2[[#This Row],[Part No.]],'[2]New Machine sheet'!$G$2:$I$90,3,0),0)</f>
        <v>135.66999999999999</v>
      </c>
      <c r="T321" s="62">
        <f>Table2[[#This Row],[cost per piece]]*Table2[[#This Row],[Total Rej. qty]]</f>
        <v>1085.3599999999999</v>
      </c>
      <c r="U321" s="62">
        <f>IFERROR(VLOOKUP(Table2[[#This Row],[Non Conformance]],'[2]New defect code '!$B$2:$C$129,2,0),0)</f>
        <v>3258</v>
      </c>
      <c r="V321" s="62">
        <v>19</v>
      </c>
      <c r="W321" s="62" t="str">
        <f>IFERROR(VLOOKUP(Table2[[#This Row],[Code4]],'[2]New Reason code'!$A$2:$D$77,2,0),0)</f>
        <v>During Rework time</v>
      </c>
      <c r="X321" s="62" t="str">
        <f>IFERROR(VLOOKUP(Table2[[#This Row],[Reason]],'[2]New Reason code'!$B$2:$D$77,2,0),0)</f>
        <v>Due to operator</v>
      </c>
      <c r="Y321" s="62" t="str">
        <f>IFERROR(VLOOKUP(Table2[[#This Row],[Rejection Identified at]],'[2]New Reason code'!$C$2:$D$77,2,0),0)</f>
        <v xml:space="preserve">infrastructure </v>
      </c>
    </row>
    <row r="322" spans="1:25" ht="20.25" customHeight="1">
      <c r="A322" s="50">
        <v>318</v>
      </c>
      <c r="B322" s="62">
        <v>11</v>
      </c>
      <c r="C322" s="62" t="str">
        <f>IFERROR(VLOOKUP(Table2[[#This Row],[Code]],'[2]New Machine sheet'!$A$1:$D$101,2,0),0)</f>
        <v>282-11</v>
      </c>
      <c r="D322" s="62" t="str">
        <f>IFERROR(VLOOKUP(Table2[[#This Row],[M/c No]],'[2]New Machine sheet'!$B$1:$D$101,2,0),0)</f>
        <v>Mazak</v>
      </c>
      <c r="E322" s="62" t="str">
        <f>IFERROR(VLOOKUP(Table2[[#This Row],[M/c Name]],'[2]New Machine sheet'!$C$1:$D$101,2,0),0)</f>
        <v>Turning</v>
      </c>
      <c r="F322" s="62">
        <v>121</v>
      </c>
      <c r="G322" s="62">
        <f>IFERROR(VLOOKUP(Table2[[#This Row],[Code2]],'[2]New Machine sheet'!$F$2:$I$64,2,),0)</f>
        <v>24121</v>
      </c>
      <c r="H322" s="62" t="str">
        <f>IFERROR(VLOOKUP(Table2[[#This Row],[Code2]],'[2]New Machine sheet'!$F$2:$I$64,3,0),0)</f>
        <v>RE J1</v>
      </c>
      <c r="I322" s="62"/>
      <c r="J322" s="62">
        <v>80</v>
      </c>
      <c r="K322" s="62" t="str">
        <f>IFERROR(VLOOKUP(Table2[[#This Row],[Code3]],'[2]New defect code '!$A$2:$D$129,2,0),0)</f>
        <v xml:space="preserve">Rust </v>
      </c>
      <c r="L322" s="62" t="s">
        <v>200</v>
      </c>
      <c r="M322" s="56">
        <v>46266</v>
      </c>
      <c r="N322" s="62"/>
      <c r="O322" s="62">
        <v>5</v>
      </c>
      <c r="P322" s="62"/>
      <c r="Q322" s="62"/>
      <c r="R322" s="62">
        <f>SUBTOTAL(9,Table2[[#This Row],[1st]:[FQC]])</f>
        <v>5</v>
      </c>
      <c r="S322" s="62">
        <f>IFERROR(VLOOKUP(Table2[[#This Row],[Part No.]],'[2]New Machine sheet'!$G$2:$I$90,3,0),0)</f>
        <v>135.66999999999999</v>
      </c>
      <c r="T322" s="62">
        <f>Table2[[#This Row],[cost per piece]]*Table2[[#This Row],[Total Rej. qty]]</f>
        <v>678.34999999999991</v>
      </c>
      <c r="U322" s="62">
        <f>IFERROR(VLOOKUP(Table2[[#This Row],[Non Conformance]],'[2]New defect code '!$B$2:$C$129,2,0),0)</f>
        <v>0</v>
      </c>
      <c r="V322" s="62">
        <v>15</v>
      </c>
      <c r="W322" s="62" t="str">
        <f>IFERROR(VLOOKUP(Table2[[#This Row],[Code4]],'[2]New Reason code'!$A$2:$D$77,2,0),0)</f>
        <v>During ACMA (5S) time</v>
      </c>
      <c r="X322" s="62" t="str">
        <f>IFERROR(VLOOKUP(Table2[[#This Row],[Reason]],'[2]New Reason code'!$B$2:$D$77,2,0),0)</f>
        <v>Prod Declared</v>
      </c>
      <c r="Y322" s="62" t="str">
        <f>IFERROR(VLOOKUP(Table2[[#This Row],[Rejection Identified at]],'[2]New Reason code'!$C$2:$D$77,2,0),0)</f>
        <v>Process Issue</v>
      </c>
    </row>
    <row r="323" spans="1:25" ht="20.25" customHeight="1">
      <c r="A323" s="50">
        <v>319</v>
      </c>
      <c r="B323" s="62">
        <v>13</v>
      </c>
      <c r="C323" s="62" t="str">
        <f>IFERROR(VLOOKUP(Table2[[#This Row],[Code]],'[2]New Machine sheet'!$A$1:$D$101,2,0),0)</f>
        <v>282-13</v>
      </c>
      <c r="D323" s="62" t="str">
        <f>IFERROR(VLOOKUP(Table2[[#This Row],[M/c No]],'[2]New Machine sheet'!$B$1:$D$101,2,0),0)</f>
        <v>Mazak</v>
      </c>
      <c r="E323" s="62" t="str">
        <f>IFERROR(VLOOKUP(Table2[[#This Row],[M/c Name]],'[2]New Machine sheet'!$C$1:$D$101,2,0),0)</f>
        <v>Turning</v>
      </c>
      <c r="F323" s="62">
        <v>102</v>
      </c>
      <c r="G323" s="62">
        <f>IFERROR(VLOOKUP(Table2[[#This Row],[Code2]],'[2]New Machine sheet'!$F$2:$I$64,2,),0)</f>
        <v>24102</v>
      </c>
      <c r="H323" s="62" t="str">
        <f>IFERROR(VLOOKUP(Table2[[#This Row],[Code2]],'[2]New Machine sheet'!$F$2:$I$64,3,0),0)</f>
        <v>RE J1</v>
      </c>
      <c r="I323" s="62"/>
      <c r="J323" s="62">
        <v>93</v>
      </c>
      <c r="K323" s="62" t="str">
        <f>IFERROR(VLOOKUP(Table2[[#This Row],[Code3]],'[2]New defect code '!$A$2:$D$129,2,0),0)</f>
        <v>Thickness Under size</v>
      </c>
      <c r="L323" s="62" t="s">
        <v>200</v>
      </c>
      <c r="M323" s="56">
        <v>46266</v>
      </c>
      <c r="N323" s="62"/>
      <c r="O323" s="62">
        <v>10</v>
      </c>
      <c r="P323" s="62"/>
      <c r="Q323" s="62"/>
      <c r="R323" s="62">
        <f>SUBTOTAL(9,Table2[[#This Row],[1st]:[FQC]])</f>
        <v>10</v>
      </c>
      <c r="S323" s="62">
        <f>IFERROR(VLOOKUP(Table2[[#This Row],[Part No.]],'[2]New Machine sheet'!$G$2:$I$90,3,0),0)</f>
        <v>93</v>
      </c>
      <c r="T323" s="62">
        <f>Table2[[#This Row],[cost per piece]]*Table2[[#This Row],[Total Rej. qty]]</f>
        <v>930</v>
      </c>
      <c r="U323" s="62">
        <f>IFERROR(VLOOKUP(Table2[[#This Row],[Non Conformance]],'[2]New defect code '!$B$2:$C$129,2,0),0)</f>
        <v>3258</v>
      </c>
      <c r="V323" s="62">
        <v>19</v>
      </c>
      <c r="W323" s="62" t="str">
        <f>IFERROR(VLOOKUP(Table2[[#This Row],[Code4]],'[2]New Reason code'!$A$2:$D$77,2,0),0)</f>
        <v>During Rework time</v>
      </c>
      <c r="X323" s="62" t="str">
        <f>IFERROR(VLOOKUP(Table2[[#This Row],[Reason]],'[2]New Reason code'!$B$2:$D$77,2,0),0)</f>
        <v>Due to operator</v>
      </c>
      <c r="Y323" s="62" t="str">
        <f>IFERROR(VLOOKUP(Table2[[#This Row],[Rejection Identified at]],'[2]New Reason code'!$C$2:$D$77,2,0),0)</f>
        <v xml:space="preserve">infrastructure </v>
      </c>
    </row>
    <row r="324" spans="1:25" ht="20.25" customHeight="1">
      <c r="A324" s="60">
        <v>320</v>
      </c>
      <c r="B324" s="62"/>
      <c r="C324" s="62">
        <f>IFERROR(VLOOKUP(Table2[[#This Row],[Code]],'[2]New Machine sheet'!$A$1:$D$101,2,0),0)</f>
        <v>0</v>
      </c>
      <c r="D324" s="62">
        <f>IFERROR(VLOOKUP(Table2[[#This Row],[M/c No]],'[2]New Machine sheet'!$B$1:$D$101,2,0),0)</f>
        <v>0</v>
      </c>
      <c r="E324" s="62">
        <f>IFERROR(VLOOKUP(Table2[[#This Row],[M/c Name]],'[2]New Machine sheet'!$C$1:$D$101,2,0),0)</f>
        <v>0</v>
      </c>
      <c r="F324" s="62">
        <v>121</v>
      </c>
      <c r="G324" s="62">
        <f>IFERROR(VLOOKUP(Table2[[#This Row],[Code2]],'[2]New Machine sheet'!$F$2:$I$64,2,),0)</f>
        <v>24121</v>
      </c>
      <c r="H324" s="62" t="str">
        <f>IFERROR(VLOOKUP(Table2[[#This Row],[Code2]],'[2]New Machine sheet'!$F$2:$I$64,3,0),0)</f>
        <v>RE J1</v>
      </c>
      <c r="I324" s="62"/>
      <c r="J324" s="62">
        <v>21</v>
      </c>
      <c r="K324" s="62" t="str">
        <f>IFERROR(VLOOKUP(Table2[[#This Row],[Code3]],'[2]New defect code '!$A$2:$D$129,2,0),0)</f>
        <v>Bush Reject of defective part</v>
      </c>
      <c r="L324" s="62" t="s">
        <v>200</v>
      </c>
      <c r="M324" s="56">
        <v>46266</v>
      </c>
      <c r="N324" s="62"/>
      <c r="O324" s="62">
        <v>5</v>
      </c>
      <c r="P324" s="62"/>
      <c r="Q324" s="62"/>
      <c r="R324" s="62">
        <f>SUBTOTAL(9,Table2[[#This Row],[1st]:[FQC]])</f>
        <v>5</v>
      </c>
      <c r="S324" s="62">
        <f>IFERROR(VLOOKUP(Table2[[#This Row],[Part No.]],'[2]New Machine sheet'!$G$2:$I$90,3,0),0)</f>
        <v>135.66999999999999</v>
      </c>
      <c r="T324" s="62">
        <f>Table2[[#This Row],[cost per piece]]*Table2[[#This Row],[Total Rej. qty]]</f>
        <v>678.34999999999991</v>
      </c>
      <c r="U324" s="62">
        <f>IFERROR(VLOOKUP(Table2[[#This Row],[Non Conformance]],'[2]New defect code '!$B$2:$C$129,2,0),0)</f>
        <v>0</v>
      </c>
      <c r="V324" s="62">
        <v>6</v>
      </c>
      <c r="W324" s="62" t="str">
        <f>IFERROR(VLOOKUP(Table2[[#This Row],[Code4]],'[2]New Reason code'!$A$2:$D$77,2,0),0)</f>
        <v>bush will not use again</v>
      </c>
      <c r="X324" s="62" t="str">
        <f>IFERROR(VLOOKUP(Table2[[#This Row],[Reason]],'[2]New Reason code'!$B$2:$D$77,2,0),0)</f>
        <v>Prod Declared</v>
      </c>
      <c r="Y324" s="62" t="str">
        <f>IFERROR(VLOOKUP(Table2[[#This Row],[Rejection Identified at]],'[2]New Reason code'!$C$2:$D$77,2,0),0)</f>
        <v>Process Issue</v>
      </c>
    </row>
    <row r="325" spans="1:25" ht="20.25" customHeight="1">
      <c r="A325" s="60">
        <v>321</v>
      </c>
      <c r="B325" s="62">
        <v>18</v>
      </c>
      <c r="C325" s="62" t="str">
        <f>IFERROR(VLOOKUP(Table2[[#This Row],[Code]],'[2]New Machine sheet'!$A$1:$D$101,2,0),0)</f>
        <v>282-18</v>
      </c>
      <c r="D325" s="62" t="str">
        <f>IFERROR(VLOOKUP(Table2[[#This Row],[M/c No]],'[2]New Machine sheet'!$B$1:$D$101,2,0),0)</f>
        <v>Mazak</v>
      </c>
      <c r="E325" s="62" t="str">
        <f>IFERROR(VLOOKUP(Table2[[#This Row],[M/c Name]],'[2]New Machine sheet'!$C$1:$D$101,2,0),0)</f>
        <v>Turning</v>
      </c>
      <c r="F325" s="62">
        <v>178</v>
      </c>
      <c r="G325" s="62">
        <f>IFERROR(VLOOKUP(Table2[[#This Row],[Code2]],'[2]New Machine sheet'!$F$2:$I$64,2,),0)</f>
        <v>24178</v>
      </c>
      <c r="H325" s="62" t="str">
        <f>IFERROR(VLOOKUP(Table2[[#This Row],[Code2]],'[2]New Machine sheet'!$F$2:$I$64,3,0),0)</f>
        <v>RE J1</v>
      </c>
      <c r="I325" s="62"/>
      <c r="J325" s="62">
        <v>5</v>
      </c>
      <c r="K325" s="62" t="str">
        <f>IFERROR(VLOOKUP(Table2[[#This Row],[Code3]],'[2]New defect code '!$A$2:$D$129,2,0),0)</f>
        <v>Bore Over size</v>
      </c>
      <c r="L325" s="62" t="s">
        <v>200</v>
      </c>
      <c r="M325" s="56">
        <v>46266</v>
      </c>
      <c r="N325" s="62"/>
      <c r="O325" s="62">
        <v>9</v>
      </c>
      <c r="P325" s="62"/>
      <c r="Q325" s="62"/>
      <c r="R325" s="62">
        <f>SUBTOTAL(9,Table2[[#This Row],[1st]:[FQC]])</f>
        <v>9</v>
      </c>
      <c r="S325" s="62">
        <f>IFERROR(VLOOKUP(Table2[[#This Row],[Part No.]],'[2]New Machine sheet'!$G$2:$I$90,3,0),0)</f>
        <v>70.62</v>
      </c>
      <c r="T325" s="62">
        <f>Table2[[#This Row],[cost per piece]]*Table2[[#This Row],[Total Rej. qty]]</f>
        <v>635.58000000000004</v>
      </c>
      <c r="U325" s="62">
        <f>IFERROR(VLOOKUP(Table2[[#This Row],[Non Conformance]],'[2]New defect code '!$B$2:$C$129,2,0),0)</f>
        <v>3243</v>
      </c>
      <c r="V325" s="62">
        <v>19</v>
      </c>
      <c r="W325" s="62" t="str">
        <f>IFERROR(VLOOKUP(Table2[[#This Row],[Code4]],'[2]New Reason code'!$A$2:$D$77,2,0),0)</f>
        <v>During Rework time</v>
      </c>
      <c r="X325" s="62" t="str">
        <f>IFERROR(VLOOKUP(Table2[[#This Row],[Reason]],'[2]New Reason code'!$B$2:$D$77,2,0),0)</f>
        <v>Due to operator</v>
      </c>
      <c r="Y325" s="62" t="str">
        <f>IFERROR(VLOOKUP(Table2[[#This Row],[Rejection Identified at]],'[2]New Reason code'!$C$2:$D$77,2,0),0)</f>
        <v xml:space="preserve">infrastructure </v>
      </c>
    </row>
    <row r="326" spans="1:25" ht="20.25" customHeight="1">
      <c r="A326" s="50">
        <v>322</v>
      </c>
      <c r="B326" s="62">
        <v>3</v>
      </c>
      <c r="C326" s="62" t="str">
        <f>IFERROR(VLOOKUP(Table2[[#This Row],[Code]],'[2]New Machine sheet'!$A$1:$D$101,2,0),0)</f>
        <v>282-03</v>
      </c>
      <c r="D326" s="62" t="str">
        <f>IFERROR(VLOOKUP(Table2[[#This Row],[M/c No]],'[2]New Machine sheet'!$B$1:$D$101,2,0),0)</f>
        <v>Mazak</v>
      </c>
      <c r="E326" s="62" t="str">
        <f>IFERROR(VLOOKUP(Table2[[#This Row],[M/c Name]],'[2]New Machine sheet'!$C$1:$D$101,2,0),0)</f>
        <v>Turning</v>
      </c>
      <c r="F326" s="62">
        <v>178</v>
      </c>
      <c r="G326" s="62">
        <f>IFERROR(VLOOKUP(Table2[[#This Row],[Code2]],'[2]New Machine sheet'!$F$2:$I$64,2,),0)</f>
        <v>24178</v>
      </c>
      <c r="H326" s="62" t="str">
        <f>IFERROR(VLOOKUP(Table2[[#This Row],[Code2]],'[2]New Machine sheet'!$F$2:$I$64,3,0),0)</f>
        <v>RE J1</v>
      </c>
      <c r="I326" s="62" t="s">
        <v>147</v>
      </c>
      <c r="J326" s="62">
        <v>5</v>
      </c>
      <c r="K326" s="62" t="str">
        <f>IFERROR(VLOOKUP(Table2[[#This Row],[Code3]],'[2]New defect code '!$A$2:$D$129,2,0),0)</f>
        <v>Bore Over size</v>
      </c>
      <c r="L326" s="62" t="s">
        <v>200</v>
      </c>
      <c r="M326" s="56">
        <v>46266</v>
      </c>
      <c r="N326" s="62"/>
      <c r="O326" s="62"/>
      <c r="P326" s="62">
        <v>1</v>
      </c>
      <c r="Q326" s="62"/>
      <c r="R326" s="62">
        <f>SUBTOTAL(9,Table2[[#This Row],[1st]:[FQC]])</f>
        <v>1</v>
      </c>
      <c r="S326" s="62">
        <f>IFERROR(VLOOKUP(Table2[[#This Row],[Part No.]],'[2]New Machine sheet'!$G$2:$I$90,3,0),0)</f>
        <v>70.62</v>
      </c>
      <c r="T326" s="62">
        <f>Table2[[#This Row],[cost per piece]]*Table2[[#This Row],[Total Rej. qty]]</f>
        <v>70.62</v>
      </c>
      <c r="U326" s="62">
        <f>IFERROR(VLOOKUP(Table2[[#This Row],[Non Conformance]],'[2]New defect code '!$B$2:$C$129,2,0),0)</f>
        <v>3243</v>
      </c>
      <c r="V326" s="62">
        <v>18</v>
      </c>
      <c r="W326" s="62" t="str">
        <f>IFERROR(VLOOKUP(Table2[[#This Row],[Code4]],'[2]New Reason code'!$A$2:$D$77,2,0),0)</f>
        <v>During insert change</v>
      </c>
      <c r="X326" s="62" t="str">
        <f>IFERROR(VLOOKUP(Table2[[#This Row],[Reason]],'[2]New Reason code'!$B$2:$D$77,2,0),0)</f>
        <v xml:space="preserve">Due to Settup  </v>
      </c>
      <c r="Y326" s="62" t="str">
        <f>IFERROR(VLOOKUP(Table2[[#This Row],[Rejection Identified at]],'[2]New Reason code'!$C$2:$D$77,2,0),0)</f>
        <v>skill</v>
      </c>
    </row>
    <row r="327" spans="1:25" ht="20.25" customHeight="1">
      <c r="A327" s="50">
        <v>323</v>
      </c>
      <c r="B327" s="62">
        <v>17</v>
      </c>
      <c r="C327" s="62" t="str">
        <f>IFERROR(VLOOKUP(Table2[[#This Row],[Code]],'[2]New Machine sheet'!$A$1:$D$101,2,0),0)</f>
        <v>282-17</v>
      </c>
      <c r="D327" s="62" t="str">
        <f>IFERROR(VLOOKUP(Table2[[#This Row],[M/c No]],'[2]New Machine sheet'!$B$1:$D$101,2,0),0)</f>
        <v>Mazak</v>
      </c>
      <c r="E327" s="62" t="str">
        <f>IFERROR(VLOOKUP(Table2[[#This Row],[M/c Name]],'[2]New Machine sheet'!$C$1:$D$101,2,0),0)</f>
        <v>Turning</v>
      </c>
      <c r="F327" s="62">
        <v>113</v>
      </c>
      <c r="G327" s="62">
        <f>IFERROR(VLOOKUP(Table2[[#This Row],[Code2]],'[2]New Machine sheet'!$F$2:$I$64,2,),0)</f>
        <v>24113</v>
      </c>
      <c r="H327" s="62" t="str">
        <f>IFERROR(VLOOKUP(Table2[[#This Row],[Code2]],'[2]New Machine sheet'!$F$2:$I$64,3,0),0)</f>
        <v>RE J1</v>
      </c>
      <c r="I327" s="62" t="s">
        <v>132</v>
      </c>
      <c r="J327" s="62">
        <v>5</v>
      </c>
      <c r="K327" s="62" t="str">
        <f>IFERROR(VLOOKUP(Table2[[#This Row],[Code3]],'[2]New defect code '!$A$2:$D$129,2,0),0)</f>
        <v>Bore Over size</v>
      </c>
      <c r="L327" s="62" t="s">
        <v>200</v>
      </c>
      <c r="M327" s="56">
        <v>46266</v>
      </c>
      <c r="N327" s="62"/>
      <c r="O327" s="62"/>
      <c r="P327" s="62">
        <v>1</v>
      </c>
      <c r="Q327" s="62"/>
      <c r="R327" s="62">
        <f>SUBTOTAL(9,Table2[[#This Row],[1st]:[FQC]])</f>
        <v>1</v>
      </c>
      <c r="S327" s="62">
        <f>IFERROR(VLOOKUP(Table2[[#This Row],[Part No.]],'[2]New Machine sheet'!$G$2:$I$90,3,0),0)</f>
        <v>90</v>
      </c>
      <c r="T327" s="62">
        <f>Table2[[#This Row],[cost per piece]]*Table2[[#This Row],[Total Rej. qty]]</f>
        <v>90</v>
      </c>
      <c r="U327" s="62">
        <f>IFERROR(VLOOKUP(Table2[[#This Row],[Non Conformance]],'[2]New defect code '!$B$2:$C$129,2,0),0)</f>
        <v>3243</v>
      </c>
      <c r="V327" s="62">
        <v>18</v>
      </c>
      <c r="W327" s="62" t="str">
        <f>IFERROR(VLOOKUP(Table2[[#This Row],[Code4]],'[2]New Reason code'!$A$2:$D$77,2,0),0)</f>
        <v>During insert change</v>
      </c>
      <c r="X327" s="62" t="str">
        <f>IFERROR(VLOOKUP(Table2[[#This Row],[Reason]],'[2]New Reason code'!$B$2:$D$77,2,0),0)</f>
        <v xml:space="preserve">Due to Settup  </v>
      </c>
      <c r="Y327" s="62" t="str">
        <f>IFERROR(VLOOKUP(Table2[[#This Row],[Rejection Identified at]],'[2]New Reason code'!$C$2:$D$77,2,0),0)</f>
        <v>skill</v>
      </c>
    </row>
    <row r="328" spans="1:25" ht="20.25" customHeight="1">
      <c r="A328" s="60">
        <v>324</v>
      </c>
      <c r="B328" s="62">
        <v>15</v>
      </c>
      <c r="C328" s="62" t="str">
        <f>IFERROR(VLOOKUP(Table2[[#This Row],[Code]],'[2]New Machine sheet'!$A$1:$D$101,2,0),0)</f>
        <v>282-15</v>
      </c>
      <c r="D328" s="62" t="str">
        <f>IFERROR(VLOOKUP(Table2[[#This Row],[M/c No]],'[2]New Machine sheet'!$B$1:$D$101,2,0),0)</f>
        <v>Mazak</v>
      </c>
      <c r="E328" s="62" t="str">
        <f>IFERROR(VLOOKUP(Table2[[#This Row],[M/c Name]],'[2]New Machine sheet'!$C$1:$D$101,2,0),0)</f>
        <v>Turning</v>
      </c>
      <c r="F328" s="62">
        <v>82</v>
      </c>
      <c r="G328" s="62">
        <f>IFERROR(VLOOKUP(Table2[[#This Row],[Code2]],'[2]New Machine sheet'!$F$2:$I$64,2,),0)</f>
        <v>2482</v>
      </c>
      <c r="H328" s="62" t="str">
        <f>IFERROR(VLOOKUP(Table2[[#This Row],[Code2]],'[2]New Machine sheet'!$F$2:$I$64,3,0),0)</f>
        <v>RE P1</v>
      </c>
      <c r="I328" s="62" t="s">
        <v>129</v>
      </c>
      <c r="J328" s="62">
        <v>66</v>
      </c>
      <c r="K328" s="62" t="str">
        <f>IFERROR(VLOOKUP(Table2[[#This Row],[Code3]],'[2]New defect code '!$A$2:$D$129,2,0),0)</f>
        <v>OD Under Size</v>
      </c>
      <c r="L328" s="62" t="s">
        <v>200</v>
      </c>
      <c r="M328" s="56">
        <v>46266</v>
      </c>
      <c r="N328" s="62"/>
      <c r="O328" s="62"/>
      <c r="P328" s="62">
        <v>1</v>
      </c>
      <c r="Q328" s="62"/>
      <c r="R328" s="62">
        <f>SUBTOTAL(9,Table2[[#This Row],[1st]:[FQC]])</f>
        <v>1</v>
      </c>
      <c r="S328" s="62">
        <f>IFERROR(VLOOKUP(Table2[[#This Row],[Part No.]],'[2]New Machine sheet'!$G$2:$I$90,3,0),0)</f>
        <v>303.45333333333332</v>
      </c>
      <c r="T328" s="62">
        <f>Table2[[#This Row],[cost per piece]]*Table2[[#This Row],[Total Rej. qty]]</f>
        <v>303.45333333333332</v>
      </c>
      <c r="U328" s="62">
        <f>IFERROR(VLOOKUP(Table2[[#This Row],[Non Conformance]],'[2]New defect code '!$B$2:$C$129,2,0),0)</f>
        <v>3242</v>
      </c>
      <c r="V328" s="62">
        <v>18</v>
      </c>
      <c r="W328" s="62" t="str">
        <f>IFERROR(VLOOKUP(Table2[[#This Row],[Code4]],'[2]New Reason code'!$A$2:$D$77,2,0),0)</f>
        <v>During insert change</v>
      </c>
      <c r="X328" s="62" t="str">
        <f>IFERROR(VLOOKUP(Table2[[#This Row],[Reason]],'[2]New Reason code'!$B$2:$D$77,2,0),0)</f>
        <v xml:space="preserve">Due to Settup  </v>
      </c>
      <c r="Y328" s="62" t="str">
        <f>IFERROR(VLOOKUP(Table2[[#This Row],[Rejection Identified at]],'[2]New Reason code'!$C$2:$D$77,2,0),0)</f>
        <v>skill</v>
      </c>
    </row>
    <row r="329" spans="1:25" ht="20.25" customHeight="1">
      <c r="A329" s="60">
        <v>325</v>
      </c>
      <c r="B329" s="62">
        <v>4</v>
      </c>
      <c r="C329" s="62" t="str">
        <f>IFERROR(VLOOKUP(Table2[[#This Row],[Code]],'[2]New Machine sheet'!$A$1:$D$101,2,0),0)</f>
        <v>282-04</v>
      </c>
      <c r="D329" s="62" t="str">
        <f>IFERROR(VLOOKUP(Table2[[#This Row],[M/c No]],'[2]New Machine sheet'!$B$1:$D$101,2,0),0)</f>
        <v>Mazak</v>
      </c>
      <c r="E329" s="62" t="str">
        <f>IFERROR(VLOOKUP(Table2[[#This Row],[M/c Name]],'[2]New Machine sheet'!$C$1:$D$101,2,0),0)</f>
        <v>Turning</v>
      </c>
      <c r="F329" s="62">
        <v>117</v>
      </c>
      <c r="G329" s="62">
        <f>IFERROR(VLOOKUP(Table2[[#This Row],[Code2]],'[2]New Machine sheet'!$F$2:$I$64,2,),0)</f>
        <v>24117</v>
      </c>
      <c r="H329" s="62" t="str">
        <f>IFERROR(VLOOKUP(Table2[[#This Row],[Code2]],'[2]New Machine sheet'!$F$2:$I$64,3,0),0)</f>
        <v>RE J1</v>
      </c>
      <c r="I329" s="62" t="s">
        <v>171</v>
      </c>
      <c r="J329" s="62">
        <v>93</v>
      </c>
      <c r="K329" s="62" t="str">
        <f>IFERROR(VLOOKUP(Table2[[#This Row],[Code3]],'[2]New defect code '!$A$2:$D$129,2,0),0)</f>
        <v>Thickness Under size</v>
      </c>
      <c r="L329" s="62" t="s">
        <v>200</v>
      </c>
      <c r="M329" s="56">
        <v>46266</v>
      </c>
      <c r="N329" s="62"/>
      <c r="O329" s="62"/>
      <c r="P329" s="62">
        <v>1</v>
      </c>
      <c r="Q329" s="62"/>
      <c r="R329" s="62">
        <f>SUBTOTAL(9,Table2[[#This Row],[1st]:[FQC]])</f>
        <v>1</v>
      </c>
      <c r="S329" s="62">
        <f>IFERROR(VLOOKUP(Table2[[#This Row],[Part No.]],'[2]New Machine sheet'!$G$2:$I$90,3,0),0)</f>
        <v>111.97</v>
      </c>
      <c r="T329" s="62">
        <f>Table2[[#This Row],[cost per piece]]*Table2[[#This Row],[Total Rej. qty]]</f>
        <v>111.97</v>
      </c>
      <c r="U329" s="62">
        <f>IFERROR(VLOOKUP(Table2[[#This Row],[Non Conformance]],'[2]New defect code '!$B$2:$C$129,2,0),0)</f>
        <v>3258</v>
      </c>
      <c r="V329" s="62">
        <v>18</v>
      </c>
      <c r="W329" s="62" t="str">
        <f>IFERROR(VLOOKUP(Table2[[#This Row],[Code4]],'[2]New Reason code'!$A$2:$D$77,2,0),0)</f>
        <v>During insert change</v>
      </c>
      <c r="X329" s="62" t="str">
        <f>IFERROR(VLOOKUP(Table2[[#This Row],[Reason]],'[2]New Reason code'!$B$2:$D$77,2,0),0)</f>
        <v xml:space="preserve">Due to Settup  </v>
      </c>
      <c r="Y329" s="62" t="str">
        <f>IFERROR(VLOOKUP(Table2[[#This Row],[Rejection Identified at]],'[2]New Reason code'!$C$2:$D$77,2,0),0)</f>
        <v>skill</v>
      </c>
    </row>
    <row r="330" spans="1:25" ht="20.25" customHeight="1">
      <c r="A330" s="50">
        <v>326</v>
      </c>
      <c r="B330" s="62">
        <v>62</v>
      </c>
      <c r="C330" s="62" t="str">
        <f>IFERROR(VLOOKUP(Table2[[#This Row],[Code]],'[2]New Machine sheet'!$A$1:$D$101,2,0),0)</f>
        <v>FQC</v>
      </c>
      <c r="D330" s="62" t="str">
        <f>IFERROR(VLOOKUP(Table2[[#This Row],[M/c No]],'[2]New Machine sheet'!$B$1:$D$101,2,0),0)</f>
        <v>FQC</v>
      </c>
      <c r="E330" s="62" t="str">
        <f>IFERROR(VLOOKUP(Table2[[#This Row],[M/c Name]],'[2]New Machine sheet'!$C$1:$D$101,2,0),0)</f>
        <v>fqc</v>
      </c>
      <c r="F330" s="62">
        <v>155</v>
      </c>
      <c r="G330" s="62">
        <f>IFERROR(VLOOKUP(Table2[[#This Row],[Code2]],'[2]New Machine sheet'!$F$2:$I$64,2,),0)</f>
        <v>24155</v>
      </c>
      <c r="H330" s="62" t="str">
        <f>IFERROR(VLOOKUP(Table2[[#This Row],[Code2]],'[2]New Machine sheet'!$F$2:$I$64,3,0),0)</f>
        <v>RE J1</v>
      </c>
      <c r="I330" s="62"/>
      <c r="J330" s="62">
        <v>93</v>
      </c>
      <c r="K330" s="62" t="str">
        <f>IFERROR(VLOOKUP(Table2[[#This Row],[Code3]],'[2]New defect code '!$A$2:$D$129,2,0),0)</f>
        <v>Thickness Under size</v>
      </c>
      <c r="L330" s="62" t="s">
        <v>200</v>
      </c>
      <c r="M330" s="56">
        <v>46266</v>
      </c>
      <c r="N330" s="62"/>
      <c r="O330" s="62"/>
      <c r="P330" s="62">
        <v>1</v>
      </c>
      <c r="Q330" s="62"/>
      <c r="R330" s="62">
        <f>SUBTOTAL(9,Table2[[#This Row],[1st]:[FQC]])</f>
        <v>1</v>
      </c>
      <c r="S330" s="62">
        <f>IFERROR(VLOOKUP(Table2[[#This Row],[Part No.]],'[2]New Machine sheet'!$G$2:$I$90,3,0),0)</f>
        <v>107.67</v>
      </c>
      <c r="T330" s="62">
        <f>Table2[[#This Row],[cost per piece]]*Table2[[#This Row],[Total Rej. qty]]</f>
        <v>107.67</v>
      </c>
      <c r="U330" s="62">
        <f>IFERROR(VLOOKUP(Table2[[#This Row],[Non Conformance]],'[2]New defect code '!$B$2:$C$129,2,0),0)</f>
        <v>3258</v>
      </c>
      <c r="V330" s="62">
        <v>24</v>
      </c>
      <c r="W330" s="62" t="str">
        <f>IFERROR(VLOOKUP(Table2[[#This Row],[Code4]],'[2]New Reason code'!$A$2:$D$77,2,0),0)</f>
        <v>FQC return</v>
      </c>
      <c r="X330" s="62" t="str">
        <f>IFERROR(VLOOKUP(Table2[[#This Row],[Reason]],'[2]New Reason code'!$B$2:$D$77,2,0),0)</f>
        <v>Due to operator</v>
      </c>
      <c r="Y330" s="62" t="str">
        <f>IFERROR(VLOOKUP(Table2[[#This Row],[Rejection Identified at]],'[2]New Reason code'!$C$2:$D$77,2,0),0)</f>
        <v xml:space="preserve">infrastructure </v>
      </c>
    </row>
    <row r="331" spans="1:25" ht="20.25" customHeight="1">
      <c r="A331" s="50">
        <v>327</v>
      </c>
      <c r="B331" s="62">
        <v>15</v>
      </c>
      <c r="C331" s="62" t="str">
        <f>IFERROR(VLOOKUP(Table2[[#This Row],[Code]],'[2]New Machine sheet'!$A$1:$D$101,2,0),0)</f>
        <v>282-15</v>
      </c>
      <c r="D331" s="62" t="str">
        <f>IFERROR(VLOOKUP(Table2[[#This Row],[M/c No]],'[2]New Machine sheet'!$B$1:$D$101,2,0),0)</f>
        <v>Mazak</v>
      </c>
      <c r="E331" s="62" t="str">
        <f>IFERROR(VLOOKUP(Table2[[#This Row],[M/c Name]],'[2]New Machine sheet'!$C$1:$D$101,2,0),0)</f>
        <v>Turning</v>
      </c>
      <c r="F331" s="62">
        <v>82</v>
      </c>
      <c r="G331" s="62">
        <f>IFERROR(VLOOKUP(Table2[[#This Row],[Code2]],'[2]New Machine sheet'!$F$2:$I$64,2,),0)</f>
        <v>2482</v>
      </c>
      <c r="H331" s="62" t="str">
        <f>IFERROR(VLOOKUP(Table2[[#This Row],[Code2]],'[2]New Machine sheet'!$F$2:$I$64,3,0),0)</f>
        <v>RE P1</v>
      </c>
      <c r="I331" s="62" t="s">
        <v>155</v>
      </c>
      <c r="J331" s="62">
        <v>66</v>
      </c>
      <c r="K331" s="62" t="str">
        <f>IFERROR(VLOOKUP(Table2[[#This Row],[Code3]],'[2]New defect code '!$A$2:$D$129,2,0),0)</f>
        <v>OD Under Size</v>
      </c>
      <c r="L331" s="62" t="s">
        <v>200</v>
      </c>
      <c r="M331" s="56">
        <v>46266</v>
      </c>
      <c r="N331" s="62"/>
      <c r="O331" s="62"/>
      <c r="P331" s="62">
        <v>4</v>
      </c>
      <c r="Q331" s="62"/>
      <c r="R331" s="62">
        <f>SUBTOTAL(9,Table2[[#This Row],[1st]:[FQC]])</f>
        <v>4</v>
      </c>
      <c r="S331" s="62">
        <f>IFERROR(VLOOKUP(Table2[[#This Row],[Part No.]],'[2]New Machine sheet'!$G$2:$I$90,3,0),0)</f>
        <v>303.45333333333332</v>
      </c>
      <c r="T331" s="62">
        <f>Table2[[#This Row],[cost per piece]]*Table2[[#This Row],[Total Rej. qty]]</f>
        <v>1213.8133333333333</v>
      </c>
      <c r="U331" s="62">
        <f>IFERROR(VLOOKUP(Table2[[#This Row],[Non Conformance]],'[2]New defect code '!$B$2:$C$129,2,0),0)</f>
        <v>3242</v>
      </c>
      <c r="V331" s="62">
        <v>42</v>
      </c>
      <c r="W331" s="62" t="str">
        <f>IFERROR(VLOOKUP(Table2[[#This Row],[Code4]],'[2]New Reason code'!$A$2:$D$77,2,0),0)</f>
        <v>part not checked by operator</v>
      </c>
      <c r="X331" s="62" t="str">
        <f>IFERROR(VLOOKUP(Table2[[#This Row],[Reason]],'[2]New Reason code'!$B$2:$D$77,2,0),0)</f>
        <v>Line audit</v>
      </c>
      <c r="Y331" s="62" t="str">
        <f>IFERROR(VLOOKUP(Table2[[#This Row],[Rejection Identified at]],'[2]New Reason code'!$C$2:$D$77,2,0),0)</f>
        <v>Process Issue</v>
      </c>
    </row>
    <row r="332" spans="1:25" ht="20.25" customHeight="1">
      <c r="A332" s="60">
        <v>328</v>
      </c>
      <c r="B332" s="62">
        <v>1</v>
      </c>
      <c r="C332" s="62" t="str">
        <f>IFERROR(VLOOKUP(Table2[[#This Row],[Code]],'[2]New Machine sheet'!$A$1:$D$101,2,0),0)</f>
        <v>282-01</v>
      </c>
      <c r="D332" s="62" t="str">
        <f>IFERROR(VLOOKUP(Table2[[#This Row],[M/c No]],'[2]New Machine sheet'!$B$1:$D$101,2,0),0)</f>
        <v>Mazak</v>
      </c>
      <c r="E332" s="62" t="str">
        <f>IFERROR(VLOOKUP(Table2[[#This Row],[M/c Name]],'[2]New Machine sheet'!$C$1:$D$101,2,0),0)</f>
        <v>Turning</v>
      </c>
      <c r="F332" s="62">
        <v>28</v>
      </c>
      <c r="G332" s="62">
        <f>IFERROR(VLOOKUP(Table2[[#This Row],[Code2]],'[2]New Machine sheet'!$F$2:$I$64,2,),0)</f>
        <v>2428</v>
      </c>
      <c r="H332" s="62" t="str">
        <f>IFERROR(VLOOKUP(Table2[[#This Row],[Code2]],'[2]New Machine sheet'!$F$2:$I$64,3,0),0)</f>
        <v>RE P1</v>
      </c>
      <c r="I332" s="62"/>
      <c r="J332" s="62">
        <v>5</v>
      </c>
      <c r="K332" s="62" t="str">
        <f>IFERROR(VLOOKUP(Table2[[#This Row],[Code3]],'[2]New defect code '!$A$2:$D$129,2,0),0)</f>
        <v>Bore Over size</v>
      </c>
      <c r="L332" s="62" t="s">
        <v>200</v>
      </c>
      <c r="M332" s="56">
        <v>46266</v>
      </c>
      <c r="N332" s="62"/>
      <c r="O332" s="62"/>
      <c r="P332" s="62">
        <v>7</v>
      </c>
      <c r="Q332" s="62"/>
      <c r="R332" s="62">
        <f>SUBTOTAL(9,Table2[[#This Row],[1st]:[FQC]])</f>
        <v>7</v>
      </c>
      <c r="S332" s="62">
        <f>IFERROR(VLOOKUP(Table2[[#This Row],[Part No.]],'[2]New Machine sheet'!$G$2:$I$90,3,0),0)</f>
        <v>124.07</v>
      </c>
      <c r="T332" s="62">
        <f>Table2[[#This Row],[cost per piece]]*Table2[[#This Row],[Total Rej. qty]]</f>
        <v>868.49</v>
      </c>
      <c r="U332" s="62">
        <f>IFERROR(VLOOKUP(Table2[[#This Row],[Non Conformance]],'[2]New defect code '!$B$2:$C$129,2,0),0)</f>
        <v>3243</v>
      </c>
      <c r="V332" s="62">
        <v>19</v>
      </c>
      <c r="W332" s="62" t="str">
        <f>IFERROR(VLOOKUP(Table2[[#This Row],[Code4]],'[2]New Reason code'!$A$2:$D$77,2,0),0)</f>
        <v>During Rework time</v>
      </c>
      <c r="X332" s="62" t="str">
        <f>IFERROR(VLOOKUP(Table2[[#This Row],[Reason]],'[2]New Reason code'!$B$2:$D$77,2,0),0)</f>
        <v>Due to operator</v>
      </c>
      <c r="Y332" s="62" t="str">
        <f>IFERROR(VLOOKUP(Table2[[#This Row],[Rejection Identified at]],'[2]New Reason code'!$C$2:$D$77,2,0),0)</f>
        <v xml:space="preserve">infrastructure </v>
      </c>
    </row>
    <row r="333" spans="1:25" ht="20.25" customHeight="1">
      <c r="A333" s="60">
        <v>329</v>
      </c>
      <c r="B333" s="62">
        <v>1</v>
      </c>
      <c r="C333" s="62" t="str">
        <f>IFERROR(VLOOKUP(Table2[[#This Row],[Code]],'[2]New Machine sheet'!$A$1:$D$101,2,0),0)</f>
        <v>282-01</v>
      </c>
      <c r="D333" s="62" t="str">
        <f>IFERROR(VLOOKUP(Table2[[#This Row],[M/c No]],'[2]New Machine sheet'!$B$1:$D$101,2,0),0)</f>
        <v>Mazak</v>
      </c>
      <c r="E333" s="62" t="str">
        <f>IFERROR(VLOOKUP(Table2[[#This Row],[M/c Name]],'[2]New Machine sheet'!$C$1:$D$101,2,0),0)</f>
        <v>Turning</v>
      </c>
      <c r="F333" s="62">
        <v>28</v>
      </c>
      <c r="G333" s="62">
        <f>IFERROR(VLOOKUP(Table2[[#This Row],[Code2]],'[2]New Machine sheet'!$F$2:$I$64,2,),0)</f>
        <v>2428</v>
      </c>
      <c r="H333" s="62" t="str">
        <f>IFERROR(VLOOKUP(Table2[[#This Row],[Code2]],'[2]New Machine sheet'!$F$2:$I$64,3,0),0)</f>
        <v>RE P1</v>
      </c>
      <c r="I333" s="62"/>
      <c r="J333" s="62">
        <v>93</v>
      </c>
      <c r="K333" s="62" t="str">
        <f>IFERROR(VLOOKUP(Table2[[#This Row],[Code3]],'[2]New defect code '!$A$2:$D$129,2,0),0)</f>
        <v>Thickness Under size</v>
      </c>
      <c r="L333" s="62" t="s">
        <v>200</v>
      </c>
      <c r="M333" s="56">
        <v>46266</v>
      </c>
      <c r="N333" s="62"/>
      <c r="O333" s="62"/>
      <c r="P333" s="62">
        <v>7</v>
      </c>
      <c r="Q333" s="62"/>
      <c r="R333" s="62">
        <f>SUBTOTAL(9,Table2[[#This Row],[1st]:[FQC]])</f>
        <v>7</v>
      </c>
      <c r="S333" s="62">
        <f>IFERROR(VLOOKUP(Table2[[#This Row],[Part No.]],'[2]New Machine sheet'!$G$2:$I$90,3,0),0)</f>
        <v>124.07</v>
      </c>
      <c r="T333" s="62">
        <f>Table2[[#This Row],[cost per piece]]*Table2[[#This Row],[Total Rej. qty]]</f>
        <v>868.49</v>
      </c>
      <c r="U333" s="62">
        <f>IFERROR(VLOOKUP(Table2[[#This Row],[Non Conformance]],'[2]New defect code '!$B$2:$C$129,2,0),0)</f>
        <v>3258</v>
      </c>
      <c r="V333" s="62">
        <v>19</v>
      </c>
      <c r="W333" s="62" t="str">
        <f>IFERROR(VLOOKUP(Table2[[#This Row],[Code4]],'[2]New Reason code'!$A$2:$D$77,2,0),0)</f>
        <v>During Rework time</v>
      </c>
      <c r="X333" s="62" t="str">
        <f>IFERROR(VLOOKUP(Table2[[#This Row],[Reason]],'[2]New Reason code'!$B$2:$D$77,2,0),0)</f>
        <v>Due to operator</v>
      </c>
      <c r="Y333" s="62" t="str">
        <f>IFERROR(VLOOKUP(Table2[[#This Row],[Rejection Identified at]],'[2]New Reason code'!$C$2:$D$77,2,0),0)</f>
        <v xml:space="preserve">infrastructure </v>
      </c>
    </row>
    <row r="334" spans="1:25" ht="20.25" customHeight="1">
      <c r="A334" s="50">
        <v>330</v>
      </c>
      <c r="B334" s="62"/>
      <c r="C334" s="62" t="s">
        <v>156</v>
      </c>
      <c r="D334" s="62" t="str">
        <f>IFERROR(VLOOKUP(Table2[[#This Row],[M/c No]],'[2]New Machine sheet'!$B$1:$D$101,2,0),0)</f>
        <v>VMC</v>
      </c>
      <c r="E334" s="62" t="str">
        <f>IFERROR(VLOOKUP(Table2[[#This Row],[M/c Name]],'[2]New Machine sheet'!$C$1:$D$101,2,0),0)</f>
        <v>VMC</v>
      </c>
      <c r="F334" s="62">
        <v>28</v>
      </c>
      <c r="G334" s="62">
        <f>IFERROR(VLOOKUP(Table2[[#This Row],[Code2]],'[2]New Machine sheet'!$F$2:$I$64,2,),0)</f>
        <v>2428</v>
      </c>
      <c r="H334" s="62" t="str">
        <f>IFERROR(VLOOKUP(Table2[[#This Row],[Code2]],'[2]New Machine sheet'!$F$2:$I$64,3,0),0)</f>
        <v>RE P1</v>
      </c>
      <c r="I334" s="62"/>
      <c r="J334" s="62">
        <v>72</v>
      </c>
      <c r="K334" s="62" t="str">
        <f>IFERROR(VLOOKUP(Table2[[#This Row],[Code3]],'[2]New defect code '!$A$2:$D$129,2,0),0)</f>
        <v xml:space="preserve">PG No Go pass </v>
      </c>
      <c r="L334" s="62" t="s">
        <v>200</v>
      </c>
      <c r="M334" s="56">
        <v>46266</v>
      </c>
      <c r="N334" s="62"/>
      <c r="O334" s="62"/>
      <c r="P334" s="62">
        <v>6</v>
      </c>
      <c r="Q334" s="62"/>
      <c r="R334" s="62">
        <f>SUBTOTAL(9,Table2[[#This Row],[1st]:[FQC]])</f>
        <v>6</v>
      </c>
      <c r="S334" s="62">
        <f>IFERROR(VLOOKUP(Table2[[#This Row],[Part No.]],'[2]New Machine sheet'!$G$2:$I$90,3,0),0)</f>
        <v>124.07</v>
      </c>
      <c r="T334" s="62">
        <f>Table2[[#This Row],[cost per piece]]*Table2[[#This Row],[Total Rej. qty]]</f>
        <v>744.42</v>
      </c>
      <c r="U334" s="62">
        <f>IFERROR(VLOOKUP(Table2[[#This Row],[Non Conformance]],'[2]New defect code '!$B$2:$C$129,2,0),0)</f>
        <v>0</v>
      </c>
      <c r="V334" s="62">
        <v>19</v>
      </c>
      <c r="W334" s="62" t="str">
        <f>IFERROR(VLOOKUP(Table2[[#This Row],[Code4]],'[2]New Reason code'!$A$2:$D$77,2,0),0)</f>
        <v>During Rework time</v>
      </c>
      <c r="X334" s="62" t="str">
        <f>IFERROR(VLOOKUP(Table2[[#This Row],[Reason]],'[2]New Reason code'!$B$2:$D$77,2,0),0)</f>
        <v>Due to operator</v>
      </c>
      <c r="Y334" s="62" t="str">
        <f>IFERROR(VLOOKUP(Table2[[#This Row],[Rejection Identified at]],'[2]New Reason code'!$C$2:$D$77,2,0),0)</f>
        <v xml:space="preserve">infrastructure </v>
      </c>
    </row>
    <row r="335" spans="1:25" ht="20.25" customHeight="1">
      <c r="A335" s="50">
        <v>331</v>
      </c>
      <c r="B335" s="62"/>
      <c r="C335" s="62" t="s">
        <v>156</v>
      </c>
      <c r="D335" s="62" t="str">
        <f>IFERROR(VLOOKUP(Table2[[#This Row],[M/c No]],'[2]New Machine sheet'!$B$1:$D$101,2,0),0)</f>
        <v>VMC</v>
      </c>
      <c r="E335" s="62" t="str">
        <f>IFERROR(VLOOKUP(Table2[[#This Row],[M/c Name]],'[2]New Machine sheet'!$C$1:$D$101,2,0),0)</f>
        <v>VMC</v>
      </c>
      <c r="F335" s="62">
        <v>34</v>
      </c>
      <c r="G335" s="62">
        <f>IFERROR(VLOOKUP(Table2[[#This Row],[Code2]],'[2]New Machine sheet'!$F$2:$I$64,2,),0)</f>
        <v>2434</v>
      </c>
      <c r="H335" s="62" t="str">
        <f>IFERROR(VLOOKUP(Table2[[#This Row],[Code2]],'[2]New Machine sheet'!$F$2:$I$64,3,0),0)</f>
        <v>RE D1</v>
      </c>
      <c r="I335" s="62"/>
      <c r="J335" s="62">
        <v>80</v>
      </c>
      <c r="K335" s="62" t="str">
        <f>IFERROR(VLOOKUP(Table2[[#This Row],[Code3]],'[2]New defect code '!$A$2:$D$129,2,0),0)</f>
        <v xml:space="preserve">Rust </v>
      </c>
      <c r="L335" s="62" t="s">
        <v>200</v>
      </c>
      <c r="M335" s="56">
        <v>46266</v>
      </c>
      <c r="N335" s="62"/>
      <c r="O335" s="62"/>
      <c r="P335" s="62">
        <v>8</v>
      </c>
      <c r="Q335" s="62"/>
      <c r="R335" s="62">
        <f>SUBTOTAL(9,Table2[[#This Row],[1st]:[FQC]])</f>
        <v>8</v>
      </c>
      <c r="S335" s="62">
        <f>IFERROR(VLOOKUP(Table2[[#This Row],[Part No.]],'[2]New Machine sheet'!$G$2:$I$90,3,0),0)</f>
        <v>105.54666666666667</v>
      </c>
      <c r="T335" s="62">
        <f>Table2[[#This Row],[cost per piece]]*Table2[[#This Row],[Total Rej. qty]]</f>
        <v>844.37333333333333</v>
      </c>
      <c r="U335" s="62">
        <f>IFERROR(VLOOKUP(Table2[[#This Row],[Non Conformance]],'[2]New defect code '!$B$2:$C$129,2,0),0)</f>
        <v>0</v>
      </c>
      <c r="V335" s="62">
        <v>15</v>
      </c>
      <c r="W335" s="62" t="str">
        <f>IFERROR(VLOOKUP(Table2[[#This Row],[Code4]],'[2]New Reason code'!$A$2:$D$77,2,0),0)</f>
        <v>During ACMA (5S) time</v>
      </c>
      <c r="X335" s="62" t="str">
        <f>IFERROR(VLOOKUP(Table2[[#This Row],[Reason]],'[2]New Reason code'!$B$2:$D$77,2,0),0)</f>
        <v>Prod Declared</v>
      </c>
      <c r="Y335" s="62" t="str">
        <f>IFERROR(VLOOKUP(Table2[[#This Row],[Rejection Identified at]],'[2]New Reason code'!$C$2:$D$77,2,0),0)</f>
        <v>Process Issue</v>
      </c>
    </row>
    <row r="336" spans="1:25" ht="20.25" customHeight="1">
      <c r="A336" s="60">
        <v>332</v>
      </c>
      <c r="B336" s="62">
        <v>42</v>
      </c>
      <c r="C336" s="62" t="str">
        <f>IFERROR(VLOOKUP(Table2[[#This Row],[Code]],'[2]New Machine sheet'!$A$1:$D$101,2,0),0)</f>
        <v>252-04</v>
      </c>
      <c r="D336" s="62" t="str">
        <f>IFERROR(VLOOKUP(Table2[[#This Row],[M/c No]],'[2]New Machine sheet'!$B$1:$D$101,2,0),0)</f>
        <v>VMC</v>
      </c>
      <c r="E336" s="62" t="str">
        <f>IFERROR(VLOOKUP(Table2[[#This Row],[M/c Name]],'[2]New Machine sheet'!$C$1:$D$101,2,0),0)</f>
        <v>VMC</v>
      </c>
      <c r="F336" s="62">
        <v>154</v>
      </c>
      <c r="G336" s="62">
        <f>IFERROR(VLOOKUP(Table2[[#This Row],[Code2]],'[2]New Machine sheet'!$F$2:$I$64,2,),0)</f>
        <v>24154</v>
      </c>
      <c r="H336" s="62" t="str">
        <f>IFERROR(VLOOKUP(Table2[[#This Row],[Code2]],'[2]New Machine sheet'!$F$2:$I$64,3,0),0)</f>
        <v>RE J1</v>
      </c>
      <c r="I336" s="62"/>
      <c r="J336" s="62">
        <v>32</v>
      </c>
      <c r="K336" s="62" t="str">
        <f>IFERROR(VLOOKUP(Table2[[#This Row],[Code3]],'[2]New defect code '!$A$2:$D$129,2,0),0)</f>
        <v>Double Dot Punching</v>
      </c>
      <c r="L336" s="62" t="s">
        <v>200</v>
      </c>
      <c r="M336" s="56">
        <v>46266</v>
      </c>
      <c r="N336" s="62"/>
      <c r="O336" s="62"/>
      <c r="P336" s="62">
        <v>10</v>
      </c>
      <c r="Q336" s="62"/>
      <c r="R336" s="62">
        <f>SUBTOTAL(9,Table2[[#This Row],[1st]:[FQC]])</f>
        <v>10</v>
      </c>
      <c r="S336" s="62">
        <f>IFERROR(VLOOKUP(Table2[[#This Row],[Part No.]],'[2]New Machine sheet'!$G$2:$I$90,3,0),0)</f>
        <v>82.64</v>
      </c>
      <c r="T336" s="62">
        <f>Table2[[#This Row],[cost per piece]]*Table2[[#This Row],[Total Rej. qty]]</f>
        <v>826.4</v>
      </c>
      <c r="U336" s="62">
        <f>IFERROR(VLOOKUP(Table2[[#This Row],[Non Conformance]],'[2]New defect code '!$B$2:$C$129,2,0),0)</f>
        <v>0</v>
      </c>
      <c r="V336" s="62">
        <v>19</v>
      </c>
      <c r="W336" s="62" t="str">
        <f>IFERROR(VLOOKUP(Table2[[#This Row],[Code4]],'[2]New Reason code'!$A$2:$D$77,2,0),0)</f>
        <v>During Rework time</v>
      </c>
      <c r="X336" s="62" t="str">
        <f>IFERROR(VLOOKUP(Table2[[#This Row],[Reason]],'[2]New Reason code'!$B$2:$D$77,2,0),0)</f>
        <v>Due to operator</v>
      </c>
      <c r="Y336" s="62" t="str">
        <f>IFERROR(VLOOKUP(Table2[[#This Row],[Rejection Identified at]],'[2]New Reason code'!$C$2:$D$77,2,0),0)</f>
        <v xml:space="preserve">infrastructure </v>
      </c>
    </row>
    <row r="337" spans="1:25" ht="20.25" customHeight="1">
      <c r="A337" s="50">
        <v>333</v>
      </c>
      <c r="B337" s="62">
        <v>1</v>
      </c>
      <c r="C337" s="62" t="str">
        <f>IFERROR(VLOOKUP(Table2[[#This Row],[Code]],'[2]New Machine sheet'!$A$1:$D$101,2,0),0)</f>
        <v>282-01</v>
      </c>
      <c r="D337" s="62" t="str">
        <f>IFERROR(VLOOKUP(Table2[[#This Row],[M/c No]],'[2]New Machine sheet'!$B$1:$D$101,2,0),0)</f>
        <v>Mazak</v>
      </c>
      <c r="E337" s="62" t="str">
        <f>IFERROR(VLOOKUP(Table2[[#This Row],[M/c Name]],'[2]New Machine sheet'!$C$1:$D$101,2,0),0)</f>
        <v>Turning</v>
      </c>
      <c r="F337" s="62">
        <v>52</v>
      </c>
      <c r="G337" s="62">
        <f>IFERROR(VLOOKUP(Table2[[#This Row],[Code2]],'[2]New Machine sheet'!$F$2:$I$64,2,),0)</f>
        <v>2452</v>
      </c>
      <c r="H337" s="62" t="str">
        <f>IFERROR(VLOOKUP(Table2[[#This Row],[Code2]],'[2]New Machine sheet'!$F$2:$I$64,3,0),0)</f>
        <v>RE P1</v>
      </c>
      <c r="I337" s="62" t="s">
        <v>129</v>
      </c>
      <c r="J337" s="62">
        <v>72</v>
      </c>
      <c r="K337" s="62" t="str">
        <f>IFERROR(VLOOKUP(Table2[[#This Row],[Code3]],'[2]New defect code '!$A$2:$D$129,2,0),0)</f>
        <v xml:space="preserve">PG No Go pass </v>
      </c>
      <c r="L337" s="62" t="s">
        <v>204</v>
      </c>
      <c r="M337" s="56">
        <v>46266</v>
      </c>
      <c r="N337" s="62">
        <v>5</v>
      </c>
      <c r="O337" s="62"/>
      <c r="P337" s="62"/>
      <c r="Q337" s="62"/>
      <c r="R337" s="62">
        <f>SUBTOTAL(9,Table2[[#This Row],[1st]:[FQC]])</f>
        <v>5</v>
      </c>
      <c r="S337" s="62">
        <f>IFERROR(VLOOKUP(Table2[[#This Row],[Part No.]],'[2]New Machine sheet'!$G$2:$I$90,3,0),0)</f>
        <v>400</v>
      </c>
      <c r="T337" s="62">
        <f>Table2[[#This Row],[cost per piece]]*Table2[[#This Row],[Total Rej. qty]]</f>
        <v>2000</v>
      </c>
      <c r="U337" s="62">
        <f>IFERROR(VLOOKUP(Table2[[#This Row],[Non Conformance]],'[2]New defect code '!$B$2:$C$129,2,0),0)</f>
        <v>0</v>
      </c>
      <c r="V337" s="62">
        <v>18</v>
      </c>
      <c r="W337" s="62" t="str">
        <f>IFERROR(VLOOKUP(Table2[[#This Row],[Code4]],'[2]New Reason code'!$A$2:$D$77,2,0),0)</f>
        <v>During insert change</v>
      </c>
      <c r="X337" s="62" t="str">
        <f>IFERROR(VLOOKUP(Table2[[#This Row],[Reason]],'[2]New Reason code'!$B$2:$D$77,2,0),0)</f>
        <v xml:space="preserve">Due to Settup  </v>
      </c>
      <c r="Y337" s="62" t="str">
        <f>IFERROR(VLOOKUP(Table2[[#This Row],[Rejection Identified at]],'[2]New Reason code'!$C$2:$D$77,2,0),0)</f>
        <v>skill</v>
      </c>
    </row>
    <row r="338" spans="1:25" ht="20.25" customHeight="1">
      <c r="A338" s="50">
        <v>334</v>
      </c>
      <c r="B338" s="62">
        <v>15</v>
      </c>
      <c r="C338" s="62" t="str">
        <f>IFERROR(VLOOKUP(Table2[[#This Row],[Code]],'[2]New Machine sheet'!$A$1:$D$101,2,0),0)</f>
        <v>282-15</v>
      </c>
      <c r="D338" s="62" t="str">
        <f>IFERROR(VLOOKUP(Table2[[#This Row],[M/c No]],'[2]New Machine sheet'!$B$1:$D$101,2,0),0)</f>
        <v>Mazak</v>
      </c>
      <c r="E338" s="62" t="str">
        <f>IFERROR(VLOOKUP(Table2[[#This Row],[M/c Name]],'[2]New Machine sheet'!$C$1:$D$101,2,0),0)</f>
        <v>Turning</v>
      </c>
      <c r="F338" s="62">
        <v>82</v>
      </c>
      <c r="G338" s="62">
        <f>IFERROR(VLOOKUP(Table2[[#This Row],[Code2]],'[2]New Machine sheet'!$F$2:$I$64,2,),0)</f>
        <v>2482</v>
      </c>
      <c r="H338" s="62" t="str">
        <f>IFERROR(VLOOKUP(Table2[[#This Row],[Code2]],'[2]New Machine sheet'!$F$2:$I$64,3,0),0)</f>
        <v>RE P1</v>
      </c>
      <c r="I338" s="62" t="s">
        <v>121</v>
      </c>
      <c r="J338" s="62">
        <v>66</v>
      </c>
      <c r="K338" s="62" t="str">
        <f>IFERROR(VLOOKUP(Table2[[#This Row],[Code3]],'[2]New defect code '!$A$2:$D$129,2,0),0)</f>
        <v>OD Under Size</v>
      </c>
      <c r="L338" s="62" t="s">
        <v>204</v>
      </c>
      <c r="M338" s="56">
        <v>46266</v>
      </c>
      <c r="N338" s="62">
        <v>1</v>
      </c>
      <c r="O338" s="62"/>
      <c r="P338" s="62"/>
      <c r="Q338" s="62"/>
      <c r="R338" s="62">
        <f>SUBTOTAL(9,Table2[[#This Row],[1st]:[FQC]])</f>
        <v>1</v>
      </c>
      <c r="S338" s="62">
        <f>IFERROR(VLOOKUP(Table2[[#This Row],[Part No.]],'[2]New Machine sheet'!$G$2:$I$90,3,0),0)</f>
        <v>303.45333333333332</v>
      </c>
      <c r="T338" s="62">
        <f>Table2[[#This Row],[cost per piece]]*Table2[[#This Row],[Total Rej. qty]]</f>
        <v>303.45333333333332</v>
      </c>
      <c r="U338" s="62">
        <f>IFERROR(VLOOKUP(Table2[[#This Row],[Non Conformance]],'[2]New defect code '!$B$2:$C$129,2,0),0)</f>
        <v>3242</v>
      </c>
      <c r="V338" s="62">
        <v>18</v>
      </c>
      <c r="W338" s="62" t="str">
        <f>IFERROR(VLOOKUP(Table2[[#This Row],[Code4]],'[2]New Reason code'!$A$2:$D$77,2,0),0)</f>
        <v>During insert change</v>
      </c>
      <c r="X338" s="62" t="str">
        <f>IFERROR(VLOOKUP(Table2[[#This Row],[Reason]],'[2]New Reason code'!$B$2:$D$77,2,0),0)</f>
        <v xml:space="preserve">Due to Settup  </v>
      </c>
      <c r="Y338" s="62" t="str">
        <f>IFERROR(VLOOKUP(Table2[[#This Row],[Rejection Identified at]],'[2]New Reason code'!$C$2:$D$77,2,0),0)</f>
        <v>skill</v>
      </c>
    </row>
    <row r="339" spans="1:25" ht="20.25" customHeight="1">
      <c r="A339" s="60">
        <v>335</v>
      </c>
      <c r="B339" s="62">
        <v>35</v>
      </c>
      <c r="C339" s="62" t="str">
        <f>IFERROR(VLOOKUP(Table2[[#This Row],[Code]],'[2]New Machine sheet'!$A$1:$D$101,2,0),0)</f>
        <v>ACE-15</v>
      </c>
      <c r="D339" s="62" t="str">
        <f>IFERROR(VLOOKUP(Table2[[#This Row],[M/c No]],'[2]New Machine sheet'!$B$1:$D$101,2,0),0)</f>
        <v>Micromatic</v>
      </c>
      <c r="E339" s="62" t="str">
        <f>IFERROR(VLOOKUP(Table2[[#This Row],[M/c Name]],'[2]New Machine sheet'!$C$1:$D$101,2,0),0)</f>
        <v>Turning</v>
      </c>
      <c r="F339" s="62">
        <v>113</v>
      </c>
      <c r="G339" s="62">
        <f>IFERROR(VLOOKUP(Table2[[#This Row],[Code2]],'[2]New Machine sheet'!$F$2:$I$64,2,),0)</f>
        <v>24113</v>
      </c>
      <c r="H339" s="62" t="str">
        <f>IFERROR(VLOOKUP(Table2[[#This Row],[Code2]],'[2]New Machine sheet'!$F$2:$I$64,3,0),0)</f>
        <v>RE J1</v>
      </c>
      <c r="I339" s="62" t="s">
        <v>174</v>
      </c>
      <c r="J339" s="62">
        <v>5</v>
      </c>
      <c r="K339" s="62" t="str">
        <f>IFERROR(VLOOKUP(Table2[[#This Row],[Code3]],'[2]New defect code '!$A$2:$D$129,2,0),0)</f>
        <v>Bore Over size</v>
      </c>
      <c r="L339" s="62" t="s">
        <v>204</v>
      </c>
      <c r="M339" s="56">
        <v>46266</v>
      </c>
      <c r="N339" s="62">
        <v>4</v>
      </c>
      <c r="O339" s="62"/>
      <c r="P339" s="62"/>
      <c r="Q339" s="62"/>
      <c r="R339" s="62">
        <f>SUBTOTAL(9,Table2[[#This Row],[1st]:[FQC]])</f>
        <v>4</v>
      </c>
      <c r="S339" s="62">
        <f>IFERROR(VLOOKUP(Table2[[#This Row],[Part No.]],'[2]New Machine sheet'!$G$2:$I$90,3,0),0)</f>
        <v>90</v>
      </c>
      <c r="T339" s="62">
        <f>Table2[[#This Row],[cost per piece]]*Table2[[#This Row],[Total Rej. qty]]</f>
        <v>360</v>
      </c>
      <c r="U339" s="62">
        <f>IFERROR(VLOOKUP(Table2[[#This Row],[Non Conformance]],'[2]New defect code '!$B$2:$C$129,2,0),0)</f>
        <v>3243</v>
      </c>
      <c r="V339" s="62">
        <v>18</v>
      </c>
      <c r="W339" s="62" t="str">
        <f>IFERROR(VLOOKUP(Table2[[#This Row],[Code4]],'[2]New Reason code'!$A$2:$D$77,2,0),0)</f>
        <v>During insert change</v>
      </c>
      <c r="X339" s="62" t="str">
        <f>IFERROR(VLOOKUP(Table2[[#This Row],[Reason]],'[2]New Reason code'!$B$2:$D$77,2,0),0)</f>
        <v xml:space="preserve">Due to Settup  </v>
      </c>
      <c r="Y339" s="62" t="str">
        <f>IFERROR(VLOOKUP(Table2[[#This Row],[Rejection Identified at]],'[2]New Reason code'!$C$2:$D$77,2,0),0)</f>
        <v>skill</v>
      </c>
    </row>
    <row r="340" spans="1:25" ht="20.25" customHeight="1">
      <c r="A340" s="50">
        <v>336</v>
      </c>
      <c r="B340" s="62">
        <v>3</v>
      </c>
      <c r="C340" s="62" t="str">
        <f>IFERROR(VLOOKUP(Table2[[#This Row],[Code]],'[2]New Machine sheet'!$A$1:$D$101,2,0),0)</f>
        <v>282-03</v>
      </c>
      <c r="D340" s="62" t="str">
        <f>IFERROR(VLOOKUP(Table2[[#This Row],[M/c No]],'[2]New Machine sheet'!$B$1:$D$101,2,0),0)</f>
        <v>Mazak</v>
      </c>
      <c r="E340" s="62" t="str">
        <f>IFERROR(VLOOKUP(Table2[[#This Row],[M/c Name]],'[2]New Machine sheet'!$C$1:$D$101,2,0),0)</f>
        <v>Turning</v>
      </c>
      <c r="F340" s="62">
        <v>121</v>
      </c>
      <c r="G340" s="62">
        <f>IFERROR(VLOOKUP(Table2[[#This Row],[Code2]],'[2]New Machine sheet'!$F$2:$I$64,2,),0)</f>
        <v>24121</v>
      </c>
      <c r="H340" s="62" t="str">
        <f>IFERROR(VLOOKUP(Table2[[#This Row],[Code2]],'[2]New Machine sheet'!$F$2:$I$64,3,0),0)</f>
        <v>RE J1</v>
      </c>
      <c r="I340" s="62" t="s">
        <v>205</v>
      </c>
      <c r="J340" s="62">
        <v>40</v>
      </c>
      <c r="K340" s="62" t="str">
        <f>IFERROR(VLOOKUP(Table2[[#This Row],[Code3]],'[2]New defect code '!$A$2:$D$129,2,0),0)</f>
        <v>FACE Damage</v>
      </c>
      <c r="L340" s="62" t="s">
        <v>204</v>
      </c>
      <c r="M340" s="56">
        <v>46266</v>
      </c>
      <c r="N340" s="62">
        <v>1</v>
      </c>
      <c r="O340" s="62"/>
      <c r="P340" s="62"/>
      <c r="Q340" s="62"/>
      <c r="R340" s="62">
        <f>SUBTOTAL(9,Table2[[#This Row],[1st]:[FQC]])</f>
        <v>1</v>
      </c>
      <c r="S340" s="62">
        <f>IFERROR(VLOOKUP(Table2[[#This Row],[Part No.]],'[2]New Machine sheet'!$G$2:$I$90,3,0),0)</f>
        <v>135.66999999999999</v>
      </c>
      <c r="T340" s="62">
        <f>Table2[[#This Row],[cost per piece]]*Table2[[#This Row],[Total Rej. qty]]</f>
        <v>135.66999999999999</v>
      </c>
      <c r="U340" s="62">
        <f>IFERROR(VLOOKUP(Table2[[#This Row],[Non Conformance]],'[2]New defect code '!$B$2:$C$129,2,0),0)</f>
        <v>3229</v>
      </c>
      <c r="V340" s="62">
        <v>66</v>
      </c>
      <c r="W340" s="62" t="str">
        <f>IFERROR(VLOOKUP(Table2[[#This Row],[Code4]],'[2]New Reason code'!$A$2:$D$77,2,0),0)</f>
        <v>Wrong Loading</v>
      </c>
      <c r="X340" s="62" t="str">
        <f>IFERROR(VLOOKUP(Table2[[#This Row],[Reason]],'[2]New Reason code'!$B$2:$D$77,2,0),0)</f>
        <v>Due to operator</v>
      </c>
      <c r="Y340" s="62" t="str">
        <f>IFERROR(VLOOKUP(Table2[[#This Row],[Rejection Identified at]],'[2]New Reason code'!$C$2:$D$77,2,0),0)</f>
        <v xml:space="preserve">infrastructure </v>
      </c>
    </row>
    <row r="341" spans="1:25" ht="20.25" customHeight="1">
      <c r="A341" s="50">
        <v>337</v>
      </c>
      <c r="B341" s="62">
        <v>14</v>
      </c>
      <c r="C341" s="62" t="str">
        <f>IFERROR(VLOOKUP(Table2[[#This Row],[Code]],'[2]New Machine sheet'!$A$1:$D$101,2,0),0)</f>
        <v>282-14</v>
      </c>
      <c r="D341" s="62" t="str">
        <f>IFERROR(VLOOKUP(Table2[[#This Row],[M/c No]],'[2]New Machine sheet'!$B$1:$D$101,2,0),0)</f>
        <v>Mazak</v>
      </c>
      <c r="E341" s="62" t="str">
        <f>IFERROR(VLOOKUP(Table2[[#This Row],[M/c Name]],'[2]New Machine sheet'!$C$1:$D$101,2,0),0)</f>
        <v>Turning</v>
      </c>
      <c r="F341" s="62">
        <v>155</v>
      </c>
      <c r="G341" s="62">
        <f>IFERROR(VLOOKUP(Table2[[#This Row],[Code2]],'[2]New Machine sheet'!$F$2:$I$64,2,),0)</f>
        <v>24155</v>
      </c>
      <c r="H341" s="62" t="str">
        <f>IFERROR(VLOOKUP(Table2[[#This Row],[Code2]],'[2]New Machine sheet'!$F$2:$I$64,3,0),0)</f>
        <v>RE J1</v>
      </c>
      <c r="I341" s="62" t="s">
        <v>127</v>
      </c>
      <c r="J341" s="62">
        <v>5</v>
      </c>
      <c r="K341" s="62" t="str">
        <f>IFERROR(VLOOKUP(Table2[[#This Row],[Code3]],'[2]New defect code '!$A$2:$D$129,2,0),0)</f>
        <v>Bore Over size</v>
      </c>
      <c r="L341" s="62" t="s">
        <v>204</v>
      </c>
      <c r="M341" s="56">
        <v>46266</v>
      </c>
      <c r="N341" s="62">
        <v>2</v>
      </c>
      <c r="O341" s="62"/>
      <c r="P341" s="62"/>
      <c r="Q341" s="62"/>
      <c r="R341" s="62">
        <f>SUBTOTAL(9,Table2[[#This Row],[1st]:[FQC]])</f>
        <v>2</v>
      </c>
      <c r="S341" s="62">
        <f>IFERROR(VLOOKUP(Table2[[#This Row],[Part No.]],'[2]New Machine sheet'!$G$2:$I$90,3,0),0)</f>
        <v>107.67</v>
      </c>
      <c r="T341" s="62">
        <f>Table2[[#This Row],[cost per piece]]*Table2[[#This Row],[Total Rej. qty]]</f>
        <v>215.34</v>
      </c>
      <c r="U341" s="62">
        <f>IFERROR(VLOOKUP(Table2[[#This Row],[Non Conformance]],'[2]New defect code '!$B$2:$C$129,2,0),0)</f>
        <v>3243</v>
      </c>
      <c r="V341" s="62">
        <v>18</v>
      </c>
      <c r="W341" s="62" t="str">
        <f>IFERROR(VLOOKUP(Table2[[#This Row],[Code4]],'[2]New Reason code'!$A$2:$D$77,2,0),0)</f>
        <v>During insert change</v>
      </c>
      <c r="X341" s="62" t="str">
        <f>IFERROR(VLOOKUP(Table2[[#This Row],[Reason]],'[2]New Reason code'!$B$2:$D$77,2,0),0)</f>
        <v xml:space="preserve">Due to Settup  </v>
      </c>
      <c r="Y341" s="62" t="str">
        <f>IFERROR(VLOOKUP(Table2[[#This Row],[Rejection Identified at]],'[2]New Reason code'!$C$2:$D$77,2,0),0)</f>
        <v>skill</v>
      </c>
    </row>
    <row r="342" spans="1:25" ht="20.25" customHeight="1">
      <c r="A342" s="60">
        <v>338</v>
      </c>
      <c r="B342" s="62">
        <v>21</v>
      </c>
      <c r="C342" s="62" t="str">
        <f>IFERROR(VLOOKUP(Table2[[#This Row],[Code]],'[2]New Machine sheet'!$A$1:$D$101,2,0),0)</f>
        <v>ACE-01</v>
      </c>
      <c r="D342" s="62" t="str">
        <f>IFERROR(VLOOKUP(Table2[[#This Row],[M/c No]],'[2]New Machine sheet'!$B$1:$D$101,2,0),0)</f>
        <v>Micromatic</v>
      </c>
      <c r="E342" s="62" t="str">
        <f>IFERROR(VLOOKUP(Table2[[#This Row],[M/c Name]],'[2]New Machine sheet'!$C$1:$D$101,2,0),0)</f>
        <v>Turning</v>
      </c>
      <c r="F342" s="62">
        <v>121</v>
      </c>
      <c r="G342" s="62">
        <f>IFERROR(VLOOKUP(Table2[[#This Row],[Code2]],'[2]New Machine sheet'!$F$2:$I$64,2,),0)</f>
        <v>24121</v>
      </c>
      <c r="H342" s="62" t="str">
        <f>IFERROR(VLOOKUP(Table2[[#This Row],[Code2]],'[2]New Machine sheet'!$F$2:$I$64,3,0),0)</f>
        <v>RE J1</v>
      </c>
      <c r="I342" s="62"/>
      <c r="J342" s="62">
        <v>5</v>
      </c>
      <c r="K342" s="62" t="str">
        <f>IFERROR(VLOOKUP(Table2[[#This Row],[Code3]],'[2]New defect code '!$A$2:$D$129,2,0),0)</f>
        <v>Bore Over size</v>
      </c>
      <c r="L342" s="62" t="s">
        <v>204</v>
      </c>
      <c r="M342" s="56">
        <v>46266</v>
      </c>
      <c r="N342" s="62">
        <v>3</v>
      </c>
      <c r="O342" s="62"/>
      <c r="P342" s="62"/>
      <c r="Q342" s="62"/>
      <c r="R342" s="62">
        <f>SUBTOTAL(9,Table2[[#This Row],[1st]:[FQC]])</f>
        <v>3</v>
      </c>
      <c r="S342" s="62">
        <f>IFERROR(VLOOKUP(Table2[[#This Row],[Part No.]],'[2]New Machine sheet'!$G$2:$I$90,3,0),0)</f>
        <v>135.66999999999999</v>
      </c>
      <c r="T342" s="62">
        <f>Table2[[#This Row],[cost per piece]]*Table2[[#This Row],[Total Rej. qty]]</f>
        <v>407.01</v>
      </c>
      <c r="U342" s="62">
        <f>IFERROR(VLOOKUP(Table2[[#This Row],[Non Conformance]],'[2]New defect code '!$B$2:$C$129,2,0),0)</f>
        <v>3243</v>
      </c>
      <c r="V342" s="62">
        <v>12</v>
      </c>
      <c r="W342" s="62" t="str">
        <f>IFERROR(VLOOKUP(Table2[[#This Row],[Code4]],'[2]New Reason code'!$A$2:$D$77,2,0),0)</f>
        <v>Double loading</v>
      </c>
      <c r="X342" s="62" t="str">
        <f>IFERROR(VLOOKUP(Table2[[#This Row],[Reason]],'[2]New Reason code'!$B$2:$D$77,2,0),0)</f>
        <v>Due to operator</v>
      </c>
      <c r="Y342" s="62" t="str">
        <f>IFERROR(VLOOKUP(Table2[[#This Row],[Rejection Identified at]],'[2]New Reason code'!$C$2:$D$77,2,0),0)</f>
        <v xml:space="preserve">infrastructure </v>
      </c>
    </row>
    <row r="343" spans="1:25" ht="20.25" customHeight="1">
      <c r="A343" s="50">
        <v>339</v>
      </c>
      <c r="B343" s="62">
        <v>2</v>
      </c>
      <c r="C343" s="62" t="str">
        <f>IFERROR(VLOOKUP(Table2[[#This Row],[Code]],'[2]New Machine sheet'!$A$1:$D$101,2,0),0)</f>
        <v>282-02</v>
      </c>
      <c r="D343" s="62" t="str">
        <f>IFERROR(VLOOKUP(Table2[[#This Row],[M/c No]],'[2]New Machine sheet'!$B$1:$D$101,2,0),0)</f>
        <v>Mazak</v>
      </c>
      <c r="E343" s="62" t="str">
        <f>IFERROR(VLOOKUP(Table2[[#This Row],[M/c Name]],'[2]New Machine sheet'!$C$1:$D$101,2,0),0)</f>
        <v>Turning</v>
      </c>
      <c r="F343" s="62">
        <v>28</v>
      </c>
      <c r="G343" s="62">
        <f>IFERROR(VLOOKUP(Table2[[#This Row],[Code2]],'[2]New Machine sheet'!$F$2:$I$64,2,),0)</f>
        <v>2428</v>
      </c>
      <c r="H343" s="62" t="str">
        <f>IFERROR(VLOOKUP(Table2[[#This Row],[Code2]],'[2]New Machine sheet'!$F$2:$I$64,3,0),0)</f>
        <v>RE P1</v>
      </c>
      <c r="I343" s="62" t="s">
        <v>164</v>
      </c>
      <c r="J343" s="62">
        <v>93</v>
      </c>
      <c r="K343" s="62" t="str">
        <f>IFERROR(VLOOKUP(Table2[[#This Row],[Code3]],'[2]New defect code '!$A$2:$D$129,2,0),0)</f>
        <v>Thickness Under size</v>
      </c>
      <c r="L343" s="62" t="s">
        <v>204</v>
      </c>
      <c r="M343" s="56">
        <v>46266</v>
      </c>
      <c r="N343" s="62">
        <v>1</v>
      </c>
      <c r="O343" s="62"/>
      <c r="P343" s="62"/>
      <c r="Q343" s="62"/>
      <c r="R343" s="62">
        <f>SUBTOTAL(9,Table2[[#This Row],[1st]:[FQC]])</f>
        <v>1</v>
      </c>
      <c r="S343" s="62">
        <f>IFERROR(VLOOKUP(Table2[[#This Row],[Part No.]],'[2]New Machine sheet'!$G$2:$I$90,3,0),0)</f>
        <v>124.07</v>
      </c>
      <c r="T343" s="62">
        <f>Table2[[#This Row],[cost per piece]]*Table2[[#This Row],[Total Rej. qty]]</f>
        <v>124.07</v>
      </c>
      <c r="U343" s="62">
        <f>IFERROR(VLOOKUP(Table2[[#This Row],[Non Conformance]],'[2]New defect code '!$B$2:$C$129,2,0),0)</f>
        <v>3258</v>
      </c>
      <c r="V343" s="62">
        <v>21</v>
      </c>
      <c r="W343" s="62" t="str">
        <f>IFERROR(VLOOKUP(Table2[[#This Row],[Code4]],'[2]New Reason code'!$A$2:$D$77,2,0),0)</f>
        <v>During setup time</v>
      </c>
      <c r="X343" s="62" t="str">
        <f>IFERROR(VLOOKUP(Table2[[#This Row],[Reason]],'[2]New Reason code'!$B$2:$D$77,2,0),0)</f>
        <v xml:space="preserve">Due to Settup  </v>
      </c>
      <c r="Y343" s="62" t="str">
        <f>IFERROR(VLOOKUP(Table2[[#This Row],[Rejection Identified at]],'[2]New Reason code'!$C$2:$D$77,2,0),0)</f>
        <v>skill</v>
      </c>
    </row>
    <row r="344" spans="1:25" ht="20.25" customHeight="1">
      <c r="A344" s="50">
        <v>340</v>
      </c>
      <c r="B344" s="62">
        <v>5</v>
      </c>
      <c r="C344" s="62" t="str">
        <f>IFERROR(VLOOKUP(Table2[[#This Row],[Code]],'[2]New Machine sheet'!$A$1:$D$101,2,0),0)</f>
        <v>282-05</v>
      </c>
      <c r="D344" s="62" t="str">
        <f>IFERROR(VLOOKUP(Table2[[#This Row],[M/c No]],'[2]New Machine sheet'!$B$1:$D$101,2,0),0)</f>
        <v>Mazak</v>
      </c>
      <c r="E344" s="62" t="str">
        <f>IFERROR(VLOOKUP(Table2[[#This Row],[M/c Name]],'[2]New Machine sheet'!$C$1:$D$101,2,0),0)</f>
        <v>Turning</v>
      </c>
      <c r="F344" s="62">
        <v>119</v>
      </c>
      <c r="G344" s="62">
        <f>IFERROR(VLOOKUP(Table2[[#This Row],[Code2]],'[2]New Machine sheet'!$F$2:$I$64,2,),0)</f>
        <v>24119</v>
      </c>
      <c r="H344" s="62" t="str">
        <f>IFERROR(VLOOKUP(Table2[[#This Row],[Code2]],'[2]New Machine sheet'!$F$2:$I$64,3,0),0)</f>
        <v>RE J1</v>
      </c>
      <c r="I344" s="62" t="s">
        <v>154</v>
      </c>
      <c r="J344" s="62">
        <v>5</v>
      </c>
      <c r="K344" s="62" t="str">
        <f>IFERROR(VLOOKUP(Table2[[#This Row],[Code3]],'[2]New defect code '!$A$2:$D$129,2,0),0)</f>
        <v>Bore Over size</v>
      </c>
      <c r="L344" s="62" t="s">
        <v>204</v>
      </c>
      <c r="M344" s="56">
        <v>46266</v>
      </c>
      <c r="N344" s="62">
        <v>1</v>
      </c>
      <c r="O344" s="62"/>
      <c r="P344" s="62"/>
      <c r="Q344" s="62"/>
      <c r="R344" s="62">
        <f>SUBTOTAL(9,Table2[[#This Row],[1st]:[FQC]])</f>
        <v>1</v>
      </c>
      <c r="S344" s="62">
        <f>IFERROR(VLOOKUP(Table2[[#This Row],[Part No.]],'[2]New Machine sheet'!$G$2:$I$90,3,0),0)</f>
        <v>103.2</v>
      </c>
      <c r="T344" s="62">
        <f>Table2[[#This Row],[cost per piece]]*Table2[[#This Row],[Total Rej. qty]]</f>
        <v>103.2</v>
      </c>
      <c r="U344" s="62">
        <f>IFERROR(VLOOKUP(Table2[[#This Row],[Non Conformance]],'[2]New defect code '!$B$2:$C$129,2,0),0)</f>
        <v>3243</v>
      </c>
      <c r="V344" s="62">
        <v>18</v>
      </c>
      <c r="W344" s="62" t="str">
        <f>IFERROR(VLOOKUP(Table2[[#This Row],[Code4]],'[2]New Reason code'!$A$2:$D$77,2,0),0)</f>
        <v>During insert change</v>
      </c>
      <c r="X344" s="62" t="str">
        <f>IFERROR(VLOOKUP(Table2[[#This Row],[Reason]],'[2]New Reason code'!$B$2:$D$77,2,0),0)</f>
        <v xml:space="preserve">Due to Settup  </v>
      </c>
      <c r="Y344" s="62" t="str">
        <f>IFERROR(VLOOKUP(Table2[[#This Row],[Rejection Identified at]],'[2]New Reason code'!$C$2:$D$77,2,0),0)</f>
        <v>skill</v>
      </c>
    </row>
    <row r="345" spans="1:25" ht="20.25" customHeight="1">
      <c r="A345" s="60">
        <v>341</v>
      </c>
      <c r="B345" s="62">
        <v>62</v>
      </c>
      <c r="C345" s="62" t="str">
        <f>IFERROR(VLOOKUP(Table2[[#This Row],[Code]],'[2]New Machine sheet'!$A$1:$D$101,2,0),0)</f>
        <v>FQC</v>
      </c>
      <c r="D345" s="62" t="str">
        <f>IFERROR(VLOOKUP(Table2[[#This Row],[M/c No]],'[2]New Machine sheet'!$B$1:$D$101,2,0),0)</f>
        <v>FQC</v>
      </c>
      <c r="E345" s="62" t="str">
        <f>IFERROR(VLOOKUP(Table2[[#This Row],[M/c Name]],'[2]New Machine sheet'!$C$1:$D$101,2,0),0)</f>
        <v>fqc</v>
      </c>
      <c r="F345" s="62">
        <v>117</v>
      </c>
      <c r="G345" s="62">
        <f>IFERROR(VLOOKUP(Table2[[#This Row],[Code2]],'[2]New Machine sheet'!$F$2:$I$64,2,),0)</f>
        <v>24117</v>
      </c>
      <c r="H345" s="62" t="str">
        <f>IFERROR(VLOOKUP(Table2[[#This Row],[Code2]],'[2]New Machine sheet'!$F$2:$I$64,3,0),0)</f>
        <v>RE J1</v>
      </c>
      <c r="I345" s="62"/>
      <c r="J345" s="62">
        <v>5</v>
      </c>
      <c r="K345" s="62" t="str">
        <f>IFERROR(VLOOKUP(Table2[[#This Row],[Code3]],'[2]New defect code '!$A$2:$D$129,2,0),0)</f>
        <v>Bore Over size</v>
      </c>
      <c r="L345" s="62" t="s">
        <v>204</v>
      </c>
      <c r="M345" s="56">
        <v>46266</v>
      </c>
      <c r="N345" s="62"/>
      <c r="O345" s="62"/>
      <c r="P345" s="62"/>
      <c r="Q345" s="62">
        <v>1</v>
      </c>
      <c r="R345" s="62">
        <f>SUBTOTAL(9,Table2[[#This Row],[1st]:[FQC]])</f>
        <v>1</v>
      </c>
      <c r="S345" s="62">
        <f>IFERROR(VLOOKUP(Table2[[#This Row],[Part No.]],'[2]New Machine sheet'!$G$2:$I$90,3,0),0)</f>
        <v>111.97</v>
      </c>
      <c r="T345" s="62">
        <f>Table2[[#This Row],[cost per piece]]*Table2[[#This Row],[Total Rej. qty]]</f>
        <v>111.97</v>
      </c>
      <c r="U345" s="62">
        <f>IFERROR(VLOOKUP(Table2[[#This Row],[Non Conformance]],'[2]New defect code '!$B$2:$C$129,2,0),0)</f>
        <v>3243</v>
      </c>
      <c r="V345" s="62">
        <v>24</v>
      </c>
      <c r="W345" s="62" t="str">
        <f>IFERROR(VLOOKUP(Table2[[#This Row],[Code4]],'[2]New Reason code'!$A$2:$D$77,2,0),0)</f>
        <v>FQC return</v>
      </c>
      <c r="X345" s="62" t="str">
        <f>IFERROR(VLOOKUP(Table2[[#This Row],[Reason]],'[2]New Reason code'!$B$2:$D$77,2,0),0)</f>
        <v>Due to operator</v>
      </c>
      <c r="Y345" s="62" t="str">
        <f>IFERROR(VLOOKUP(Table2[[#This Row],[Rejection Identified at]],'[2]New Reason code'!$C$2:$D$77,2,0),0)</f>
        <v xml:space="preserve">infrastructure </v>
      </c>
    </row>
    <row r="346" spans="1:25" ht="20.25" customHeight="1">
      <c r="A346" s="50">
        <v>342</v>
      </c>
      <c r="B346" s="62">
        <v>12</v>
      </c>
      <c r="C346" s="62" t="str">
        <f>IFERROR(VLOOKUP(Table2[[#This Row],[Code]],'[2]New Machine sheet'!$A$1:$D$101,2,0),0)</f>
        <v>282-12</v>
      </c>
      <c r="D346" s="62" t="str">
        <f>IFERROR(VLOOKUP(Table2[[#This Row],[M/c No]],'[2]New Machine sheet'!$B$1:$D$101,2,0),0)</f>
        <v>Mazak</v>
      </c>
      <c r="E346" s="62" t="str">
        <f>IFERROR(VLOOKUP(Table2[[#This Row],[M/c Name]],'[2]New Machine sheet'!$C$1:$D$101,2,0),0)</f>
        <v>Turning</v>
      </c>
      <c r="F346" s="62">
        <v>74</v>
      </c>
      <c r="G346" s="62">
        <f>IFERROR(VLOOKUP(Table2[[#This Row],[Code2]],'[2]New Machine sheet'!$F$2:$I$64,2,),0)</f>
        <v>2474</v>
      </c>
      <c r="H346" s="62" t="str">
        <f>IFERROR(VLOOKUP(Table2[[#This Row],[Code2]],'[2]New Machine sheet'!$F$2:$I$64,3,0),0)</f>
        <v>RE P1</v>
      </c>
      <c r="I346" s="62" t="s">
        <v>127</v>
      </c>
      <c r="J346" s="62">
        <v>5</v>
      </c>
      <c r="K346" s="62" t="str">
        <f>IFERROR(VLOOKUP(Table2[[#This Row],[Code3]],'[2]New defect code '!$A$2:$D$129,2,0),0)</f>
        <v>Bore Over size</v>
      </c>
      <c r="L346" s="62" t="s">
        <v>204</v>
      </c>
      <c r="M346" s="56">
        <v>46266</v>
      </c>
      <c r="N346" s="62">
        <v>1</v>
      </c>
      <c r="O346" s="62"/>
      <c r="P346" s="62"/>
      <c r="Q346" s="62"/>
      <c r="R346" s="62">
        <f>SUBTOTAL(9,Table2[[#This Row],[1st]:[FQC]])</f>
        <v>1</v>
      </c>
      <c r="S346" s="62">
        <f>IFERROR(VLOOKUP(Table2[[#This Row],[Part No.]],'[2]New Machine sheet'!$G$2:$I$90,3,0),0)</f>
        <v>158.21</v>
      </c>
      <c r="T346" s="62">
        <f>Table2[[#This Row],[cost per piece]]*Table2[[#This Row],[Total Rej. qty]]</f>
        <v>158.21</v>
      </c>
      <c r="U346" s="62">
        <f>IFERROR(VLOOKUP(Table2[[#This Row],[Non Conformance]],'[2]New defect code '!$B$2:$C$129,2,0),0)</f>
        <v>3243</v>
      </c>
      <c r="V346" s="62">
        <v>18</v>
      </c>
      <c r="W346" s="62" t="str">
        <f>IFERROR(VLOOKUP(Table2[[#This Row],[Code4]],'[2]New Reason code'!$A$2:$D$77,2,0),0)</f>
        <v>During insert change</v>
      </c>
      <c r="X346" s="62" t="str">
        <f>IFERROR(VLOOKUP(Table2[[#This Row],[Reason]],'[2]New Reason code'!$B$2:$D$77,2,0),0)</f>
        <v xml:space="preserve">Due to Settup  </v>
      </c>
      <c r="Y346" s="62" t="str">
        <f>IFERROR(VLOOKUP(Table2[[#This Row],[Rejection Identified at]],'[2]New Reason code'!$C$2:$D$77,2,0),0)</f>
        <v>skill</v>
      </c>
    </row>
    <row r="347" spans="1:25" ht="20.25" customHeight="1">
      <c r="A347" s="50">
        <v>343</v>
      </c>
      <c r="B347" s="62">
        <v>62</v>
      </c>
      <c r="C347" s="62" t="str">
        <f>IFERROR(VLOOKUP(Table2[[#This Row],[Code]],'[2]New Machine sheet'!$A$1:$D$101,2,0),0)</f>
        <v>FQC</v>
      </c>
      <c r="D347" s="62" t="str">
        <f>IFERROR(VLOOKUP(Table2[[#This Row],[M/c No]],'[2]New Machine sheet'!$B$1:$D$101,2,0),0)</f>
        <v>FQC</v>
      </c>
      <c r="E347" s="62" t="str">
        <f>IFERROR(VLOOKUP(Table2[[#This Row],[M/c Name]],'[2]New Machine sheet'!$C$1:$D$101,2,0),0)</f>
        <v>fqc</v>
      </c>
      <c r="F347" s="62">
        <v>178</v>
      </c>
      <c r="G347" s="62">
        <f>IFERROR(VLOOKUP(Table2[[#This Row],[Code2]],'[2]New Machine sheet'!$F$2:$I$64,2,),0)</f>
        <v>24178</v>
      </c>
      <c r="H347" s="62" t="str">
        <f>IFERROR(VLOOKUP(Table2[[#This Row],[Code2]],'[2]New Machine sheet'!$F$2:$I$64,3,0),0)</f>
        <v>RE J1</v>
      </c>
      <c r="I347" s="62"/>
      <c r="J347" s="62">
        <v>5</v>
      </c>
      <c r="K347" s="62" t="str">
        <f>IFERROR(VLOOKUP(Table2[[#This Row],[Code3]],'[2]New defect code '!$A$2:$D$129,2,0),0)</f>
        <v>Bore Over size</v>
      </c>
      <c r="L347" s="62" t="s">
        <v>204</v>
      </c>
      <c r="M347" s="56">
        <v>46266</v>
      </c>
      <c r="N347" s="62"/>
      <c r="O347" s="62"/>
      <c r="P347" s="62"/>
      <c r="Q347" s="62">
        <v>3</v>
      </c>
      <c r="R347" s="62">
        <f>SUBTOTAL(9,Table2[[#This Row],[1st]:[FQC]])</f>
        <v>3</v>
      </c>
      <c r="S347" s="62">
        <f>IFERROR(VLOOKUP(Table2[[#This Row],[Part No.]],'[2]New Machine sheet'!$G$2:$I$90,3,0),0)</f>
        <v>70.62</v>
      </c>
      <c r="T347" s="62">
        <f>Table2[[#This Row],[cost per piece]]*Table2[[#This Row],[Total Rej. qty]]</f>
        <v>211.86</v>
      </c>
      <c r="U347" s="62">
        <f>IFERROR(VLOOKUP(Table2[[#This Row],[Non Conformance]],'[2]New defect code '!$B$2:$C$129,2,0),0)</f>
        <v>3243</v>
      </c>
      <c r="V347" s="62">
        <v>24</v>
      </c>
      <c r="W347" s="62" t="str">
        <f>IFERROR(VLOOKUP(Table2[[#This Row],[Code4]],'[2]New Reason code'!$A$2:$D$77,2,0),0)</f>
        <v>FQC return</v>
      </c>
      <c r="X347" s="62" t="str">
        <f>IFERROR(VLOOKUP(Table2[[#This Row],[Reason]],'[2]New Reason code'!$B$2:$D$77,2,0),0)</f>
        <v>Due to operator</v>
      </c>
      <c r="Y347" s="62" t="str">
        <f>IFERROR(VLOOKUP(Table2[[#This Row],[Rejection Identified at]],'[2]New Reason code'!$C$2:$D$77,2,0),0)</f>
        <v xml:space="preserve">infrastructure </v>
      </c>
    </row>
    <row r="348" spans="1:25" ht="20.25" customHeight="1">
      <c r="A348" s="60">
        <v>344</v>
      </c>
      <c r="B348" s="62">
        <v>4</v>
      </c>
      <c r="C348" s="62" t="str">
        <f>IFERROR(VLOOKUP(Table2[[#This Row],[Code]],'[2]New Machine sheet'!$A$1:$D$101,2,0),0)</f>
        <v>282-04</v>
      </c>
      <c r="D348" s="62" t="str">
        <f>IFERROR(VLOOKUP(Table2[[#This Row],[M/c No]],'[2]New Machine sheet'!$B$1:$D$101,2,0),0)</f>
        <v>Mazak</v>
      </c>
      <c r="E348" s="62" t="str">
        <f>IFERROR(VLOOKUP(Table2[[#This Row],[M/c Name]],'[2]New Machine sheet'!$C$1:$D$101,2,0),0)</f>
        <v>Turning</v>
      </c>
      <c r="F348" s="62">
        <v>79</v>
      </c>
      <c r="G348" s="62">
        <f>IFERROR(VLOOKUP(Table2[[#This Row],[Code2]],'[2]New Machine sheet'!$F$2:$I$64,2,),0)</f>
        <v>2479</v>
      </c>
      <c r="H348" s="62" t="str">
        <f>IFERROR(VLOOKUP(Table2[[#This Row],[Code2]],'[2]New Machine sheet'!$F$2:$I$64,3,0),0)</f>
        <v>RE P1</v>
      </c>
      <c r="I348" s="62" t="s">
        <v>125</v>
      </c>
      <c r="J348" s="62">
        <v>66</v>
      </c>
      <c r="K348" s="62" t="str">
        <f>IFERROR(VLOOKUP(Table2[[#This Row],[Code3]],'[2]New defect code '!$A$2:$D$129,2,0),0)</f>
        <v>OD Under Size</v>
      </c>
      <c r="L348" s="62" t="s">
        <v>204</v>
      </c>
      <c r="M348" s="56">
        <v>46266</v>
      </c>
      <c r="N348" s="62">
        <v>1</v>
      </c>
      <c r="O348" s="62"/>
      <c r="P348" s="62"/>
      <c r="Q348" s="62"/>
      <c r="R348" s="62">
        <f>SUBTOTAL(9,Table2[[#This Row],[1st]:[FQC]])</f>
        <v>1</v>
      </c>
      <c r="S348" s="62">
        <f>IFERROR(VLOOKUP(Table2[[#This Row],[Part No.]],'[2]New Machine sheet'!$G$2:$I$90,3,0),0)</f>
        <v>43.11</v>
      </c>
      <c r="T348" s="62">
        <f>Table2[[#This Row],[cost per piece]]*Table2[[#This Row],[Total Rej. qty]]</f>
        <v>43.11</v>
      </c>
      <c r="U348" s="62">
        <f>IFERROR(VLOOKUP(Table2[[#This Row],[Non Conformance]],'[2]New defect code '!$B$2:$C$129,2,0),0)</f>
        <v>3242</v>
      </c>
      <c r="V348" s="62">
        <v>18</v>
      </c>
      <c r="W348" s="62" t="str">
        <f>IFERROR(VLOOKUP(Table2[[#This Row],[Code4]],'[2]New Reason code'!$A$2:$D$77,2,0),0)</f>
        <v>During insert change</v>
      </c>
      <c r="X348" s="62" t="str">
        <f>IFERROR(VLOOKUP(Table2[[#This Row],[Reason]],'[2]New Reason code'!$B$2:$D$77,2,0),0)</f>
        <v xml:space="preserve">Due to Settup  </v>
      </c>
      <c r="Y348" s="62" t="str">
        <f>IFERROR(VLOOKUP(Table2[[#This Row],[Rejection Identified at]],'[2]New Reason code'!$C$2:$D$77,2,0),0)</f>
        <v>skill</v>
      </c>
    </row>
    <row r="349" spans="1:25" ht="20.25" customHeight="1">
      <c r="A349" s="50">
        <v>345</v>
      </c>
      <c r="B349" s="62">
        <v>42</v>
      </c>
      <c r="C349" s="62" t="str">
        <f>IFERROR(VLOOKUP(Table2[[#This Row],[Code]],'[2]New Machine sheet'!$A$1:$D$101,2,0),0)</f>
        <v>252-04</v>
      </c>
      <c r="D349" s="62" t="str">
        <f>IFERROR(VLOOKUP(Table2[[#This Row],[M/c No]],'[2]New Machine sheet'!$B$1:$D$101,2,0),0)</f>
        <v>VMC</v>
      </c>
      <c r="E349" s="62" t="str">
        <f>IFERROR(VLOOKUP(Table2[[#This Row],[M/c Name]],'[2]New Machine sheet'!$C$1:$D$101,2,0),0)</f>
        <v>VMC</v>
      </c>
      <c r="F349" s="62">
        <v>154</v>
      </c>
      <c r="G349" s="62">
        <f>IFERROR(VLOOKUP(Table2[[#This Row],[Code2]],'[2]New Machine sheet'!$F$2:$I$64,2,),0)</f>
        <v>24154</v>
      </c>
      <c r="H349" s="62" t="str">
        <f>IFERROR(VLOOKUP(Table2[[#This Row],[Code2]],'[2]New Machine sheet'!$F$2:$I$64,3,0),0)</f>
        <v>RE J1</v>
      </c>
      <c r="I349" s="62"/>
      <c r="J349" s="62">
        <v>32</v>
      </c>
      <c r="K349" s="62" t="str">
        <f>IFERROR(VLOOKUP(Table2[[#This Row],[Code3]],'[2]New defect code '!$A$2:$D$129,2,0),0)</f>
        <v>Double Dot Punching</v>
      </c>
      <c r="L349" s="62" t="s">
        <v>204</v>
      </c>
      <c r="M349" s="56">
        <v>46266</v>
      </c>
      <c r="N349" s="62">
        <v>1</v>
      </c>
      <c r="O349" s="62"/>
      <c r="P349" s="62"/>
      <c r="Q349" s="62"/>
      <c r="R349" s="62">
        <f>SUBTOTAL(9,Table2[[#This Row],[1st]:[FQC]])</f>
        <v>1</v>
      </c>
      <c r="S349" s="62">
        <f>IFERROR(VLOOKUP(Table2[[#This Row],[Part No.]],'[2]New Machine sheet'!$G$2:$I$90,3,0),0)</f>
        <v>82.64</v>
      </c>
      <c r="T349" s="62">
        <f>Table2[[#This Row],[cost per piece]]*Table2[[#This Row],[Total Rej. qty]]</f>
        <v>82.64</v>
      </c>
      <c r="U349" s="62">
        <f>IFERROR(VLOOKUP(Table2[[#This Row],[Non Conformance]],'[2]New defect code '!$B$2:$C$129,2,0),0)</f>
        <v>0</v>
      </c>
      <c r="V349" s="62">
        <v>12</v>
      </c>
      <c r="W349" s="62" t="str">
        <f>IFERROR(VLOOKUP(Table2[[#This Row],[Code4]],'[2]New Reason code'!$A$2:$D$77,2,0),0)</f>
        <v>Double loading</v>
      </c>
      <c r="X349" s="62" t="str">
        <f>IFERROR(VLOOKUP(Table2[[#This Row],[Reason]],'[2]New Reason code'!$B$2:$D$77,2,0),0)</f>
        <v>Due to operator</v>
      </c>
      <c r="Y349" s="62" t="str">
        <f>IFERROR(VLOOKUP(Table2[[#This Row],[Rejection Identified at]],'[2]New Reason code'!$C$2:$D$77,2,0),0)</f>
        <v xml:space="preserve">infrastructure </v>
      </c>
    </row>
    <row r="350" spans="1:25" ht="20.25" customHeight="1">
      <c r="A350" s="50">
        <v>346</v>
      </c>
      <c r="B350" s="62">
        <v>23</v>
      </c>
      <c r="C350" s="62" t="str">
        <f>IFERROR(VLOOKUP(Table2[[#This Row],[Code]],'[2]New Machine sheet'!$A$1:$D$101,2,0),0)</f>
        <v>ACE-03</v>
      </c>
      <c r="D350" s="62" t="str">
        <f>IFERROR(VLOOKUP(Table2[[#This Row],[M/c No]],'[2]New Machine sheet'!$B$1:$D$101,2,0),0)</f>
        <v>Micromatic</v>
      </c>
      <c r="E350" s="62" t="str">
        <f>IFERROR(VLOOKUP(Table2[[#This Row],[M/c Name]],'[2]New Machine sheet'!$C$1:$D$101,2,0),0)</f>
        <v>Turning</v>
      </c>
      <c r="F350" s="62">
        <v>83</v>
      </c>
      <c r="G350" s="62">
        <f>IFERROR(VLOOKUP(Table2[[#This Row],[Code2]],'[2]New Machine sheet'!$F$2:$I$64,2,),0)</f>
        <v>2483</v>
      </c>
      <c r="H350" s="62" t="str">
        <f>IFERROR(VLOOKUP(Table2[[#This Row],[Code2]],'[2]New Machine sheet'!$F$2:$I$64,3,0),0)</f>
        <v>RE P1</v>
      </c>
      <c r="I350" s="62" t="s">
        <v>128</v>
      </c>
      <c r="J350" s="62">
        <v>5</v>
      </c>
      <c r="K350" s="62" t="str">
        <f>IFERROR(VLOOKUP(Table2[[#This Row],[Code3]],'[2]New defect code '!$A$2:$D$129,2,0),0)</f>
        <v>Bore Over size</v>
      </c>
      <c r="L350" s="62" t="s">
        <v>204</v>
      </c>
      <c r="M350" s="56">
        <v>46266</v>
      </c>
      <c r="N350" s="62">
        <v>1</v>
      </c>
      <c r="O350" s="62"/>
      <c r="P350" s="62"/>
      <c r="Q350" s="62"/>
      <c r="R350" s="62">
        <f>SUBTOTAL(9,Table2[[#This Row],[1st]:[FQC]])</f>
        <v>1</v>
      </c>
      <c r="S350" s="62">
        <f>IFERROR(VLOOKUP(Table2[[#This Row],[Part No.]],'[2]New Machine sheet'!$G$2:$I$90,3,0),0)</f>
        <v>55.380800000000001</v>
      </c>
      <c r="T350" s="62">
        <f>Table2[[#This Row],[cost per piece]]*Table2[[#This Row],[Total Rej. qty]]</f>
        <v>55.380800000000001</v>
      </c>
      <c r="U350" s="62">
        <f>IFERROR(VLOOKUP(Table2[[#This Row],[Non Conformance]],'[2]New defect code '!$B$2:$C$129,2,0),0)</f>
        <v>3243</v>
      </c>
      <c r="V350" s="62">
        <v>18</v>
      </c>
      <c r="W350" s="62" t="str">
        <f>IFERROR(VLOOKUP(Table2[[#This Row],[Code4]],'[2]New Reason code'!$A$2:$D$77,2,0),0)</f>
        <v>During insert change</v>
      </c>
      <c r="X350" s="62" t="str">
        <f>IFERROR(VLOOKUP(Table2[[#This Row],[Reason]],'[2]New Reason code'!$B$2:$D$77,2,0),0)</f>
        <v xml:space="preserve">Due to Settup  </v>
      </c>
      <c r="Y350" s="62" t="str">
        <f>IFERROR(VLOOKUP(Table2[[#This Row],[Rejection Identified at]],'[2]New Reason code'!$C$2:$D$77,2,0),0)</f>
        <v>skill</v>
      </c>
    </row>
    <row r="351" spans="1:25" ht="20.25" customHeight="1">
      <c r="A351" s="60">
        <v>347</v>
      </c>
      <c r="B351" s="62">
        <v>6</v>
      </c>
      <c r="C351" s="62" t="str">
        <f>IFERROR(VLOOKUP(Table2[[#This Row],[Code]],'[2]New Machine sheet'!$A$1:$D$101,2,0),0)</f>
        <v>282-06</v>
      </c>
      <c r="D351" s="62" t="str">
        <f>IFERROR(VLOOKUP(Table2[[#This Row],[M/c No]],'[2]New Machine sheet'!$B$1:$D$101,2,0),0)</f>
        <v>Mazak</v>
      </c>
      <c r="E351" s="62" t="str">
        <f>IFERROR(VLOOKUP(Table2[[#This Row],[M/c Name]],'[2]New Machine sheet'!$C$1:$D$101,2,0),0)</f>
        <v>Turning</v>
      </c>
      <c r="F351" s="62">
        <v>178</v>
      </c>
      <c r="G351" s="62">
        <f>IFERROR(VLOOKUP(Table2[[#This Row],[Code2]],'[2]New Machine sheet'!$F$2:$I$64,2,),0)</f>
        <v>24178</v>
      </c>
      <c r="H351" s="62" t="str">
        <f>IFERROR(VLOOKUP(Table2[[#This Row],[Code2]],'[2]New Machine sheet'!$F$2:$I$64,3,0),0)</f>
        <v>RE J1</v>
      </c>
      <c r="I351" s="62" t="s">
        <v>179</v>
      </c>
      <c r="J351" s="62">
        <v>5</v>
      </c>
      <c r="K351" s="62" t="str">
        <f>IFERROR(VLOOKUP(Table2[[#This Row],[Code3]],'[2]New defect code '!$A$2:$D$129,2,0),0)</f>
        <v>Bore Over size</v>
      </c>
      <c r="L351" s="62" t="s">
        <v>204</v>
      </c>
      <c r="M351" s="56">
        <v>46266</v>
      </c>
      <c r="N351" s="62">
        <v>10</v>
      </c>
      <c r="O351" s="62"/>
      <c r="P351" s="62"/>
      <c r="Q351" s="62"/>
      <c r="R351" s="62">
        <f>SUBTOTAL(9,Table2[[#This Row],[1st]:[FQC]])</f>
        <v>10</v>
      </c>
      <c r="S351" s="62">
        <f>IFERROR(VLOOKUP(Table2[[#This Row],[Part No.]],'[2]New Machine sheet'!$G$2:$I$90,3,0),0)</f>
        <v>70.62</v>
      </c>
      <c r="T351" s="62">
        <f>Table2[[#This Row],[cost per piece]]*Table2[[#This Row],[Total Rej. qty]]</f>
        <v>706.2</v>
      </c>
      <c r="U351" s="62">
        <f>IFERROR(VLOOKUP(Table2[[#This Row],[Non Conformance]],'[2]New defect code '!$B$2:$C$129,2,0),0)</f>
        <v>3243</v>
      </c>
      <c r="V351" s="62">
        <v>19</v>
      </c>
      <c r="W351" s="62" t="str">
        <f>IFERROR(VLOOKUP(Table2[[#This Row],[Code4]],'[2]New Reason code'!$A$2:$D$77,2,0),0)</f>
        <v>During Rework time</v>
      </c>
      <c r="X351" s="62" t="str">
        <f>IFERROR(VLOOKUP(Table2[[#This Row],[Reason]],'[2]New Reason code'!$B$2:$D$77,2,0),0)</f>
        <v>Due to operator</v>
      </c>
      <c r="Y351" s="62" t="str">
        <f>IFERROR(VLOOKUP(Table2[[#This Row],[Rejection Identified at]],'[2]New Reason code'!$C$2:$D$77,2,0),0)</f>
        <v xml:space="preserve">infrastructure </v>
      </c>
    </row>
    <row r="352" spans="1:25" ht="20.25" customHeight="1">
      <c r="A352" s="50">
        <v>348</v>
      </c>
      <c r="B352" s="62">
        <v>19</v>
      </c>
      <c r="C352" s="62" t="str">
        <f>IFERROR(VLOOKUP(Table2[[#This Row],[Code]],'[2]New Machine sheet'!$A$1:$D$101,2,0),0)</f>
        <v>282-19</v>
      </c>
      <c r="D352" s="62" t="str">
        <f>IFERROR(VLOOKUP(Table2[[#This Row],[M/c No]],'[2]New Machine sheet'!$B$1:$D$101,2,0),0)</f>
        <v>Mazak</v>
      </c>
      <c r="E352" s="62" t="str">
        <f>IFERROR(VLOOKUP(Table2[[#This Row],[M/c Name]],'[2]New Machine sheet'!$C$1:$D$101,2,0),0)</f>
        <v>Turning</v>
      </c>
      <c r="F352" s="62">
        <v>65</v>
      </c>
      <c r="G352" s="62">
        <f>IFERROR(VLOOKUP(Table2[[#This Row],[Code2]],'[2]New Machine sheet'!$F$2:$I$64,2,),0)</f>
        <v>2465</v>
      </c>
      <c r="H352" s="62" t="str">
        <f>IFERROR(VLOOKUP(Table2[[#This Row],[Code2]],'[2]New Machine sheet'!$F$2:$I$64,3,0),0)</f>
        <v>RE D1</v>
      </c>
      <c r="I352" s="62" t="s">
        <v>177</v>
      </c>
      <c r="J352" s="62">
        <v>5</v>
      </c>
      <c r="K352" s="62" t="str">
        <f>IFERROR(VLOOKUP(Table2[[#This Row],[Code3]],'[2]New defect code '!$A$2:$D$129,2,0),0)</f>
        <v>Bore Over size</v>
      </c>
      <c r="L352" s="62" t="s">
        <v>204</v>
      </c>
      <c r="M352" s="56">
        <v>46266</v>
      </c>
      <c r="N352" s="62"/>
      <c r="O352" s="62">
        <v>1</v>
      </c>
      <c r="P352" s="62"/>
      <c r="Q352" s="62"/>
      <c r="R352" s="62">
        <f>SUBTOTAL(9,Table2[[#This Row],[1st]:[FQC]])</f>
        <v>1</v>
      </c>
      <c r="S352" s="62">
        <f>IFERROR(VLOOKUP(Table2[[#This Row],[Part No.]],'[2]New Machine sheet'!$G$2:$I$90,3,0),0)</f>
        <v>245.64500000000001</v>
      </c>
      <c r="T352" s="62">
        <f>Table2[[#This Row],[cost per piece]]*Table2[[#This Row],[Total Rej. qty]]</f>
        <v>245.64500000000001</v>
      </c>
      <c r="U352" s="62">
        <f>IFERROR(VLOOKUP(Table2[[#This Row],[Non Conformance]],'[2]New defect code '!$B$2:$C$129,2,0),0)</f>
        <v>3243</v>
      </c>
      <c r="V352" s="62">
        <v>21</v>
      </c>
      <c r="W352" s="62" t="str">
        <f>IFERROR(VLOOKUP(Table2[[#This Row],[Code4]],'[2]New Reason code'!$A$2:$D$77,2,0),0)</f>
        <v>During setup time</v>
      </c>
      <c r="X352" s="62" t="str">
        <f>IFERROR(VLOOKUP(Table2[[#This Row],[Reason]],'[2]New Reason code'!$B$2:$D$77,2,0),0)</f>
        <v xml:space="preserve">Due to Settup  </v>
      </c>
      <c r="Y352" s="62" t="str">
        <f>IFERROR(VLOOKUP(Table2[[#This Row],[Rejection Identified at]],'[2]New Reason code'!$C$2:$D$77,2,0),0)</f>
        <v>skill</v>
      </c>
    </row>
    <row r="353" spans="1:25" ht="20.25" customHeight="1">
      <c r="A353" s="50">
        <v>349</v>
      </c>
      <c r="B353" s="62">
        <v>15</v>
      </c>
      <c r="C353" s="62" t="str">
        <f>IFERROR(VLOOKUP(Table2[[#This Row],[Code]],'[2]New Machine sheet'!$A$1:$D$101,2,0),0)</f>
        <v>282-15</v>
      </c>
      <c r="D353" s="62" t="str">
        <f>IFERROR(VLOOKUP(Table2[[#This Row],[M/c No]],'[2]New Machine sheet'!$B$1:$D$101,2,0),0)</f>
        <v>Mazak</v>
      </c>
      <c r="E353" s="62" t="str">
        <f>IFERROR(VLOOKUP(Table2[[#This Row],[M/c Name]],'[2]New Machine sheet'!$C$1:$D$101,2,0),0)</f>
        <v>Turning</v>
      </c>
      <c r="F353" s="62">
        <v>78</v>
      </c>
      <c r="G353" s="62">
        <f>IFERROR(VLOOKUP(Table2[[#This Row],[Code2]],'[2]New Machine sheet'!$F$2:$I$64,2,),0)</f>
        <v>2478</v>
      </c>
      <c r="H353" s="62" t="str">
        <f>IFERROR(VLOOKUP(Table2[[#This Row],[Code2]],'[2]New Machine sheet'!$F$2:$I$64,3,0),0)</f>
        <v>RE P1</v>
      </c>
      <c r="I353" s="62"/>
      <c r="J353" s="62">
        <v>66</v>
      </c>
      <c r="K353" s="62" t="str">
        <f>IFERROR(VLOOKUP(Table2[[#This Row],[Code3]],'[2]New defect code '!$A$2:$D$129,2,0),0)</f>
        <v>OD Under Size</v>
      </c>
      <c r="L353" s="62" t="s">
        <v>204</v>
      </c>
      <c r="M353" s="56">
        <v>46266</v>
      </c>
      <c r="N353" s="62"/>
      <c r="O353" s="62">
        <v>3</v>
      </c>
      <c r="P353" s="62"/>
      <c r="Q353" s="62"/>
      <c r="R353" s="62">
        <f>SUBTOTAL(9,Table2[[#This Row],[1st]:[FQC]])</f>
        <v>3</v>
      </c>
      <c r="S353" s="62">
        <f>IFERROR(VLOOKUP(Table2[[#This Row],[Part No.]],'[2]New Machine sheet'!$G$2:$I$90,3,0),0)</f>
        <v>468.06</v>
      </c>
      <c r="T353" s="62">
        <f>Table2[[#This Row],[cost per piece]]*Table2[[#This Row],[Total Rej. qty]]</f>
        <v>1404.18</v>
      </c>
      <c r="U353" s="62">
        <f>IFERROR(VLOOKUP(Table2[[#This Row],[Non Conformance]],'[2]New defect code '!$B$2:$C$129,2,0),0)</f>
        <v>3242</v>
      </c>
      <c r="V353" s="62">
        <v>18</v>
      </c>
      <c r="W353" s="62" t="str">
        <f>IFERROR(VLOOKUP(Table2[[#This Row],[Code4]],'[2]New Reason code'!$A$2:$D$77,2,0),0)</f>
        <v>During insert change</v>
      </c>
      <c r="X353" s="62" t="str">
        <f>IFERROR(VLOOKUP(Table2[[#This Row],[Reason]],'[2]New Reason code'!$B$2:$D$77,2,0),0)</f>
        <v xml:space="preserve">Due to Settup  </v>
      </c>
      <c r="Y353" s="62" t="str">
        <f>IFERROR(VLOOKUP(Table2[[#This Row],[Rejection Identified at]],'[2]New Reason code'!$C$2:$D$77,2,0),0)</f>
        <v>skill</v>
      </c>
    </row>
    <row r="354" spans="1:25" ht="20.25" customHeight="1">
      <c r="A354" s="60">
        <v>350</v>
      </c>
      <c r="B354" s="62">
        <v>46</v>
      </c>
      <c r="C354" s="62" t="str">
        <f>IFERROR(VLOOKUP(Table2[[#This Row],[Code]],'[2]New Machine sheet'!$A$1:$D$101,2,0),0)</f>
        <v>MURATEC-02</v>
      </c>
      <c r="D354" s="62" t="str">
        <f>IFERROR(VLOOKUP(Table2[[#This Row],[M/c No]],'[2]New Machine sheet'!$B$1:$D$101,2,0),0)</f>
        <v>MURATEC</v>
      </c>
      <c r="E354" s="62" t="str">
        <f>IFERROR(VLOOKUP(Table2[[#This Row],[M/c Name]],'[2]New Machine sheet'!$C$1:$D$101,2,0),0)</f>
        <v xml:space="preserve">turning </v>
      </c>
      <c r="F354" s="62">
        <v>127</v>
      </c>
      <c r="G354" s="62">
        <f>IFERROR(VLOOKUP(Table2[[#This Row],[Code2]],'[2]New Machine sheet'!$F$2:$I$64,2,),0)</f>
        <v>24127</v>
      </c>
      <c r="H354" s="62" t="str">
        <f>IFERROR(VLOOKUP(Table2[[#This Row],[Code2]],'[2]New Machine sheet'!$F$2:$I$64,3,0),0)</f>
        <v>RE J1</v>
      </c>
      <c r="I354" s="62" t="s">
        <v>146</v>
      </c>
      <c r="J354" s="62">
        <v>5</v>
      </c>
      <c r="K354" s="62" t="str">
        <f>IFERROR(VLOOKUP(Table2[[#This Row],[Code3]],'[2]New defect code '!$A$2:$D$129,2,0),0)</f>
        <v>Bore Over size</v>
      </c>
      <c r="L354" s="62" t="s">
        <v>204</v>
      </c>
      <c r="M354" s="56">
        <v>46266</v>
      </c>
      <c r="N354" s="62"/>
      <c r="O354" s="62">
        <v>3</v>
      </c>
      <c r="P354" s="62"/>
      <c r="Q354" s="62"/>
      <c r="R354" s="62">
        <f>SUBTOTAL(9,Table2[[#This Row],[1st]:[FQC]])</f>
        <v>3</v>
      </c>
      <c r="S354" s="62">
        <f>IFERROR(VLOOKUP(Table2[[#This Row],[Part No.]],'[2]New Machine sheet'!$G$2:$I$90,3,0),0)</f>
        <v>262.81200000000001</v>
      </c>
      <c r="T354" s="62">
        <f>Table2[[#This Row],[cost per piece]]*Table2[[#This Row],[Total Rej. qty]]</f>
        <v>788.43600000000004</v>
      </c>
      <c r="U354" s="62">
        <f>IFERROR(VLOOKUP(Table2[[#This Row],[Non Conformance]],'[2]New defect code '!$B$2:$C$129,2,0),0)</f>
        <v>3243</v>
      </c>
      <c r="V354" s="62">
        <v>18</v>
      </c>
      <c r="W354" s="62" t="str">
        <f>IFERROR(VLOOKUP(Table2[[#This Row],[Code4]],'[2]New Reason code'!$A$2:$D$77,2,0),0)</f>
        <v>During insert change</v>
      </c>
      <c r="X354" s="62" t="str">
        <f>IFERROR(VLOOKUP(Table2[[#This Row],[Reason]],'[2]New Reason code'!$B$2:$D$77,2,0),0)</f>
        <v xml:space="preserve">Due to Settup  </v>
      </c>
      <c r="Y354" s="62" t="str">
        <f>IFERROR(VLOOKUP(Table2[[#This Row],[Rejection Identified at]],'[2]New Reason code'!$C$2:$D$77,2,0),0)</f>
        <v>skill</v>
      </c>
    </row>
    <row r="355" spans="1:25" ht="20.25" customHeight="1">
      <c r="A355" s="50">
        <v>351</v>
      </c>
      <c r="B355" s="62">
        <v>44</v>
      </c>
      <c r="C355" s="62" t="str">
        <f>IFERROR(VLOOKUP(Table2[[#This Row],[Code]],'[2]New Machine sheet'!$A$1:$D$101,2,0),0)</f>
        <v>LT20-NEW</v>
      </c>
      <c r="D355" s="62" t="str">
        <f>IFERROR(VLOOKUP(Table2[[#This Row],[M/c No]],'[2]New Machine sheet'!$B$1:$D$101,2,0),0)</f>
        <v>ACE</v>
      </c>
      <c r="E355" s="62" t="str">
        <f>IFERROR(VLOOKUP(Table2[[#This Row],[M/c Name]],'[2]New Machine sheet'!$C$1:$D$101,2,0),0)</f>
        <v xml:space="preserve">turning </v>
      </c>
      <c r="F355" s="62">
        <v>78</v>
      </c>
      <c r="G355" s="62">
        <f>IFERROR(VLOOKUP(Table2[[#This Row],[Code2]],'[2]New Machine sheet'!$F$2:$I$64,2,),0)</f>
        <v>2478</v>
      </c>
      <c r="H355" s="62" t="str">
        <f>IFERROR(VLOOKUP(Table2[[#This Row],[Code2]],'[2]New Machine sheet'!$F$2:$I$64,3,0),0)</f>
        <v>RE P1</v>
      </c>
      <c r="I355" s="62" t="s">
        <v>168</v>
      </c>
      <c r="J355" s="62">
        <v>5</v>
      </c>
      <c r="K355" s="62" t="str">
        <f>IFERROR(VLOOKUP(Table2[[#This Row],[Code3]],'[2]New defect code '!$A$2:$D$129,2,0),0)</f>
        <v>Bore Over size</v>
      </c>
      <c r="L355" s="62" t="s">
        <v>204</v>
      </c>
      <c r="M355" s="56">
        <v>46266</v>
      </c>
      <c r="N355" s="62"/>
      <c r="O355" s="62">
        <v>1</v>
      </c>
      <c r="P355" s="62"/>
      <c r="Q355" s="62"/>
      <c r="R355" s="62">
        <f>SUBTOTAL(9,Table2[[#This Row],[1st]:[FQC]])</f>
        <v>1</v>
      </c>
      <c r="S355" s="62">
        <f>IFERROR(VLOOKUP(Table2[[#This Row],[Part No.]],'[2]New Machine sheet'!$G$2:$I$90,3,0),0)</f>
        <v>468.06</v>
      </c>
      <c r="T355" s="62">
        <f>Table2[[#This Row],[cost per piece]]*Table2[[#This Row],[Total Rej. qty]]</f>
        <v>468.06</v>
      </c>
      <c r="U355" s="62">
        <f>IFERROR(VLOOKUP(Table2[[#This Row],[Non Conformance]],'[2]New defect code '!$B$2:$C$129,2,0),0)</f>
        <v>3243</v>
      </c>
      <c r="V355" s="62">
        <v>18</v>
      </c>
      <c r="W355" s="62" t="str">
        <f>IFERROR(VLOOKUP(Table2[[#This Row],[Code4]],'[2]New Reason code'!$A$2:$D$77,2,0),0)</f>
        <v>During insert change</v>
      </c>
      <c r="X355" s="62" t="str">
        <f>IFERROR(VLOOKUP(Table2[[#This Row],[Reason]],'[2]New Reason code'!$B$2:$D$77,2,0),0)</f>
        <v xml:space="preserve">Due to Settup  </v>
      </c>
      <c r="Y355" s="62" t="str">
        <f>IFERROR(VLOOKUP(Table2[[#This Row],[Rejection Identified at]],'[2]New Reason code'!$C$2:$D$77,2,0),0)</f>
        <v>skill</v>
      </c>
    </row>
    <row r="356" spans="1:25" ht="20.25" customHeight="1">
      <c r="A356" s="50">
        <v>352</v>
      </c>
      <c r="B356" s="62">
        <v>6</v>
      </c>
      <c r="C356" s="62" t="str">
        <f>IFERROR(VLOOKUP(Table2[[#This Row],[Code]],'[2]New Machine sheet'!$A$1:$D$101,2,0),0)</f>
        <v>282-06</v>
      </c>
      <c r="D356" s="62" t="str">
        <f>IFERROR(VLOOKUP(Table2[[#This Row],[M/c No]],'[2]New Machine sheet'!$B$1:$D$101,2,0),0)</f>
        <v>Mazak</v>
      </c>
      <c r="E356" s="62" t="str">
        <f>IFERROR(VLOOKUP(Table2[[#This Row],[M/c Name]],'[2]New Machine sheet'!$C$1:$D$101,2,0),0)</f>
        <v>Turning</v>
      </c>
      <c r="F356" s="62">
        <v>178</v>
      </c>
      <c r="G356" s="62">
        <f>IFERROR(VLOOKUP(Table2[[#This Row],[Code2]],'[2]New Machine sheet'!$F$2:$I$64,2,),0)</f>
        <v>24178</v>
      </c>
      <c r="H356" s="62" t="str">
        <f>IFERROR(VLOOKUP(Table2[[#This Row],[Code2]],'[2]New Machine sheet'!$F$2:$I$64,3,0),0)</f>
        <v>RE J1</v>
      </c>
      <c r="I356" s="62"/>
      <c r="J356" s="62">
        <v>5</v>
      </c>
      <c r="K356" s="62" t="str">
        <f>IFERROR(VLOOKUP(Table2[[#This Row],[Code3]],'[2]New defect code '!$A$2:$D$129,2,0),0)</f>
        <v>Bore Over size</v>
      </c>
      <c r="L356" s="62" t="s">
        <v>204</v>
      </c>
      <c r="M356" s="56">
        <v>46266</v>
      </c>
      <c r="N356" s="62"/>
      <c r="O356" s="62">
        <v>7</v>
      </c>
      <c r="P356" s="62"/>
      <c r="Q356" s="62"/>
      <c r="R356" s="62">
        <f>SUBTOTAL(9,Table2[[#This Row],[1st]:[FQC]])</f>
        <v>7</v>
      </c>
      <c r="S356" s="62">
        <f>IFERROR(VLOOKUP(Table2[[#This Row],[Part No.]],'[2]New Machine sheet'!$G$2:$I$90,3,0),0)</f>
        <v>70.62</v>
      </c>
      <c r="T356" s="62">
        <f>Table2[[#This Row],[cost per piece]]*Table2[[#This Row],[Total Rej. qty]]</f>
        <v>494.34000000000003</v>
      </c>
      <c r="U356" s="62">
        <f>IFERROR(VLOOKUP(Table2[[#This Row],[Non Conformance]],'[2]New defect code '!$B$2:$C$129,2,0),0)</f>
        <v>3243</v>
      </c>
      <c r="V356" s="62">
        <v>18</v>
      </c>
      <c r="W356" s="62" t="str">
        <f>IFERROR(VLOOKUP(Table2[[#This Row],[Code4]],'[2]New Reason code'!$A$2:$D$77,2,0),0)</f>
        <v>During insert change</v>
      </c>
      <c r="X356" s="62" t="str">
        <f>IFERROR(VLOOKUP(Table2[[#This Row],[Reason]],'[2]New Reason code'!$B$2:$D$77,2,0),0)</f>
        <v xml:space="preserve">Due to Settup  </v>
      </c>
      <c r="Y356" s="62" t="str">
        <f>IFERROR(VLOOKUP(Table2[[#This Row],[Rejection Identified at]],'[2]New Reason code'!$C$2:$D$77,2,0),0)</f>
        <v>skill</v>
      </c>
    </row>
    <row r="357" spans="1:25" ht="20.25" customHeight="1">
      <c r="A357" s="60">
        <v>353</v>
      </c>
      <c r="B357" s="62">
        <v>10</v>
      </c>
      <c r="C357" s="62" t="str">
        <f>IFERROR(VLOOKUP(Table2[[#This Row],[Code]],'[2]New Machine sheet'!$A$1:$D$101,2,0),0)</f>
        <v>282-10</v>
      </c>
      <c r="D357" s="62" t="str">
        <f>IFERROR(VLOOKUP(Table2[[#This Row],[M/c No]],'[2]New Machine sheet'!$B$1:$D$101,2,0),0)</f>
        <v>Mazak</v>
      </c>
      <c r="E357" s="62" t="str">
        <f>IFERROR(VLOOKUP(Table2[[#This Row],[M/c Name]],'[2]New Machine sheet'!$C$1:$D$101,2,0),0)</f>
        <v>Turning</v>
      </c>
      <c r="F357" s="62">
        <v>155</v>
      </c>
      <c r="G357" s="62">
        <f>IFERROR(VLOOKUP(Table2[[#This Row],[Code2]],'[2]New Machine sheet'!$F$2:$I$64,2,),0)</f>
        <v>24155</v>
      </c>
      <c r="H357" s="62" t="str">
        <f>IFERROR(VLOOKUP(Table2[[#This Row],[Code2]],'[2]New Machine sheet'!$F$2:$I$64,3,0),0)</f>
        <v>RE J1</v>
      </c>
      <c r="I357" s="62"/>
      <c r="J357" s="62">
        <v>5</v>
      </c>
      <c r="K357" s="62" t="str">
        <f>IFERROR(VLOOKUP(Table2[[#This Row],[Code3]],'[2]New defect code '!$A$2:$D$129,2,0),0)</f>
        <v>Bore Over size</v>
      </c>
      <c r="L357" s="62" t="s">
        <v>204</v>
      </c>
      <c r="M357" s="56">
        <v>46266</v>
      </c>
      <c r="N357" s="62"/>
      <c r="O357" s="62">
        <v>5</v>
      </c>
      <c r="P357" s="62"/>
      <c r="Q357" s="62"/>
      <c r="R357" s="62">
        <f>SUBTOTAL(9,Table2[[#This Row],[1st]:[FQC]])</f>
        <v>5</v>
      </c>
      <c r="S357" s="62">
        <f>IFERROR(VLOOKUP(Table2[[#This Row],[Part No.]],'[2]New Machine sheet'!$G$2:$I$90,3,0),0)</f>
        <v>107.67</v>
      </c>
      <c r="T357" s="62">
        <f>Table2[[#This Row],[cost per piece]]*Table2[[#This Row],[Total Rej. qty]]</f>
        <v>538.35</v>
      </c>
      <c r="U357" s="62">
        <f>IFERROR(VLOOKUP(Table2[[#This Row],[Non Conformance]],'[2]New defect code '!$B$2:$C$129,2,0),0)</f>
        <v>3243</v>
      </c>
      <c r="V357" s="62">
        <v>18</v>
      </c>
      <c r="W357" s="62" t="str">
        <f>IFERROR(VLOOKUP(Table2[[#This Row],[Code4]],'[2]New Reason code'!$A$2:$D$77,2,0),0)</f>
        <v>During insert change</v>
      </c>
      <c r="X357" s="62" t="str">
        <f>IFERROR(VLOOKUP(Table2[[#This Row],[Reason]],'[2]New Reason code'!$B$2:$D$77,2,0),0)</f>
        <v xml:space="preserve">Due to Settup  </v>
      </c>
      <c r="Y357" s="62" t="str">
        <f>IFERROR(VLOOKUP(Table2[[#This Row],[Rejection Identified at]],'[2]New Reason code'!$C$2:$D$77,2,0),0)</f>
        <v>skill</v>
      </c>
    </row>
    <row r="358" spans="1:25" ht="20.25" customHeight="1">
      <c r="A358" s="50">
        <v>354</v>
      </c>
      <c r="B358" s="62">
        <v>10</v>
      </c>
      <c r="C358" s="62" t="str">
        <f>IFERROR(VLOOKUP(Table2[[#This Row],[Code]],'[2]New Machine sheet'!$A$1:$D$101,2,0),0)</f>
        <v>282-10</v>
      </c>
      <c r="D358" s="62" t="str">
        <f>IFERROR(VLOOKUP(Table2[[#This Row],[M/c No]],'[2]New Machine sheet'!$B$1:$D$101,2,0),0)</f>
        <v>Mazak</v>
      </c>
      <c r="E358" s="62" t="str">
        <f>IFERROR(VLOOKUP(Table2[[#This Row],[M/c Name]],'[2]New Machine sheet'!$C$1:$D$101,2,0),0)</f>
        <v>Turning</v>
      </c>
      <c r="F358" s="62">
        <v>155</v>
      </c>
      <c r="G358" s="62">
        <f>IFERROR(VLOOKUP(Table2[[#This Row],[Code2]],'[2]New Machine sheet'!$F$2:$I$64,2,),0)</f>
        <v>24155</v>
      </c>
      <c r="H358" s="62" t="str">
        <f>IFERROR(VLOOKUP(Table2[[#This Row],[Code2]],'[2]New Machine sheet'!$F$2:$I$64,3,0),0)</f>
        <v>RE J1</v>
      </c>
      <c r="I358" s="62"/>
      <c r="J358" s="62">
        <v>93</v>
      </c>
      <c r="K358" s="62" t="str">
        <f>IFERROR(VLOOKUP(Table2[[#This Row],[Code3]],'[2]New defect code '!$A$2:$D$129,2,0),0)</f>
        <v>Thickness Under size</v>
      </c>
      <c r="L358" s="62" t="s">
        <v>204</v>
      </c>
      <c r="M358" s="56">
        <v>46266</v>
      </c>
      <c r="N358" s="62"/>
      <c r="O358" s="62">
        <v>2</v>
      </c>
      <c r="P358" s="62"/>
      <c r="Q358" s="62"/>
      <c r="R358" s="62">
        <f>SUBTOTAL(9,Table2[[#This Row],[1st]:[FQC]])</f>
        <v>2</v>
      </c>
      <c r="S358" s="62">
        <f>IFERROR(VLOOKUP(Table2[[#This Row],[Part No.]],'[2]New Machine sheet'!$G$2:$I$90,3,0),0)</f>
        <v>107.67</v>
      </c>
      <c r="T358" s="62">
        <f>Table2[[#This Row],[cost per piece]]*Table2[[#This Row],[Total Rej. qty]]</f>
        <v>215.34</v>
      </c>
      <c r="U358" s="62">
        <f>IFERROR(VLOOKUP(Table2[[#This Row],[Non Conformance]],'[2]New defect code '!$B$2:$C$129,2,0),0)</f>
        <v>3258</v>
      </c>
      <c r="V358" s="62">
        <v>18</v>
      </c>
      <c r="W358" s="62" t="str">
        <f>IFERROR(VLOOKUP(Table2[[#This Row],[Code4]],'[2]New Reason code'!$A$2:$D$77,2,0),0)</f>
        <v>During insert change</v>
      </c>
      <c r="X358" s="62" t="str">
        <f>IFERROR(VLOOKUP(Table2[[#This Row],[Reason]],'[2]New Reason code'!$B$2:$D$77,2,0),0)</f>
        <v xml:space="preserve">Due to Settup  </v>
      </c>
      <c r="Y358" s="62" t="str">
        <f>IFERROR(VLOOKUP(Table2[[#This Row],[Rejection Identified at]],'[2]New Reason code'!$C$2:$D$77,2,0),0)</f>
        <v>skill</v>
      </c>
    </row>
    <row r="359" spans="1:25" ht="20.25" customHeight="1">
      <c r="A359" s="50">
        <v>355</v>
      </c>
      <c r="B359" s="62"/>
      <c r="C359" s="62" t="s">
        <v>150</v>
      </c>
      <c r="D359" s="62" t="s">
        <v>117</v>
      </c>
      <c r="E359" s="62" t="str">
        <f>IFERROR(VLOOKUP(Table2[[#This Row],[M/c Name]],'[2]New Machine sheet'!$C$1:$D$101,2,0),0)</f>
        <v>Turning</v>
      </c>
      <c r="F359" s="62">
        <v>122</v>
      </c>
      <c r="G359" s="62">
        <f>IFERROR(VLOOKUP(Table2[[#This Row],[Code2]],'[2]New Machine sheet'!$F$2:$I$64,2,),0)</f>
        <v>24122</v>
      </c>
      <c r="H359" s="62" t="str">
        <f>IFERROR(VLOOKUP(Table2[[#This Row],[Code2]],'[2]New Machine sheet'!$F$2:$I$64,3,0),0)</f>
        <v>RE J1</v>
      </c>
      <c r="I359" s="62" t="s">
        <v>138</v>
      </c>
      <c r="J359" s="62">
        <v>40</v>
      </c>
      <c r="K359" s="62" t="str">
        <f>IFERROR(VLOOKUP(Table2[[#This Row],[Code3]],'[2]New defect code '!$A$2:$D$129,2,0),0)</f>
        <v>FACE Damage</v>
      </c>
      <c r="L359" s="62" t="s">
        <v>204</v>
      </c>
      <c r="M359" s="56">
        <v>46266</v>
      </c>
      <c r="N359" s="62"/>
      <c r="O359" s="62">
        <v>2</v>
      </c>
      <c r="P359" s="62"/>
      <c r="Q359" s="62"/>
      <c r="R359" s="62">
        <f>SUBTOTAL(9,Table2[[#This Row],[1st]:[FQC]])</f>
        <v>2</v>
      </c>
      <c r="S359" s="62">
        <f>IFERROR(VLOOKUP(Table2[[#This Row],[Part No.]],'[2]New Machine sheet'!$G$2:$I$90,3,0),0)</f>
        <v>335.39977528089889</v>
      </c>
      <c r="T359" s="62">
        <f>Table2[[#This Row],[cost per piece]]*Table2[[#This Row],[Total Rej. qty]]</f>
        <v>670.79955056179779</v>
      </c>
      <c r="U359" s="62">
        <f>IFERROR(VLOOKUP(Table2[[#This Row],[Non Conformance]],'[2]New defect code '!$B$2:$C$129,2,0),0)</f>
        <v>3229</v>
      </c>
      <c r="V359" s="62">
        <v>64</v>
      </c>
      <c r="W359" s="62" t="str">
        <f>IFERROR(VLOOKUP(Table2[[#This Row],[Code4]],'[2]New Reason code'!$A$2:$D$77,2,0),0)</f>
        <v>Wrong correction</v>
      </c>
      <c r="X359" s="62" t="str">
        <f>IFERROR(VLOOKUP(Table2[[#This Row],[Reason]],'[2]New Reason code'!$B$2:$D$77,2,0),0)</f>
        <v>Due to operator</v>
      </c>
      <c r="Y359" s="62" t="str">
        <f>IFERROR(VLOOKUP(Table2[[#This Row],[Rejection Identified at]],'[2]New Reason code'!$C$2:$D$77,2,0),0)</f>
        <v xml:space="preserve">infrastructure </v>
      </c>
    </row>
    <row r="360" spans="1:25" ht="20.25" customHeight="1">
      <c r="A360" s="60">
        <v>356</v>
      </c>
      <c r="B360" s="62">
        <v>14</v>
      </c>
      <c r="C360" s="62" t="str">
        <f>IFERROR(VLOOKUP(Table2[[#This Row],[Code]],'[2]New Machine sheet'!$A$1:$D$101,2,0),0)</f>
        <v>282-14</v>
      </c>
      <c r="D360" s="62" t="str">
        <f>IFERROR(VLOOKUP(Table2[[#This Row],[M/c No]],'[2]New Machine sheet'!$B$1:$D$101,2,0),0)</f>
        <v>Mazak</v>
      </c>
      <c r="E360" s="62" t="str">
        <f>IFERROR(VLOOKUP(Table2[[#This Row],[M/c Name]],'[2]New Machine sheet'!$C$1:$D$101,2,0),0)</f>
        <v>Turning</v>
      </c>
      <c r="F360" s="62">
        <v>155</v>
      </c>
      <c r="G360" s="62">
        <f>IFERROR(VLOOKUP(Table2[[#This Row],[Code2]],'[2]New Machine sheet'!$F$2:$I$64,2,),0)</f>
        <v>24155</v>
      </c>
      <c r="H360" s="62" t="str">
        <f>IFERROR(VLOOKUP(Table2[[#This Row],[Code2]],'[2]New Machine sheet'!$F$2:$I$64,3,0),0)</f>
        <v>RE J1</v>
      </c>
      <c r="I360" s="62"/>
      <c r="J360" s="62">
        <v>5</v>
      </c>
      <c r="K360" s="62" t="str">
        <f>IFERROR(VLOOKUP(Table2[[#This Row],[Code3]],'[2]New defect code '!$A$2:$D$129,2,0),0)</f>
        <v>Bore Over size</v>
      </c>
      <c r="L360" s="62" t="s">
        <v>204</v>
      </c>
      <c r="M360" s="56">
        <v>46266</v>
      </c>
      <c r="N360" s="62"/>
      <c r="O360" s="62">
        <v>5</v>
      </c>
      <c r="P360" s="62"/>
      <c r="Q360" s="62"/>
      <c r="R360" s="62">
        <f>SUBTOTAL(9,Table2[[#This Row],[1st]:[FQC]])</f>
        <v>5</v>
      </c>
      <c r="S360" s="62">
        <f>IFERROR(VLOOKUP(Table2[[#This Row],[Part No.]],'[2]New Machine sheet'!$G$2:$I$90,3,0),0)</f>
        <v>107.67</v>
      </c>
      <c r="T360" s="62">
        <f>Table2[[#This Row],[cost per piece]]*Table2[[#This Row],[Total Rej. qty]]</f>
        <v>538.35</v>
      </c>
      <c r="U360" s="62">
        <f>IFERROR(VLOOKUP(Table2[[#This Row],[Non Conformance]],'[2]New defect code '!$B$2:$C$129,2,0),0)</f>
        <v>3243</v>
      </c>
      <c r="V360" s="62">
        <v>18</v>
      </c>
      <c r="W360" s="62" t="str">
        <f>IFERROR(VLOOKUP(Table2[[#This Row],[Code4]],'[2]New Reason code'!$A$2:$D$77,2,0),0)</f>
        <v>During insert change</v>
      </c>
      <c r="X360" s="62" t="str">
        <f>IFERROR(VLOOKUP(Table2[[#This Row],[Reason]],'[2]New Reason code'!$B$2:$D$77,2,0),0)</f>
        <v xml:space="preserve">Due to Settup  </v>
      </c>
      <c r="Y360" s="62" t="str">
        <f>IFERROR(VLOOKUP(Table2[[#This Row],[Rejection Identified at]],'[2]New Reason code'!$C$2:$D$77,2,0),0)</f>
        <v>skill</v>
      </c>
    </row>
    <row r="361" spans="1:25" ht="20.25" customHeight="1">
      <c r="A361" s="50">
        <v>357</v>
      </c>
      <c r="B361" s="62">
        <v>14</v>
      </c>
      <c r="C361" s="62" t="str">
        <f>IFERROR(VLOOKUP(Table2[[#This Row],[Code]],'[2]New Machine sheet'!$A$1:$D$101,2,0),0)</f>
        <v>282-14</v>
      </c>
      <c r="D361" s="62" t="str">
        <f>IFERROR(VLOOKUP(Table2[[#This Row],[M/c No]],'[2]New Machine sheet'!$B$1:$D$101,2,0),0)</f>
        <v>Mazak</v>
      </c>
      <c r="E361" s="62" t="str">
        <f>IFERROR(VLOOKUP(Table2[[#This Row],[M/c Name]],'[2]New Machine sheet'!$C$1:$D$101,2,0),0)</f>
        <v>Turning</v>
      </c>
      <c r="F361" s="62">
        <v>155</v>
      </c>
      <c r="G361" s="62">
        <f>IFERROR(VLOOKUP(Table2[[#This Row],[Code2]],'[2]New Machine sheet'!$F$2:$I$64,2,),0)</f>
        <v>24155</v>
      </c>
      <c r="H361" s="62" t="str">
        <f>IFERROR(VLOOKUP(Table2[[#This Row],[Code2]],'[2]New Machine sheet'!$F$2:$I$64,3,0),0)</f>
        <v>RE J1</v>
      </c>
      <c r="I361" s="62"/>
      <c r="J361" s="62">
        <v>5</v>
      </c>
      <c r="K361" s="62" t="str">
        <f>IFERROR(VLOOKUP(Table2[[#This Row],[Code3]],'[2]New defect code '!$A$2:$D$129,2,0),0)</f>
        <v>Bore Over size</v>
      </c>
      <c r="L361" s="62" t="s">
        <v>204</v>
      </c>
      <c r="M361" s="56">
        <v>46266</v>
      </c>
      <c r="N361" s="62"/>
      <c r="O361" s="62">
        <v>5</v>
      </c>
      <c r="P361" s="62"/>
      <c r="Q361" s="62"/>
      <c r="R361" s="62">
        <f>SUBTOTAL(9,Table2[[#This Row],[1st]:[FQC]])</f>
        <v>5</v>
      </c>
      <c r="S361" s="62">
        <f>IFERROR(VLOOKUP(Table2[[#This Row],[Part No.]],'[2]New Machine sheet'!$G$2:$I$90,3,0),0)</f>
        <v>107.67</v>
      </c>
      <c r="T361" s="62">
        <f>Table2[[#This Row],[cost per piece]]*Table2[[#This Row],[Total Rej. qty]]</f>
        <v>538.35</v>
      </c>
      <c r="U361" s="62">
        <f>IFERROR(VLOOKUP(Table2[[#This Row],[Non Conformance]],'[2]New defect code '!$B$2:$C$129,2,0),0)</f>
        <v>3243</v>
      </c>
      <c r="V361" s="62">
        <v>70</v>
      </c>
      <c r="W361" s="62" t="str">
        <f>IFERROR(VLOOKUP(Table2[[#This Row],[Code4]],'[2]New Reason code'!$A$2:$D$77,2,0),0)</f>
        <v>Insert Wear Out</v>
      </c>
      <c r="X361" s="62" t="str">
        <f>IFERROR(VLOOKUP(Table2[[#This Row],[Reason]],'[2]New Reason code'!$B$2:$D$77,2,0),0)</f>
        <v>Line audit</v>
      </c>
      <c r="Y361" s="62" t="str">
        <f>IFERROR(VLOOKUP(Table2[[#This Row],[Rejection Identified at]],'[2]New Reason code'!$C$2:$D$77,2,0),0)</f>
        <v>Process Issue</v>
      </c>
    </row>
    <row r="362" spans="1:25" ht="20.25" customHeight="1">
      <c r="A362" s="50">
        <v>358</v>
      </c>
      <c r="B362" s="62">
        <v>6</v>
      </c>
      <c r="C362" s="62" t="str">
        <f>IFERROR(VLOOKUP(Table2[[#This Row],[Code]],'[2]New Machine sheet'!$A$1:$D$101,2,0),0)</f>
        <v>282-06</v>
      </c>
      <c r="D362" s="62" t="str">
        <f>IFERROR(VLOOKUP(Table2[[#This Row],[M/c No]],'[2]New Machine sheet'!$B$1:$D$101,2,0),0)</f>
        <v>Mazak</v>
      </c>
      <c r="E362" s="62" t="str">
        <f>IFERROR(VLOOKUP(Table2[[#This Row],[M/c Name]],'[2]New Machine sheet'!$C$1:$D$101,2,0),0)</f>
        <v>Turning</v>
      </c>
      <c r="F362" s="62">
        <v>178</v>
      </c>
      <c r="G362" s="62">
        <f>IFERROR(VLOOKUP(Table2[[#This Row],[Code2]],'[2]New Machine sheet'!$F$2:$I$64,2,),0)</f>
        <v>24178</v>
      </c>
      <c r="H362" s="62" t="str">
        <f>IFERROR(VLOOKUP(Table2[[#This Row],[Code2]],'[2]New Machine sheet'!$F$2:$I$64,3,0),0)</f>
        <v>RE J1</v>
      </c>
      <c r="I362" s="62" t="s">
        <v>122</v>
      </c>
      <c r="J362" s="62">
        <v>5</v>
      </c>
      <c r="K362" s="62" t="str">
        <f>IFERROR(VLOOKUP(Table2[[#This Row],[Code3]],'[2]New defect code '!$A$2:$D$129,2,0),0)</f>
        <v>Bore Over size</v>
      </c>
      <c r="L362" s="62" t="s">
        <v>204</v>
      </c>
      <c r="M362" s="56">
        <v>46266</v>
      </c>
      <c r="N362" s="62"/>
      <c r="O362" s="62">
        <v>10</v>
      </c>
      <c r="P362" s="62"/>
      <c r="Q362" s="62"/>
      <c r="R362" s="62">
        <f>SUBTOTAL(9,Table2[[#This Row],[1st]:[FQC]])</f>
        <v>10</v>
      </c>
      <c r="S362" s="62">
        <f>IFERROR(VLOOKUP(Table2[[#This Row],[Part No.]],'[2]New Machine sheet'!$G$2:$I$90,3,0),0)</f>
        <v>70.62</v>
      </c>
      <c r="T362" s="62">
        <f>Table2[[#This Row],[cost per piece]]*Table2[[#This Row],[Total Rej. qty]]</f>
        <v>706.2</v>
      </c>
      <c r="U362" s="62">
        <f>IFERROR(VLOOKUP(Table2[[#This Row],[Non Conformance]],'[2]New defect code '!$B$2:$C$129,2,0),0)</f>
        <v>3243</v>
      </c>
      <c r="V362" s="62">
        <v>19</v>
      </c>
      <c r="W362" s="62" t="str">
        <f>IFERROR(VLOOKUP(Table2[[#This Row],[Code4]],'[2]New Reason code'!$A$2:$D$77,2,0),0)</f>
        <v>During Rework time</v>
      </c>
      <c r="X362" s="62" t="str">
        <f>IFERROR(VLOOKUP(Table2[[#This Row],[Reason]],'[2]New Reason code'!$B$2:$D$77,2,0),0)</f>
        <v>Due to operator</v>
      </c>
      <c r="Y362" s="62" t="str">
        <f>IFERROR(VLOOKUP(Table2[[#This Row],[Rejection Identified at]],'[2]New Reason code'!$C$2:$D$77,2,0),0)</f>
        <v xml:space="preserve">infrastructure </v>
      </c>
    </row>
    <row r="363" spans="1:25" ht="20.25" customHeight="1">
      <c r="A363" s="60">
        <v>359</v>
      </c>
      <c r="B363" s="62">
        <v>1</v>
      </c>
      <c r="C363" s="62" t="str">
        <f>IFERROR(VLOOKUP(Table2[[#This Row],[Code]],'[2]New Machine sheet'!$A$1:$D$101,2,0),0)</f>
        <v>282-01</v>
      </c>
      <c r="D363" s="62" t="str">
        <f>IFERROR(VLOOKUP(Table2[[#This Row],[M/c No]],'[2]New Machine sheet'!$B$1:$D$101,2,0),0)</f>
        <v>Mazak</v>
      </c>
      <c r="E363" s="62" t="str">
        <f>IFERROR(VLOOKUP(Table2[[#This Row],[M/c Name]],'[2]New Machine sheet'!$C$1:$D$101,2,0),0)</f>
        <v>Turning</v>
      </c>
      <c r="F363" s="62">
        <v>52</v>
      </c>
      <c r="G363" s="62">
        <f>IFERROR(VLOOKUP(Table2[[#This Row],[Code2]],'[2]New Machine sheet'!$F$2:$I$64,2,),0)</f>
        <v>2452</v>
      </c>
      <c r="H363" s="62" t="str">
        <f>IFERROR(VLOOKUP(Table2[[#This Row],[Code2]],'[2]New Machine sheet'!$F$2:$I$64,3,0),0)</f>
        <v>RE P1</v>
      </c>
      <c r="I363" s="62"/>
      <c r="J363" s="62">
        <v>5</v>
      </c>
      <c r="K363" s="62" t="str">
        <f>IFERROR(VLOOKUP(Table2[[#This Row],[Code3]],'[2]New defect code '!$A$2:$D$129,2,0),0)</f>
        <v>Bore Over size</v>
      </c>
      <c r="L363" s="62" t="s">
        <v>204</v>
      </c>
      <c r="M363" s="56">
        <v>46266</v>
      </c>
      <c r="N363" s="62"/>
      <c r="O363" s="62">
        <v>10</v>
      </c>
      <c r="P363" s="62"/>
      <c r="Q363" s="62"/>
      <c r="R363" s="62">
        <f>SUBTOTAL(9,Table2[[#This Row],[1st]:[FQC]])</f>
        <v>10</v>
      </c>
      <c r="S363" s="62">
        <f>IFERROR(VLOOKUP(Table2[[#This Row],[Part No.]],'[2]New Machine sheet'!$G$2:$I$90,3,0),0)</f>
        <v>400</v>
      </c>
      <c r="T363" s="62">
        <f>Table2[[#This Row],[cost per piece]]*Table2[[#This Row],[Total Rej. qty]]</f>
        <v>4000</v>
      </c>
      <c r="U363" s="62">
        <f>IFERROR(VLOOKUP(Table2[[#This Row],[Non Conformance]],'[2]New defect code '!$B$2:$C$129,2,0),0)</f>
        <v>3243</v>
      </c>
      <c r="V363" s="62">
        <v>70</v>
      </c>
      <c r="W363" s="62" t="str">
        <f>IFERROR(VLOOKUP(Table2[[#This Row],[Code4]],'[2]New Reason code'!$A$2:$D$77,2,0),0)</f>
        <v>Insert Wear Out</v>
      </c>
      <c r="X363" s="62" t="str">
        <f>IFERROR(VLOOKUP(Table2[[#This Row],[Reason]],'[2]New Reason code'!$B$2:$D$77,2,0),0)</f>
        <v>Line audit</v>
      </c>
      <c r="Y363" s="62" t="str">
        <f>IFERROR(VLOOKUP(Table2[[#This Row],[Rejection Identified at]],'[2]New Reason code'!$C$2:$D$77,2,0),0)</f>
        <v>Process Issue</v>
      </c>
    </row>
    <row r="364" spans="1:25" ht="20.25" customHeight="1">
      <c r="A364" s="50">
        <v>360</v>
      </c>
      <c r="B364" s="62">
        <v>18</v>
      </c>
      <c r="C364" s="62" t="str">
        <f>IFERROR(VLOOKUP(Table2[[#This Row],[Code]],'[2]New Machine sheet'!$A$1:$D$101,2,0),0)</f>
        <v>282-18</v>
      </c>
      <c r="D364" s="62" t="str">
        <f>IFERROR(VLOOKUP(Table2[[#This Row],[M/c No]],'[2]New Machine sheet'!$B$1:$D$101,2,0),0)</f>
        <v>Mazak</v>
      </c>
      <c r="E364" s="62" t="str">
        <f>IFERROR(VLOOKUP(Table2[[#This Row],[M/c Name]],'[2]New Machine sheet'!$C$1:$D$101,2,0),0)</f>
        <v>Turning</v>
      </c>
      <c r="F364" s="62">
        <v>178</v>
      </c>
      <c r="G364" s="62">
        <f>IFERROR(VLOOKUP(Table2[[#This Row],[Code2]],'[2]New Machine sheet'!$F$2:$I$64,2,),0)</f>
        <v>24178</v>
      </c>
      <c r="H364" s="62" t="str">
        <f>IFERROR(VLOOKUP(Table2[[#This Row],[Code2]],'[2]New Machine sheet'!$F$2:$I$64,3,0),0)</f>
        <v>RE J1</v>
      </c>
      <c r="I364" s="62"/>
      <c r="J364" s="62">
        <v>5</v>
      </c>
      <c r="K364" s="62" t="str">
        <f>IFERROR(VLOOKUP(Table2[[#This Row],[Code3]],'[2]New defect code '!$A$2:$D$129,2,0),0)</f>
        <v>Bore Over size</v>
      </c>
      <c r="L364" s="62" t="s">
        <v>204</v>
      </c>
      <c r="M364" s="56">
        <v>46266</v>
      </c>
      <c r="N364" s="62"/>
      <c r="O364" s="62">
        <v>5</v>
      </c>
      <c r="P364" s="62"/>
      <c r="Q364" s="62"/>
      <c r="R364" s="62">
        <f>SUBTOTAL(9,Table2[[#This Row],[1st]:[FQC]])</f>
        <v>5</v>
      </c>
      <c r="S364" s="62">
        <f>IFERROR(VLOOKUP(Table2[[#This Row],[Part No.]],'[2]New Machine sheet'!$G$2:$I$90,3,0),0)</f>
        <v>70.62</v>
      </c>
      <c r="T364" s="62">
        <f>Table2[[#This Row],[cost per piece]]*Table2[[#This Row],[Total Rej. qty]]</f>
        <v>353.1</v>
      </c>
      <c r="U364" s="62">
        <f>IFERROR(VLOOKUP(Table2[[#This Row],[Non Conformance]],'[2]New defect code '!$B$2:$C$129,2,0),0)</f>
        <v>3243</v>
      </c>
      <c r="V364" s="62">
        <v>18</v>
      </c>
      <c r="W364" s="62" t="str">
        <f>IFERROR(VLOOKUP(Table2[[#This Row],[Code4]],'[2]New Reason code'!$A$2:$D$77,2,0),0)</f>
        <v>During insert change</v>
      </c>
      <c r="X364" s="62" t="str">
        <f>IFERROR(VLOOKUP(Table2[[#This Row],[Reason]],'[2]New Reason code'!$B$2:$D$77,2,0),0)</f>
        <v xml:space="preserve">Due to Settup  </v>
      </c>
      <c r="Y364" s="62" t="str">
        <f>IFERROR(VLOOKUP(Table2[[#This Row],[Rejection Identified at]],'[2]New Reason code'!$C$2:$D$77,2,0),0)</f>
        <v>skill</v>
      </c>
    </row>
    <row r="365" spans="1:25" ht="20.25" customHeight="1">
      <c r="A365" s="50">
        <v>361</v>
      </c>
      <c r="B365" s="62">
        <v>42</v>
      </c>
      <c r="C365" s="62" t="str">
        <f>IFERROR(VLOOKUP(Table2[[#This Row],[Code]],'[2]New Machine sheet'!$A$1:$D$101,2,0),0)</f>
        <v>252-04</v>
      </c>
      <c r="D365" s="62" t="str">
        <f>IFERROR(VLOOKUP(Table2[[#This Row],[M/c No]],'[2]New Machine sheet'!$B$1:$D$101,2,0),0)</f>
        <v>VMC</v>
      </c>
      <c r="E365" s="62" t="str">
        <f>IFERROR(VLOOKUP(Table2[[#This Row],[M/c Name]],'[2]New Machine sheet'!$C$1:$D$101,2,0),0)</f>
        <v>VMC</v>
      </c>
      <c r="F365" s="62">
        <v>154</v>
      </c>
      <c r="G365" s="62">
        <f>IFERROR(VLOOKUP(Table2[[#This Row],[Code2]],'[2]New Machine sheet'!$F$2:$I$64,2,),0)</f>
        <v>24154</v>
      </c>
      <c r="H365" s="62" t="str">
        <f>IFERROR(VLOOKUP(Table2[[#This Row],[Code2]],'[2]New Machine sheet'!$F$2:$I$64,3,0),0)</f>
        <v>RE J1</v>
      </c>
      <c r="I365" s="62"/>
      <c r="J365" s="62">
        <v>32</v>
      </c>
      <c r="K365" s="62" t="str">
        <f>IFERROR(VLOOKUP(Table2[[#This Row],[Code3]],'[2]New defect code '!$A$2:$D$129,2,0),0)</f>
        <v>Double Dot Punching</v>
      </c>
      <c r="L365" s="62" t="s">
        <v>204</v>
      </c>
      <c r="M365" s="56">
        <v>46266</v>
      </c>
      <c r="N365" s="62"/>
      <c r="O365" s="62">
        <v>9</v>
      </c>
      <c r="P365" s="62"/>
      <c r="Q365" s="62"/>
      <c r="R365" s="62">
        <f>SUBTOTAL(9,Table2[[#This Row],[1st]:[FQC]])</f>
        <v>9</v>
      </c>
      <c r="S365" s="62">
        <f>IFERROR(VLOOKUP(Table2[[#This Row],[Part No.]],'[2]New Machine sheet'!$G$2:$I$90,3,0),0)</f>
        <v>82.64</v>
      </c>
      <c r="T365" s="62">
        <f>Table2[[#This Row],[cost per piece]]*Table2[[#This Row],[Total Rej. qty]]</f>
        <v>743.76</v>
      </c>
      <c r="U365" s="62">
        <f>IFERROR(VLOOKUP(Table2[[#This Row],[Non Conformance]],'[2]New defect code '!$B$2:$C$129,2,0),0)</f>
        <v>0</v>
      </c>
      <c r="V365" s="62">
        <v>19</v>
      </c>
      <c r="W365" s="62" t="str">
        <f>IFERROR(VLOOKUP(Table2[[#This Row],[Code4]],'[2]New Reason code'!$A$2:$D$77,2,0),0)</f>
        <v>During Rework time</v>
      </c>
      <c r="X365" s="62" t="str">
        <f>IFERROR(VLOOKUP(Table2[[#This Row],[Reason]],'[2]New Reason code'!$B$2:$D$77,2,0),0)</f>
        <v>Due to operator</v>
      </c>
      <c r="Y365" s="62" t="str">
        <f>IFERROR(VLOOKUP(Table2[[#This Row],[Rejection Identified at]],'[2]New Reason code'!$C$2:$D$77,2,0),0)</f>
        <v xml:space="preserve">infrastructure </v>
      </c>
    </row>
    <row r="366" spans="1:25" ht="20.25" customHeight="1">
      <c r="A366" s="60">
        <v>362</v>
      </c>
      <c r="B366" s="62">
        <v>15</v>
      </c>
      <c r="C366" s="62" t="str">
        <f>IFERROR(VLOOKUP(Table2[[#This Row],[Code]],'[2]New Machine sheet'!$A$1:$D$101,2,0),0)</f>
        <v>282-15</v>
      </c>
      <c r="D366" s="62" t="str">
        <f>IFERROR(VLOOKUP(Table2[[#This Row],[M/c No]],'[2]New Machine sheet'!$B$1:$D$101,2,0),0)</f>
        <v>Mazak</v>
      </c>
      <c r="E366" s="62" t="str">
        <f>IFERROR(VLOOKUP(Table2[[#This Row],[M/c Name]],'[2]New Machine sheet'!$C$1:$D$101,2,0),0)</f>
        <v>Turning</v>
      </c>
      <c r="F366" s="62">
        <v>82</v>
      </c>
      <c r="G366" s="62">
        <f>IFERROR(VLOOKUP(Table2[[#This Row],[Code2]],'[2]New Machine sheet'!$F$2:$I$64,2,),0)</f>
        <v>2482</v>
      </c>
      <c r="H366" s="62" t="str">
        <f>IFERROR(VLOOKUP(Table2[[#This Row],[Code2]],'[2]New Machine sheet'!$F$2:$I$64,3,0),0)</f>
        <v>RE P1</v>
      </c>
      <c r="I366" s="62" t="s">
        <v>122</v>
      </c>
      <c r="J366" s="62">
        <v>66</v>
      </c>
      <c r="K366" s="62" t="str">
        <f>IFERROR(VLOOKUP(Table2[[#This Row],[Code3]],'[2]New defect code '!$A$2:$D$129,2,0),0)</f>
        <v>OD Under Size</v>
      </c>
      <c r="L366" s="62" t="s">
        <v>204</v>
      </c>
      <c r="M366" s="56">
        <v>46266</v>
      </c>
      <c r="N366" s="62"/>
      <c r="O366" s="62"/>
      <c r="P366" s="62">
        <v>5</v>
      </c>
      <c r="Q366" s="62"/>
      <c r="R366" s="62">
        <f>SUBTOTAL(9,Table2[[#This Row],[1st]:[FQC]])</f>
        <v>5</v>
      </c>
      <c r="S366" s="62">
        <f>IFERROR(VLOOKUP(Table2[[#This Row],[Part No.]],'[2]New Machine sheet'!$G$2:$I$90,3,0),0)</f>
        <v>303.45333333333332</v>
      </c>
      <c r="T366" s="62">
        <f>Table2[[#This Row],[cost per piece]]*Table2[[#This Row],[Total Rej. qty]]</f>
        <v>1517.2666666666667</v>
      </c>
      <c r="U366" s="62">
        <f>IFERROR(VLOOKUP(Table2[[#This Row],[Non Conformance]],'[2]New defect code '!$B$2:$C$129,2,0),0)</f>
        <v>3242</v>
      </c>
      <c r="V366" s="62">
        <v>19</v>
      </c>
      <c r="W366" s="62" t="str">
        <f>IFERROR(VLOOKUP(Table2[[#This Row],[Code4]],'[2]New Reason code'!$A$2:$D$77,2,0),0)</f>
        <v>During Rework time</v>
      </c>
      <c r="X366" s="62" t="str">
        <f>IFERROR(VLOOKUP(Table2[[#This Row],[Reason]],'[2]New Reason code'!$B$2:$D$77,2,0),0)</f>
        <v>Due to operator</v>
      </c>
      <c r="Y366" s="62" t="str">
        <f>IFERROR(VLOOKUP(Table2[[#This Row],[Rejection Identified at]],'[2]New Reason code'!$C$2:$D$77,2,0),0)</f>
        <v xml:space="preserve">infrastructure </v>
      </c>
    </row>
    <row r="367" spans="1:25" ht="20.25" customHeight="1">
      <c r="A367" s="50">
        <v>363</v>
      </c>
      <c r="B367" s="62">
        <v>46</v>
      </c>
      <c r="C367" s="62" t="str">
        <f>IFERROR(VLOOKUP(Table2[[#This Row],[Code]],'[2]New Machine sheet'!$A$1:$D$101,2,0),0)</f>
        <v>MURATEC-02</v>
      </c>
      <c r="D367" s="62" t="str">
        <f>IFERROR(VLOOKUP(Table2[[#This Row],[M/c No]],'[2]New Machine sheet'!$B$1:$D$101,2,0),0)</f>
        <v>MURATEC</v>
      </c>
      <c r="E367" s="62" t="str">
        <f>IFERROR(VLOOKUP(Table2[[#This Row],[M/c Name]],'[2]New Machine sheet'!$C$1:$D$101,2,0),0)</f>
        <v xml:space="preserve">turning </v>
      </c>
      <c r="F367" s="62">
        <v>127</v>
      </c>
      <c r="G367" s="62">
        <f>IFERROR(VLOOKUP(Table2[[#This Row],[Code2]],'[2]New Machine sheet'!$F$2:$I$64,2,),0)</f>
        <v>24127</v>
      </c>
      <c r="H367" s="62" t="str">
        <f>IFERROR(VLOOKUP(Table2[[#This Row],[Code2]],'[2]New Machine sheet'!$F$2:$I$64,3,0),0)</f>
        <v>RE J1</v>
      </c>
      <c r="I367" s="62" t="s">
        <v>140</v>
      </c>
      <c r="J367" s="62">
        <v>5</v>
      </c>
      <c r="K367" s="62" t="str">
        <f>IFERROR(VLOOKUP(Table2[[#This Row],[Code3]],'[2]New defect code '!$A$2:$D$129,2,0),0)</f>
        <v>Bore Over size</v>
      </c>
      <c r="L367" s="62" t="s">
        <v>204</v>
      </c>
      <c r="M367" s="56">
        <v>46266</v>
      </c>
      <c r="N367" s="62"/>
      <c r="O367" s="62"/>
      <c r="P367" s="62">
        <v>2</v>
      </c>
      <c r="Q367" s="62"/>
      <c r="R367" s="62">
        <f>SUBTOTAL(9,Table2[[#This Row],[1st]:[FQC]])</f>
        <v>2</v>
      </c>
      <c r="S367" s="62">
        <f>IFERROR(VLOOKUP(Table2[[#This Row],[Part No.]],'[2]New Machine sheet'!$G$2:$I$90,3,0),0)</f>
        <v>262.81200000000001</v>
      </c>
      <c r="T367" s="62">
        <f>Table2[[#This Row],[cost per piece]]*Table2[[#This Row],[Total Rej. qty]]</f>
        <v>525.62400000000002</v>
      </c>
      <c r="U367" s="62">
        <f>IFERROR(VLOOKUP(Table2[[#This Row],[Non Conformance]],'[2]New defect code '!$B$2:$C$129,2,0),0)</f>
        <v>3243</v>
      </c>
      <c r="V367" s="62">
        <v>64</v>
      </c>
      <c r="W367" s="62" t="str">
        <f>IFERROR(VLOOKUP(Table2[[#This Row],[Code4]],'[2]New Reason code'!$A$2:$D$77,2,0),0)</f>
        <v>Wrong correction</v>
      </c>
      <c r="X367" s="62" t="str">
        <f>IFERROR(VLOOKUP(Table2[[#This Row],[Reason]],'[2]New Reason code'!$B$2:$D$77,2,0),0)</f>
        <v>Due to operator</v>
      </c>
      <c r="Y367" s="62" t="str">
        <f>IFERROR(VLOOKUP(Table2[[#This Row],[Rejection Identified at]],'[2]New Reason code'!$C$2:$D$77,2,0),0)</f>
        <v xml:space="preserve">infrastructure </v>
      </c>
    </row>
    <row r="368" spans="1:25" ht="20.25" customHeight="1">
      <c r="A368" s="50">
        <v>364</v>
      </c>
      <c r="B368" s="62">
        <v>62</v>
      </c>
      <c r="C368" s="62" t="str">
        <f>IFERROR(VLOOKUP(Table2[[#This Row],[Code]],'[2]New Machine sheet'!$A$1:$D$101,2,0),0)</f>
        <v>FQC</v>
      </c>
      <c r="D368" s="62" t="str">
        <f>IFERROR(VLOOKUP(Table2[[#This Row],[M/c No]],'[2]New Machine sheet'!$B$1:$D$101,2,0),0)</f>
        <v>FQC</v>
      </c>
      <c r="E368" s="62" t="str">
        <f>IFERROR(VLOOKUP(Table2[[#This Row],[M/c Name]],'[2]New Machine sheet'!$C$1:$D$101,2,0),0)</f>
        <v>fqc</v>
      </c>
      <c r="F368" s="62">
        <v>155</v>
      </c>
      <c r="G368" s="62">
        <f>IFERROR(VLOOKUP(Table2[[#This Row],[Code2]],'[2]New Machine sheet'!$F$2:$I$64,2,),0)</f>
        <v>24155</v>
      </c>
      <c r="H368" s="62" t="str">
        <f>IFERROR(VLOOKUP(Table2[[#This Row],[Code2]],'[2]New Machine sheet'!$F$2:$I$64,3,0),0)</f>
        <v>RE J1</v>
      </c>
      <c r="I368" s="62"/>
      <c r="J368" s="62">
        <v>93</v>
      </c>
      <c r="K368" s="62" t="str">
        <f>IFERROR(VLOOKUP(Table2[[#This Row],[Code3]],'[2]New defect code '!$A$2:$D$129,2,0),0)</f>
        <v>Thickness Under size</v>
      </c>
      <c r="L368" s="62" t="s">
        <v>204</v>
      </c>
      <c r="M368" s="56">
        <v>46266</v>
      </c>
      <c r="N368" s="62"/>
      <c r="O368" s="62"/>
      <c r="P368" s="62"/>
      <c r="Q368" s="62">
        <v>1</v>
      </c>
      <c r="R368" s="62">
        <f>SUBTOTAL(9,Table2[[#This Row],[1st]:[FQC]])</f>
        <v>1</v>
      </c>
      <c r="S368" s="62">
        <f>IFERROR(VLOOKUP(Table2[[#This Row],[Part No.]],'[2]New Machine sheet'!$G$2:$I$90,3,0),0)</f>
        <v>107.67</v>
      </c>
      <c r="T368" s="62">
        <f>Table2[[#This Row],[cost per piece]]*Table2[[#This Row],[Total Rej. qty]]</f>
        <v>107.67</v>
      </c>
      <c r="U368" s="62">
        <f>IFERROR(VLOOKUP(Table2[[#This Row],[Non Conformance]],'[2]New defect code '!$B$2:$C$129,2,0),0)</f>
        <v>3258</v>
      </c>
      <c r="V368" s="62">
        <v>24</v>
      </c>
      <c r="W368" s="62" t="str">
        <f>IFERROR(VLOOKUP(Table2[[#This Row],[Code4]],'[2]New Reason code'!$A$2:$D$77,2,0),0)</f>
        <v>FQC return</v>
      </c>
      <c r="X368" s="62" t="str">
        <f>IFERROR(VLOOKUP(Table2[[#This Row],[Reason]],'[2]New Reason code'!$B$2:$D$77,2,0),0)</f>
        <v>Due to operator</v>
      </c>
      <c r="Y368" s="62" t="str">
        <f>IFERROR(VLOOKUP(Table2[[#This Row],[Rejection Identified at]],'[2]New Reason code'!$C$2:$D$77,2,0),0)</f>
        <v xml:space="preserve">infrastructure </v>
      </c>
    </row>
    <row r="369" spans="1:25" ht="20.25" customHeight="1">
      <c r="A369" s="60">
        <v>365</v>
      </c>
      <c r="B369" s="62">
        <v>5</v>
      </c>
      <c r="C369" s="62" t="str">
        <f>IFERROR(VLOOKUP(Table2[[#This Row],[Code]],'[2]New Machine sheet'!$A$1:$D$101,2,0),0)</f>
        <v>282-05</v>
      </c>
      <c r="D369" s="62" t="str">
        <f>IFERROR(VLOOKUP(Table2[[#This Row],[M/c No]],'[2]New Machine sheet'!$B$1:$D$101,2,0),0)</f>
        <v>Mazak</v>
      </c>
      <c r="E369" s="62" t="str">
        <f>IFERROR(VLOOKUP(Table2[[#This Row],[M/c Name]],'[2]New Machine sheet'!$C$1:$D$101,2,0),0)</f>
        <v>Turning</v>
      </c>
      <c r="F369" s="62">
        <v>119</v>
      </c>
      <c r="G369" s="62">
        <f>IFERROR(VLOOKUP(Table2[[#This Row],[Code2]],'[2]New Machine sheet'!$F$2:$I$64,2,),0)</f>
        <v>24119</v>
      </c>
      <c r="H369" s="62" t="str">
        <f>IFERROR(VLOOKUP(Table2[[#This Row],[Code2]],'[2]New Machine sheet'!$F$2:$I$64,3,0),0)</f>
        <v>RE J1</v>
      </c>
      <c r="I369" s="62" t="s">
        <v>113</v>
      </c>
      <c r="J369" s="62">
        <v>5</v>
      </c>
      <c r="K369" s="62" t="str">
        <f>IFERROR(VLOOKUP(Table2[[#This Row],[Code3]],'[2]New defect code '!$A$2:$D$129,2,0),0)</f>
        <v>Bore Over size</v>
      </c>
      <c r="L369" s="62" t="s">
        <v>204</v>
      </c>
      <c r="M369" s="56">
        <v>46266</v>
      </c>
      <c r="N369" s="62"/>
      <c r="O369" s="62"/>
      <c r="P369" s="62">
        <v>2</v>
      </c>
      <c r="Q369" s="62"/>
      <c r="R369" s="62">
        <f>SUBTOTAL(9,Table2[[#This Row],[1st]:[FQC]])</f>
        <v>2</v>
      </c>
      <c r="S369" s="62">
        <f>IFERROR(VLOOKUP(Table2[[#This Row],[Part No.]],'[2]New Machine sheet'!$G$2:$I$90,3,0),0)</f>
        <v>103.2</v>
      </c>
      <c r="T369" s="62">
        <f>Table2[[#This Row],[cost per piece]]*Table2[[#This Row],[Total Rej. qty]]</f>
        <v>206.4</v>
      </c>
      <c r="U369" s="62">
        <f>IFERROR(VLOOKUP(Table2[[#This Row],[Non Conformance]],'[2]New defect code '!$B$2:$C$129,2,0),0)</f>
        <v>3243</v>
      </c>
      <c r="V369" s="62">
        <v>18</v>
      </c>
      <c r="W369" s="62" t="str">
        <f>IFERROR(VLOOKUP(Table2[[#This Row],[Code4]],'[2]New Reason code'!$A$2:$D$77,2,0),0)</f>
        <v>During insert change</v>
      </c>
      <c r="X369" s="62" t="str">
        <f>IFERROR(VLOOKUP(Table2[[#This Row],[Reason]],'[2]New Reason code'!$B$2:$D$77,2,0),0)</f>
        <v xml:space="preserve">Due to Settup  </v>
      </c>
      <c r="Y369" s="62" t="str">
        <f>IFERROR(VLOOKUP(Table2[[#This Row],[Rejection Identified at]],'[2]New Reason code'!$C$2:$D$77,2,0),0)</f>
        <v>skill</v>
      </c>
    </row>
    <row r="370" spans="1:25" ht="20.25" customHeight="1">
      <c r="A370" s="50">
        <v>366</v>
      </c>
      <c r="B370" s="62">
        <v>4</v>
      </c>
      <c r="C370" s="62" t="str">
        <f>IFERROR(VLOOKUP(Table2[[#This Row],[Code]],'[2]New Machine sheet'!$A$1:$D$101,2,0),0)</f>
        <v>282-04</v>
      </c>
      <c r="D370" s="62" t="str">
        <f>IFERROR(VLOOKUP(Table2[[#This Row],[M/c No]],'[2]New Machine sheet'!$B$1:$D$101,2,0),0)</f>
        <v>Mazak</v>
      </c>
      <c r="E370" s="62" t="str">
        <f>IFERROR(VLOOKUP(Table2[[#This Row],[M/c Name]],'[2]New Machine sheet'!$C$1:$D$101,2,0),0)</f>
        <v>Turning</v>
      </c>
      <c r="F370" s="62">
        <v>79</v>
      </c>
      <c r="G370" s="62">
        <f>IFERROR(VLOOKUP(Table2[[#This Row],[Code2]],'[2]New Machine sheet'!$F$2:$I$64,2,),0)</f>
        <v>2479</v>
      </c>
      <c r="H370" s="62" t="str">
        <f>IFERROR(VLOOKUP(Table2[[#This Row],[Code2]],'[2]New Machine sheet'!$F$2:$I$64,3,0),0)</f>
        <v>RE P1</v>
      </c>
      <c r="I370" s="62" t="s">
        <v>206</v>
      </c>
      <c r="J370" s="62">
        <v>66</v>
      </c>
      <c r="K370" s="62" t="str">
        <f>IFERROR(VLOOKUP(Table2[[#This Row],[Code3]],'[2]New defect code '!$A$2:$D$129,2,0),0)</f>
        <v>OD Under Size</v>
      </c>
      <c r="L370" s="62" t="s">
        <v>204</v>
      </c>
      <c r="M370" s="56">
        <v>46266</v>
      </c>
      <c r="N370" s="62"/>
      <c r="O370" s="62"/>
      <c r="P370" s="62">
        <v>1</v>
      </c>
      <c r="Q370" s="62"/>
      <c r="R370" s="62">
        <f>SUBTOTAL(9,Table2[[#This Row],[1st]:[FQC]])</f>
        <v>1</v>
      </c>
      <c r="S370" s="62">
        <f>IFERROR(VLOOKUP(Table2[[#This Row],[Part No.]],'[2]New Machine sheet'!$G$2:$I$90,3,0),0)</f>
        <v>43.11</v>
      </c>
      <c r="T370" s="62">
        <f>Table2[[#This Row],[cost per piece]]*Table2[[#This Row],[Total Rej. qty]]</f>
        <v>43.11</v>
      </c>
      <c r="U370" s="62">
        <f>IFERROR(VLOOKUP(Table2[[#This Row],[Non Conformance]],'[2]New defect code '!$B$2:$C$129,2,0),0)</f>
        <v>3242</v>
      </c>
      <c r="V370" s="62">
        <v>18</v>
      </c>
      <c r="W370" s="62" t="str">
        <f>IFERROR(VLOOKUP(Table2[[#This Row],[Code4]],'[2]New Reason code'!$A$2:$D$77,2,0),0)</f>
        <v>During insert change</v>
      </c>
      <c r="X370" s="62" t="str">
        <f>IFERROR(VLOOKUP(Table2[[#This Row],[Reason]],'[2]New Reason code'!$B$2:$D$77,2,0),0)</f>
        <v xml:space="preserve">Due to Settup  </v>
      </c>
      <c r="Y370" s="62" t="str">
        <f>IFERROR(VLOOKUP(Table2[[#This Row],[Rejection Identified at]],'[2]New Reason code'!$C$2:$D$77,2,0),0)</f>
        <v>skill</v>
      </c>
    </row>
    <row r="371" spans="1:25" ht="20.25" customHeight="1">
      <c r="A371" s="50">
        <v>367</v>
      </c>
      <c r="B371" s="62">
        <v>18</v>
      </c>
      <c r="C371" s="62" t="str">
        <f>IFERROR(VLOOKUP(Table2[[#This Row],[Code]],'[2]New Machine sheet'!$A$1:$D$101,2,0),0)</f>
        <v>282-18</v>
      </c>
      <c r="D371" s="62" t="str">
        <f>IFERROR(VLOOKUP(Table2[[#This Row],[M/c No]],'[2]New Machine sheet'!$B$1:$D$101,2,0),0)</f>
        <v>Mazak</v>
      </c>
      <c r="E371" s="62" t="str">
        <f>IFERROR(VLOOKUP(Table2[[#This Row],[M/c Name]],'[2]New Machine sheet'!$C$1:$D$101,2,0),0)</f>
        <v>Turning</v>
      </c>
      <c r="F371" s="62">
        <v>178</v>
      </c>
      <c r="G371" s="62">
        <f>IFERROR(VLOOKUP(Table2[[#This Row],[Code2]],'[2]New Machine sheet'!$F$2:$I$64,2,),0)</f>
        <v>24178</v>
      </c>
      <c r="H371" s="62" t="str">
        <f>IFERROR(VLOOKUP(Table2[[#This Row],[Code2]],'[2]New Machine sheet'!$F$2:$I$64,3,0),0)</f>
        <v>RE J1</v>
      </c>
      <c r="I371" s="62" t="s">
        <v>122</v>
      </c>
      <c r="J371" s="62">
        <v>5</v>
      </c>
      <c r="K371" s="62" t="str">
        <f>IFERROR(VLOOKUP(Table2[[#This Row],[Code3]],'[2]New defect code '!$A$2:$D$129,2,0),0)</f>
        <v>Bore Over size</v>
      </c>
      <c r="L371" s="62" t="s">
        <v>204</v>
      </c>
      <c r="M371" s="56">
        <v>46266</v>
      </c>
      <c r="N371" s="62"/>
      <c r="O371" s="62"/>
      <c r="P371" s="62">
        <v>8</v>
      </c>
      <c r="Q371" s="62"/>
      <c r="R371" s="62">
        <f>SUBTOTAL(9,Table2[[#This Row],[1st]:[FQC]])</f>
        <v>8</v>
      </c>
      <c r="S371" s="62">
        <f>IFERROR(VLOOKUP(Table2[[#This Row],[Part No.]],'[2]New Machine sheet'!$G$2:$I$90,3,0),0)</f>
        <v>70.62</v>
      </c>
      <c r="T371" s="62">
        <f>Table2[[#This Row],[cost per piece]]*Table2[[#This Row],[Total Rej. qty]]</f>
        <v>564.96</v>
      </c>
      <c r="U371" s="62">
        <f>IFERROR(VLOOKUP(Table2[[#This Row],[Non Conformance]],'[2]New defect code '!$B$2:$C$129,2,0),0)</f>
        <v>3243</v>
      </c>
      <c r="V371" s="62">
        <v>19</v>
      </c>
      <c r="W371" s="62" t="str">
        <f>IFERROR(VLOOKUP(Table2[[#This Row],[Code4]],'[2]New Reason code'!$A$2:$D$77,2,0),0)</f>
        <v>During Rework time</v>
      </c>
      <c r="X371" s="62" t="str">
        <f>IFERROR(VLOOKUP(Table2[[#This Row],[Reason]],'[2]New Reason code'!$B$2:$D$77,2,0),0)</f>
        <v>Due to operator</v>
      </c>
      <c r="Y371" s="62" t="str">
        <f>IFERROR(VLOOKUP(Table2[[#This Row],[Rejection Identified at]],'[2]New Reason code'!$C$2:$D$77,2,0),0)</f>
        <v xml:space="preserve">infrastructure </v>
      </c>
    </row>
    <row r="372" spans="1:25" ht="20.25" customHeight="1">
      <c r="A372" s="60">
        <v>368</v>
      </c>
      <c r="B372" s="62">
        <v>1</v>
      </c>
      <c r="C372" s="62" t="str">
        <f>IFERROR(VLOOKUP(Table2[[#This Row],[Code]],'[2]New Machine sheet'!$A$1:$D$101,2,0),0)</f>
        <v>282-01</v>
      </c>
      <c r="D372" s="62" t="str">
        <f>IFERROR(VLOOKUP(Table2[[#This Row],[M/c No]],'[2]New Machine sheet'!$B$1:$D$101,2,0),0)</f>
        <v>Mazak</v>
      </c>
      <c r="E372" s="62" t="str">
        <f>IFERROR(VLOOKUP(Table2[[#This Row],[M/c Name]],'[2]New Machine sheet'!$C$1:$D$101,2,0),0)</f>
        <v>Turning</v>
      </c>
      <c r="F372" s="62">
        <v>52</v>
      </c>
      <c r="G372" s="62">
        <f>IFERROR(VLOOKUP(Table2[[#This Row],[Code2]],'[2]New Machine sheet'!$F$2:$I$64,2,),0)</f>
        <v>2452</v>
      </c>
      <c r="H372" s="62" t="str">
        <f>IFERROR(VLOOKUP(Table2[[#This Row],[Code2]],'[2]New Machine sheet'!$F$2:$I$64,3,0),0)</f>
        <v>RE P1</v>
      </c>
      <c r="I372" s="62"/>
      <c r="J372" s="62">
        <v>5</v>
      </c>
      <c r="K372" s="62" t="str">
        <f>IFERROR(VLOOKUP(Table2[[#This Row],[Code3]],'[2]New defect code '!$A$2:$D$129,2,0),0)</f>
        <v>Bore Over size</v>
      </c>
      <c r="L372" s="62" t="s">
        <v>204</v>
      </c>
      <c r="M372" s="56">
        <v>46266</v>
      </c>
      <c r="N372" s="62"/>
      <c r="O372" s="62"/>
      <c r="P372" s="62">
        <v>10</v>
      </c>
      <c r="Q372" s="62"/>
      <c r="R372" s="62">
        <f>SUBTOTAL(9,Table2[[#This Row],[1st]:[FQC]])</f>
        <v>10</v>
      </c>
      <c r="S372" s="62">
        <f>IFERROR(VLOOKUP(Table2[[#This Row],[Part No.]],'[2]New Machine sheet'!$G$2:$I$90,3,0),0)</f>
        <v>400</v>
      </c>
      <c r="T372" s="62">
        <f>Table2[[#This Row],[cost per piece]]*Table2[[#This Row],[Total Rej. qty]]</f>
        <v>4000</v>
      </c>
      <c r="U372" s="62">
        <f>IFERROR(VLOOKUP(Table2[[#This Row],[Non Conformance]],'[2]New defect code '!$B$2:$C$129,2,0),0)</f>
        <v>3243</v>
      </c>
      <c r="V372" s="62">
        <v>19</v>
      </c>
      <c r="W372" s="62" t="str">
        <f>IFERROR(VLOOKUP(Table2[[#This Row],[Code4]],'[2]New Reason code'!$A$2:$D$77,2,0),0)</f>
        <v>During Rework time</v>
      </c>
      <c r="X372" s="62" t="str">
        <f>IFERROR(VLOOKUP(Table2[[#This Row],[Reason]],'[2]New Reason code'!$B$2:$D$77,2,0),0)</f>
        <v>Due to operator</v>
      </c>
      <c r="Y372" s="62" t="str">
        <f>IFERROR(VLOOKUP(Table2[[#This Row],[Rejection Identified at]],'[2]New Reason code'!$C$2:$D$77,2,0),0)</f>
        <v xml:space="preserve">infrastructure </v>
      </c>
    </row>
    <row r="373" spans="1:25" ht="20.25" customHeight="1">
      <c r="A373" s="50">
        <v>369</v>
      </c>
      <c r="B373" s="62">
        <v>6</v>
      </c>
      <c r="C373" s="62" t="str">
        <f>IFERROR(VLOOKUP(Table2[[#This Row],[Code]],'[2]New Machine sheet'!$A$1:$D$101,2,0),0)</f>
        <v>282-06</v>
      </c>
      <c r="D373" s="62" t="str">
        <f>IFERROR(VLOOKUP(Table2[[#This Row],[M/c No]],'[2]New Machine sheet'!$B$1:$D$101,2,0),0)</f>
        <v>Mazak</v>
      </c>
      <c r="E373" s="62" t="str">
        <f>IFERROR(VLOOKUP(Table2[[#This Row],[M/c Name]],'[2]New Machine sheet'!$C$1:$D$101,2,0),0)</f>
        <v>Turning</v>
      </c>
      <c r="F373" s="62">
        <v>178</v>
      </c>
      <c r="G373" s="62">
        <f>IFERROR(VLOOKUP(Table2[[#This Row],[Code2]],'[2]New Machine sheet'!$F$2:$I$64,2,),0)</f>
        <v>24178</v>
      </c>
      <c r="H373" s="62" t="str">
        <f>IFERROR(VLOOKUP(Table2[[#This Row],[Code2]],'[2]New Machine sheet'!$F$2:$I$64,3,0),0)</f>
        <v>RE J1</v>
      </c>
      <c r="I373" s="62"/>
      <c r="J373" s="62">
        <v>5</v>
      </c>
      <c r="K373" s="62" t="str">
        <f>IFERROR(VLOOKUP(Table2[[#This Row],[Code3]],'[2]New defect code '!$A$2:$D$129,2,0),0)</f>
        <v>Bore Over size</v>
      </c>
      <c r="L373" s="62" t="s">
        <v>204</v>
      </c>
      <c r="M373" s="56">
        <v>46266</v>
      </c>
      <c r="N373" s="62"/>
      <c r="O373" s="62"/>
      <c r="P373" s="62">
        <v>5</v>
      </c>
      <c r="Q373" s="62"/>
      <c r="R373" s="62">
        <f>SUBTOTAL(9,Table2[[#This Row],[1st]:[FQC]])</f>
        <v>5</v>
      </c>
      <c r="S373" s="62">
        <f>IFERROR(VLOOKUP(Table2[[#This Row],[Part No.]],'[2]New Machine sheet'!$G$2:$I$90,3,0),0)</f>
        <v>70.62</v>
      </c>
      <c r="T373" s="62">
        <f>Table2[[#This Row],[cost per piece]]*Table2[[#This Row],[Total Rej. qty]]</f>
        <v>353.1</v>
      </c>
      <c r="U373" s="62">
        <f>IFERROR(VLOOKUP(Table2[[#This Row],[Non Conformance]],'[2]New defect code '!$B$2:$C$129,2,0),0)</f>
        <v>3243</v>
      </c>
      <c r="V373" s="62">
        <v>18</v>
      </c>
      <c r="W373" s="62" t="str">
        <f>IFERROR(VLOOKUP(Table2[[#This Row],[Code4]],'[2]New Reason code'!$A$2:$D$77,2,0),0)</f>
        <v>During insert change</v>
      </c>
      <c r="X373" s="62" t="str">
        <f>IFERROR(VLOOKUP(Table2[[#This Row],[Reason]],'[2]New Reason code'!$B$2:$D$77,2,0),0)</f>
        <v xml:space="preserve">Due to Settup  </v>
      </c>
      <c r="Y373" s="62" t="str">
        <f>IFERROR(VLOOKUP(Table2[[#This Row],[Rejection Identified at]],'[2]New Reason code'!$C$2:$D$77,2,0),0)</f>
        <v>skill</v>
      </c>
    </row>
    <row r="374" spans="1:25" ht="20.25" customHeight="1">
      <c r="A374" s="50">
        <v>370</v>
      </c>
      <c r="B374" s="62">
        <v>42</v>
      </c>
      <c r="C374" s="62" t="str">
        <f>IFERROR(VLOOKUP(Table2[[#This Row],[Code]],'[2]New Machine sheet'!$A$1:$D$101,2,0),0)</f>
        <v>252-04</v>
      </c>
      <c r="D374" s="62" t="str">
        <f>IFERROR(VLOOKUP(Table2[[#This Row],[M/c No]],'[2]New Machine sheet'!$B$1:$D$101,2,0),0)</f>
        <v>VMC</v>
      </c>
      <c r="E374" s="62" t="str">
        <f>IFERROR(VLOOKUP(Table2[[#This Row],[M/c Name]],'[2]New Machine sheet'!$C$1:$D$101,2,0),0)</f>
        <v>VMC</v>
      </c>
      <c r="F374" s="62">
        <v>154</v>
      </c>
      <c r="G374" s="62">
        <f>IFERROR(VLOOKUP(Table2[[#This Row],[Code2]],'[2]New Machine sheet'!$F$2:$I$64,2,),0)</f>
        <v>24154</v>
      </c>
      <c r="H374" s="62" t="str">
        <f>IFERROR(VLOOKUP(Table2[[#This Row],[Code2]],'[2]New Machine sheet'!$F$2:$I$64,3,0),0)</f>
        <v>RE J1</v>
      </c>
      <c r="I374" s="62"/>
      <c r="J374" s="62">
        <v>48</v>
      </c>
      <c r="K374" s="62" t="str">
        <f>IFERROR(VLOOKUP(Table2[[#This Row],[Code3]],'[2]New defect code '!$A$2:$D$129,2,0),0)</f>
        <v>Heavy Dot Punching</v>
      </c>
      <c r="L374" s="62" t="s">
        <v>204</v>
      </c>
      <c r="M374" s="56">
        <v>46266</v>
      </c>
      <c r="N374" s="62"/>
      <c r="O374" s="62"/>
      <c r="P374" s="62">
        <v>6</v>
      </c>
      <c r="Q374" s="62"/>
      <c r="R374" s="62">
        <f>SUBTOTAL(9,Table2[[#This Row],[1st]:[FQC]])</f>
        <v>6</v>
      </c>
      <c r="S374" s="62">
        <f>IFERROR(VLOOKUP(Table2[[#This Row],[Part No.]],'[2]New Machine sheet'!$G$2:$I$90,3,0),0)</f>
        <v>82.64</v>
      </c>
      <c r="T374" s="62">
        <f>Table2[[#This Row],[cost per piece]]*Table2[[#This Row],[Total Rej. qty]]</f>
        <v>495.84000000000003</v>
      </c>
      <c r="U374" s="62">
        <f>IFERROR(VLOOKUP(Table2[[#This Row],[Non Conformance]],'[2]New defect code '!$B$2:$C$129,2,0),0)</f>
        <v>3246</v>
      </c>
      <c r="V374" s="62">
        <v>22</v>
      </c>
      <c r="W374" s="62" t="str">
        <f>IFERROR(VLOOKUP(Table2[[#This Row],[Code4]],'[2]New Reason code'!$A$2:$D$77,2,0),0)</f>
        <v>during tool change</v>
      </c>
      <c r="X374" s="62" t="str">
        <f>IFERROR(VLOOKUP(Table2[[#This Row],[Reason]],'[2]New Reason code'!$B$2:$D$77,2,0),0)</f>
        <v>Prod Declared</v>
      </c>
      <c r="Y374" s="62" t="str">
        <f>IFERROR(VLOOKUP(Table2[[#This Row],[Rejection Identified at]],'[2]New Reason code'!$C$2:$D$77,2,0),0)</f>
        <v>Process Issue</v>
      </c>
    </row>
    <row r="375" spans="1:25" ht="20.25" customHeight="1">
      <c r="A375" s="60">
        <v>371</v>
      </c>
      <c r="B375" s="62">
        <v>35</v>
      </c>
      <c r="C375" s="62" t="str">
        <f>IFERROR(VLOOKUP(Table2[[#This Row],[Code]],'[2]New Machine sheet'!$A$1:$D$101,2,0),0)</f>
        <v>ACE-15</v>
      </c>
      <c r="D375" s="62" t="str">
        <f>IFERROR(VLOOKUP(Table2[[#This Row],[M/c No]],'[2]New Machine sheet'!$B$1:$D$101,2,0),0)</f>
        <v>Micromatic</v>
      </c>
      <c r="E375" s="62" t="str">
        <f>IFERROR(VLOOKUP(Table2[[#This Row],[M/c Name]],'[2]New Machine sheet'!$C$1:$D$101,2,0),0)</f>
        <v>Turning</v>
      </c>
      <c r="F375" s="62">
        <v>82</v>
      </c>
      <c r="G375" s="62">
        <f>IFERROR(VLOOKUP(Table2[[#This Row],[Code2]],'[2]New Machine sheet'!$F$2:$I$64,2,),0)</f>
        <v>2482</v>
      </c>
      <c r="H375" s="62" t="str">
        <f>IFERROR(VLOOKUP(Table2[[#This Row],[Code2]],'[2]New Machine sheet'!$F$2:$I$64,3,0),0)</f>
        <v>RE P1</v>
      </c>
      <c r="I375" s="62" t="s">
        <v>121</v>
      </c>
      <c r="J375" s="62">
        <v>66</v>
      </c>
      <c r="K375" s="62" t="str">
        <f>IFERROR(VLOOKUP(Table2[[#This Row],[Code3]],'[2]New defect code '!$A$2:$D$129,2,0),0)</f>
        <v>OD Under Size</v>
      </c>
      <c r="L375" s="62" t="s">
        <v>207</v>
      </c>
      <c r="M375" s="56">
        <v>46266</v>
      </c>
      <c r="N375" s="62">
        <v>1</v>
      </c>
      <c r="O375" s="62"/>
      <c r="P375" s="62"/>
      <c r="Q375" s="62"/>
      <c r="R375" s="62">
        <f>SUBTOTAL(9,Table2[[#This Row],[1st]:[FQC]])</f>
        <v>1</v>
      </c>
      <c r="S375" s="62">
        <f>IFERROR(VLOOKUP(Table2[[#This Row],[Part No.]],'[2]New Machine sheet'!$G$2:$I$90,3,0),0)</f>
        <v>303.45333333333332</v>
      </c>
      <c r="T375" s="62">
        <f>Table2[[#This Row],[cost per piece]]*Table2[[#This Row],[Total Rej. qty]]</f>
        <v>303.45333333333332</v>
      </c>
      <c r="U375" s="62">
        <f>IFERROR(VLOOKUP(Table2[[#This Row],[Non Conformance]],'[2]New defect code '!$B$2:$C$129,2,0),0)</f>
        <v>3242</v>
      </c>
      <c r="V375" s="62">
        <v>45</v>
      </c>
      <c r="W375" s="62" t="str">
        <f>IFERROR(VLOOKUP(Table2[[#This Row],[Code4]],'[2]New Reason code'!$A$2:$D$77,2,0),0)</f>
        <v>Running m/c</v>
      </c>
      <c r="X375" s="62" t="str">
        <f>IFERROR(VLOOKUP(Table2[[#This Row],[Reason]],'[2]New Reason code'!$B$2:$D$77,2,0),0)</f>
        <v xml:space="preserve">Due to machine </v>
      </c>
      <c r="Y375" s="62" t="str">
        <f>IFERROR(VLOOKUP(Table2[[#This Row],[Rejection Identified at]],'[2]New Reason code'!$C$2:$D$77,2,0),0)</f>
        <v>process</v>
      </c>
    </row>
    <row r="376" spans="1:25" ht="20.25" customHeight="1">
      <c r="A376" s="50">
        <v>372</v>
      </c>
      <c r="B376" s="62">
        <v>6</v>
      </c>
      <c r="C376" s="62" t="str">
        <f>IFERROR(VLOOKUP(Table2[[#This Row],[Code]],'[2]New Machine sheet'!$A$1:$D$101,2,0),0)</f>
        <v>282-06</v>
      </c>
      <c r="D376" s="62" t="str">
        <f>IFERROR(VLOOKUP(Table2[[#This Row],[M/c No]],'[2]New Machine sheet'!$B$1:$D$101,2,0),0)</f>
        <v>Mazak</v>
      </c>
      <c r="E376" s="62" t="str">
        <f>IFERROR(VLOOKUP(Table2[[#This Row],[M/c Name]],'[2]New Machine sheet'!$C$1:$D$101,2,0),0)</f>
        <v>Turning</v>
      </c>
      <c r="F376" s="62">
        <v>178</v>
      </c>
      <c r="G376" s="62">
        <f>IFERROR(VLOOKUP(Table2[[#This Row],[Code2]],'[2]New Machine sheet'!$F$2:$I$64,2,),0)</f>
        <v>24178</v>
      </c>
      <c r="H376" s="62" t="str">
        <f>IFERROR(VLOOKUP(Table2[[#This Row],[Code2]],'[2]New Machine sheet'!$F$2:$I$64,3,0),0)</f>
        <v>RE J1</v>
      </c>
      <c r="I376" s="62" t="s">
        <v>179</v>
      </c>
      <c r="J376" s="62">
        <v>5</v>
      </c>
      <c r="K376" s="62" t="str">
        <f>IFERROR(VLOOKUP(Table2[[#This Row],[Code3]],'[2]New defect code '!$A$2:$D$129,2,0),0)</f>
        <v>Bore Over size</v>
      </c>
      <c r="L376" s="62" t="s">
        <v>207</v>
      </c>
      <c r="M376" s="56">
        <v>46266</v>
      </c>
      <c r="N376" s="62">
        <v>12</v>
      </c>
      <c r="O376" s="62"/>
      <c r="P376" s="62"/>
      <c r="Q376" s="62"/>
      <c r="R376" s="62">
        <f>SUBTOTAL(9,Table2[[#This Row],[1st]:[FQC]])</f>
        <v>12</v>
      </c>
      <c r="S376" s="62">
        <f>IFERROR(VLOOKUP(Table2[[#This Row],[Part No.]],'[2]New Machine sheet'!$G$2:$I$90,3,0),0)</f>
        <v>70.62</v>
      </c>
      <c r="T376" s="62">
        <f>Table2[[#This Row],[cost per piece]]*Table2[[#This Row],[Total Rej. qty]]</f>
        <v>847.44</v>
      </c>
      <c r="U376" s="62">
        <f>IFERROR(VLOOKUP(Table2[[#This Row],[Non Conformance]],'[2]New defect code '!$B$2:$C$129,2,0),0)</f>
        <v>3243</v>
      </c>
      <c r="V376" s="62">
        <v>70</v>
      </c>
      <c r="W376" s="62" t="str">
        <f>IFERROR(VLOOKUP(Table2[[#This Row],[Code4]],'[2]New Reason code'!$A$2:$D$77,2,0),0)</f>
        <v>Insert Wear Out</v>
      </c>
      <c r="X376" s="62" t="str">
        <f>IFERROR(VLOOKUP(Table2[[#This Row],[Reason]],'[2]New Reason code'!$B$2:$D$77,2,0),0)</f>
        <v>Line audit</v>
      </c>
      <c r="Y376" s="62" t="str">
        <f>IFERROR(VLOOKUP(Table2[[#This Row],[Rejection Identified at]],'[2]New Reason code'!$C$2:$D$77,2,0),0)</f>
        <v>Process Issue</v>
      </c>
    </row>
    <row r="377" spans="1:25" ht="20.25" customHeight="1">
      <c r="A377" s="50">
        <v>373</v>
      </c>
      <c r="B377" s="62">
        <v>18</v>
      </c>
      <c r="C377" s="62" t="str">
        <f>IFERROR(VLOOKUP(Table2[[#This Row],[Code]],'[2]New Machine sheet'!$A$1:$D$101,2,0),0)</f>
        <v>282-18</v>
      </c>
      <c r="D377" s="62" t="str">
        <f>IFERROR(VLOOKUP(Table2[[#This Row],[M/c No]],'[2]New Machine sheet'!$B$1:$D$101,2,0),0)</f>
        <v>Mazak</v>
      </c>
      <c r="E377" s="62" t="str">
        <f>IFERROR(VLOOKUP(Table2[[#This Row],[M/c Name]],'[2]New Machine sheet'!$C$1:$D$101,2,0),0)</f>
        <v>Turning</v>
      </c>
      <c r="F377" s="62">
        <v>178</v>
      </c>
      <c r="G377" s="62">
        <f>IFERROR(VLOOKUP(Table2[[#This Row],[Code2]],'[2]New Machine sheet'!$F$2:$I$64,2,),0)</f>
        <v>24178</v>
      </c>
      <c r="H377" s="62" t="str">
        <f>IFERROR(VLOOKUP(Table2[[#This Row],[Code2]],'[2]New Machine sheet'!$F$2:$I$64,3,0),0)</f>
        <v>RE J1</v>
      </c>
      <c r="I377" s="62" t="s">
        <v>186</v>
      </c>
      <c r="J377" s="62">
        <v>5</v>
      </c>
      <c r="K377" s="62" t="str">
        <f>IFERROR(VLOOKUP(Table2[[#This Row],[Code3]],'[2]New defect code '!$A$2:$D$129,2,0),0)</f>
        <v>Bore Over size</v>
      </c>
      <c r="L377" s="62" t="s">
        <v>207</v>
      </c>
      <c r="M377" s="56">
        <v>46266</v>
      </c>
      <c r="N377" s="62">
        <v>12</v>
      </c>
      <c r="O377" s="62"/>
      <c r="P377" s="62"/>
      <c r="Q377" s="62"/>
      <c r="R377" s="62">
        <f>SUBTOTAL(9,Table2[[#This Row],[1st]:[FQC]])</f>
        <v>12</v>
      </c>
      <c r="S377" s="62">
        <f>IFERROR(VLOOKUP(Table2[[#This Row],[Part No.]],'[2]New Machine sheet'!$G$2:$I$90,3,0),0)</f>
        <v>70.62</v>
      </c>
      <c r="T377" s="62">
        <f>Table2[[#This Row],[cost per piece]]*Table2[[#This Row],[Total Rej. qty]]</f>
        <v>847.44</v>
      </c>
      <c r="U377" s="62">
        <f>IFERROR(VLOOKUP(Table2[[#This Row],[Non Conformance]],'[2]New defect code '!$B$2:$C$129,2,0),0)</f>
        <v>3243</v>
      </c>
      <c r="V377" s="62">
        <v>19</v>
      </c>
      <c r="W377" s="62" t="str">
        <f>IFERROR(VLOOKUP(Table2[[#This Row],[Code4]],'[2]New Reason code'!$A$2:$D$77,2,0),0)</f>
        <v>During Rework time</v>
      </c>
      <c r="X377" s="62" t="str">
        <f>IFERROR(VLOOKUP(Table2[[#This Row],[Reason]],'[2]New Reason code'!$B$2:$D$77,2,0),0)</f>
        <v>Due to operator</v>
      </c>
      <c r="Y377" s="62" t="str">
        <f>IFERROR(VLOOKUP(Table2[[#This Row],[Rejection Identified at]],'[2]New Reason code'!$C$2:$D$77,2,0),0)</f>
        <v xml:space="preserve">infrastructure </v>
      </c>
    </row>
    <row r="378" spans="1:25" ht="20.25" customHeight="1">
      <c r="A378" s="60">
        <v>374</v>
      </c>
      <c r="B378" s="62">
        <v>43</v>
      </c>
      <c r="C378" s="62" t="str">
        <f>IFERROR(VLOOKUP(Table2[[#This Row],[Code]],'[2]New Machine sheet'!$A$1:$D$101,2,0),0)</f>
        <v>252-05</v>
      </c>
      <c r="D378" s="62" t="str">
        <f>IFERROR(VLOOKUP(Table2[[#This Row],[M/c No]],'[2]New Machine sheet'!$B$1:$D$101,2,0),0)</f>
        <v>VMC</v>
      </c>
      <c r="E378" s="62" t="str">
        <f>IFERROR(VLOOKUP(Table2[[#This Row],[M/c Name]],'[2]New Machine sheet'!$C$1:$D$101,2,0),0)</f>
        <v>VMC</v>
      </c>
      <c r="F378" s="62">
        <v>155</v>
      </c>
      <c r="G378" s="62">
        <f>IFERROR(VLOOKUP(Table2[[#This Row],[Code2]],'[2]New Machine sheet'!$F$2:$I$64,2,),0)</f>
        <v>24155</v>
      </c>
      <c r="H378" s="62" t="str">
        <f>IFERROR(VLOOKUP(Table2[[#This Row],[Code2]],'[2]New Machine sheet'!$F$2:$I$64,3,0),0)</f>
        <v>RE J1</v>
      </c>
      <c r="I378" s="62" t="s">
        <v>119</v>
      </c>
      <c r="J378" s="62">
        <v>48</v>
      </c>
      <c r="K378" s="62" t="str">
        <f>IFERROR(VLOOKUP(Table2[[#This Row],[Code3]],'[2]New defect code '!$A$2:$D$129,2,0),0)</f>
        <v>Heavy Dot Punching</v>
      </c>
      <c r="L378" s="62" t="s">
        <v>207</v>
      </c>
      <c r="M378" s="56">
        <v>46266</v>
      </c>
      <c r="N378" s="62">
        <v>3</v>
      </c>
      <c r="O378" s="62"/>
      <c r="P378" s="62"/>
      <c r="Q378" s="62"/>
      <c r="R378" s="62">
        <f>SUBTOTAL(9,Table2[[#This Row],[1st]:[FQC]])</f>
        <v>3</v>
      </c>
      <c r="S378" s="62">
        <f>IFERROR(VLOOKUP(Table2[[#This Row],[Part No.]],'[2]New Machine sheet'!$G$2:$I$90,3,0),0)</f>
        <v>107.67</v>
      </c>
      <c r="T378" s="62">
        <f>Table2[[#This Row],[cost per piece]]*Table2[[#This Row],[Total Rej. qty]]</f>
        <v>323.01</v>
      </c>
      <c r="U378" s="62">
        <f>IFERROR(VLOOKUP(Table2[[#This Row],[Non Conformance]],'[2]New defect code '!$B$2:$C$129,2,0),0)</f>
        <v>3246</v>
      </c>
      <c r="V378" s="62">
        <v>22</v>
      </c>
      <c r="W378" s="62" t="str">
        <f>IFERROR(VLOOKUP(Table2[[#This Row],[Code4]],'[2]New Reason code'!$A$2:$D$77,2,0),0)</f>
        <v>during tool change</v>
      </c>
      <c r="X378" s="62" t="str">
        <f>IFERROR(VLOOKUP(Table2[[#This Row],[Reason]],'[2]New Reason code'!$B$2:$D$77,2,0),0)</f>
        <v>Prod Declared</v>
      </c>
      <c r="Y378" s="62" t="str">
        <f>IFERROR(VLOOKUP(Table2[[#This Row],[Rejection Identified at]],'[2]New Reason code'!$C$2:$D$77,2,0),0)</f>
        <v>Process Issue</v>
      </c>
    </row>
    <row r="379" spans="1:25" ht="20.25" customHeight="1">
      <c r="A379" s="50">
        <v>375</v>
      </c>
      <c r="B379" s="62">
        <v>19</v>
      </c>
      <c r="C379" s="62" t="str">
        <f>IFERROR(VLOOKUP(Table2[[#This Row],[Code]],'[2]New Machine sheet'!$A$1:$D$101,2,0),0)</f>
        <v>282-19</v>
      </c>
      <c r="D379" s="62" t="str">
        <f>IFERROR(VLOOKUP(Table2[[#This Row],[M/c No]],'[2]New Machine sheet'!$B$1:$D$101,2,0),0)</f>
        <v>Mazak</v>
      </c>
      <c r="E379" s="62" t="str">
        <f>IFERROR(VLOOKUP(Table2[[#This Row],[M/c Name]],'[2]New Machine sheet'!$C$1:$D$101,2,0),0)</f>
        <v>Turning</v>
      </c>
      <c r="F379" s="62">
        <v>65</v>
      </c>
      <c r="G379" s="62">
        <f>IFERROR(VLOOKUP(Table2[[#This Row],[Code2]],'[2]New Machine sheet'!$F$2:$I$64,2,),0)</f>
        <v>2465</v>
      </c>
      <c r="H379" s="62" t="str">
        <f>IFERROR(VLOOKUP(Table2[[#This Row],[Code2]],'[2]New Machine sheet'!$F$2:$I$64,3,0),0)</f>
        <v>RE D1</v>
      </c>
      <c r="I379" s="62" t="s">
        <v>141</v>
      </c>
      <c r="J379" s="62">
        <v>66</v>
      </c>
      <c r="K379" s="62" t="str">
        <f>IFERROR(VLOOKUP(Table2[[#This Row],[Code3]],'[2]New defect code '!$A$2:$D$129,2,0),0)</f>
        <v>OD Under Size</v>
      </c>
      <c r="L379" s="62" t="s">
        <v>207</v>
      </c>
      <c r="M379" s="56">
        <v>46266</v>
      </c>
      <c r="N379" s="62">
        <v>1</v>
      </c>
      <c r="O379" s="62"/>
      <c r="P379" s="62"/>
      <c r="Q379" s="62"/>
      <c r="R379" s="62">
        <f>SUBTOTAL(9,Table2[[#This Row],[1st]:[FQC]])</f>
        <v>1</v>
      </c>
      <c r="S379" s="62">
        <f>IFERROR(VLOOKUP(Table2[[#This Row],[Part No.]],'[2]New Machine sheet'!$G$2:$I$90,3,0),0)</f>
        <v>245.64500000000001</v>
      </c>
      <c r="T379" s="62">
        <f>Table2[[#This Row],[cost per piece]]*Table2[[#This Row],[Total Rej. qty]]</f>
        <v>245.64500000000001</v>
      </c>
      <c r="U379" s="62">
        <f>IFERROR(VLOOKUP(Table2[[#This Row],[Non Conformance]],'[2]New defect code '!$B$2:$C$129,2,0),0)</f>
        <v>3242</v>
      </c>
      <c r="V379" s="62">
        <v>45</v>
      </c>
      <c r="W379" s="62" t="str">
        <f>IFERROR(VLOOKUP(Table2[[#This Row],[Code4]],'[2]New Reason code'!$A$2:$D$77,2,0),0)</f>
        <v>Running m/c</v>
      </c>
      <c r="X379" s="62" t="str">
        <f>IFERROR(VLOOKUP(Table2[[#This Row],[Reason]],'[2]New Reason code'!$B$2:$D$77,2,0),0)</f>
        <v xml:space="preserve">Due to machine </v>
      </c>
      <c r="Y379" s="62" t="str">
        <f>IFERROR(VLOOKUP(Table2[[#This Row],[Rejection Identified at]],'[2]New Reason code'!$C$2:$D$77,2,0),0)</f>
        <v>process</v>
      </c>
    </row>
    <row r="380" spans="1:25" ht="20.25" customHeight="1">
      <c r="A380" s="50">
        <v>376</v>
      </c>
      <c r="B380" s="62">
        <v>3</v>
      </c>
      <c r="C380" s="62" t="str">
        <f>IFERROR(VLOOKUP(Table2[[#This Row],[Code]],'[2]New Machine sheet'!$A$1:$D$101,2,0),0)</f>
        <v>282-03</v>
      </c>
      <c r="D380" s="62" t="str">
        <f>IFERROR(VLOOKUP(Table2[[#This Row],[M/c No]],'[2]New Machine sheet'!$B$1:$D$101,2,0),0)</f>
        <v>Mazak</v>
      </c>
      <c r="E380" s="62" t="str">
        <f>IFERROR(VLOOKUP(Table2[[#This Row],[M/c Name]],'[2]New Machine sheet'!$C$1:$D$101,2,0),0)</f>
        <v>Turning</v>
      </c>
      <c r="F380" s="62">
        <v>117</v>
      </c>
      <c r="G380" s="62">
        <f>IFERROR(VLOOKUP(Table2[[#This Row],[Code2]],'[2]New Machine sheet'!$F$2:$I$64,2,),0)</f>
        <v>24117</v>
      </c>
      <c r="H380" s="62" t="str">
        <f>IFERROR(VLOOKUP(Table2[[#This Row],[Code2]],'[2]New Machine sheet'!$F$2:$I$64,3,0),0)</f>
        <v>RE J1</v>
      </c>
      <c r="I380" s="62"/>
      <c r="J380" s="62">
        <v>5</v>
      </c>
      <c r="K380" s="62" t="str">
        <f>IFERROR(VLOOKUP(Table2[[#This Row],[Code3]],'[2]New defect code '!$A$2:$D$129,2,0),0)</f>
        <v>Bore Over size</v>
      </c>
      <c r="L380" s="62" t="s">
        <v>207</v>
      </c>
      <c r="M380" s="56">
        <v>46266</v>
      </c>
      <c r="N380" s="62">
        <v>9</v>
      </c>
      <c r="O380" s="62"/>
      <c r="P380" s="62"/>
      <c r="Q380" s="62"/>
      <c r="R380" s="62">
        <f>SUBTOTAL(9,Table2[[#This Row],[1st]:[FQC]])</f>
        <v>9</v>
      </c>
      <c r="S380" s="62">
        <f>IFERROR(VLOOKUP(Table2[[#This Row],[Part No.]],'[2]New Machine sheet'!$G$2:$I$90,3,0),0)</f>
        <v>111.97</v>
      </c>
      <c r="T380" s="62">
        <f>Table2[[#This Row],[cost per piece]]*Table2[[#This Row],[Total Rej. qty]]</f>
        <v>1007.73</v>
      </c>
      <c r="U380" s="62">
        <f>IFERROR(VLOOKUP(Table2[[#This Row],[Non Conformance]],'[2]New defect code '!$B$2:$C$129,2,0),0)</f>
        <v>3243</v>
      </c>
      <c r="V380" s="62">
        <v>18</v>
      </c>
      <c r="W380" s="62" t="str">
        <f>IFERROR(VLOOKUP(Table2[[#This Row],[Code4]],'[2]New Reason code'!$A$2:$D$77,2,0),0)</f>
        <v>During insert change</v>
      </c>
      <c r="X380" s="62" t="str">
        <f>IFERROR(VLOOKUP(Table2[[#This Row],[Reason]],'[2]New Reason code'!$B$2:$D$77,2,0),0)</f>
        <v xml:space="preserve">Due to Settup  </v>
      </c>
      <c r="Y380" s="62" t="str">
        <f>IFERROR(VLOOKUP(Table2[[#This Row],[Rejection Identified at]],'[2]New Reason code'!$C$2:$D$77,2,0),0)</f>
        <v>skill</v>
      </c>
    </row>
    <row r="381" spans="1:25" ht="20.25" customHeight="1">
      <c r="A381" s="60">
        <v>377</v>
      </c>
      <c r="B381" s="62">
        <v>39</v>
      </c>
      <c r="C381" s="62" t="str">
        <f>IFERROR(VLOOKUP(Table2[[#This Row],[Code]],'[2]New Machine sheet'!$A$1:$D$101,2,0),0)</f>
        <v>ACE-19</v>
      </c>
      <c r="D381" s="62" t="str">
        <f>IFERROR(VLOOKUP(Table2[[#This Row],[M/c No]],'[2]New Machine sheet'!$B$1:$D$101,2,0),0)</f>
        <v>Micromatic</v>
      </c>
      <c r="E381" s="62" t="str">
        <f>IFERROR(VLOOKUP(Table2[[#This Row],[M/c Name]],'[2]New Machine sheet'!$C$1:$D$101,2,0),0)</f>
        <v>Turning</v>
      </c>
      <c r="F381" s="62">
        <v>117</v>
      </c>
      <c r="G381" s="62">
        <f>IFERROR(VLOOKUP(Table2[[#This Row],[Code2]],'[2]New Machine sheet'!$F$2:$I$64,2,),0)</f>
        <v>24117</v>
      </c>
      <c r="H381" s="62" t="str">
        <f>IFERROR(VLOOKUP(Table2[[#This Row],[Code2]],'[2]New Machine sheet'!$F$2:$I$64,3,0),0)</f>
        <v>RE J1</v>
      </c>
      <c r="I381" s="62"/>
      <c r="J381" s="62">
        <v>5</v>
      </c>
      <c r="K381" s="62" t="str">
        <f>IFERROR(VLOOKUP(Table2[[#This Row],[Code3]],'[2]New defect code '!$A$2:$D$129,2,0),0)</f>
        <v>Bore Over size</v>
      </c>
      <c r="L381" s="62" t="s">
        <v>207</v>
      </c>
      <c r="M381" s="56">
        <v>46266</v>
      </c>
      <c r="N381" s="62">
        <v>9</v>
      </c>
      <c r="O381" s="62"/>
      <c r="P381" s="62"/>
      <c r="Q381" s="62"/>
      <c r="R381" s="62">
        <f>SUBTOTAL(9,Table2[[#This Row],[1st]:[FQC]])</f>
        <v>9</v>
      </c>
      <c r="S381" s="62">
        <f>IFERROR(VLOOKUP(Table2[[#This Row],[Part No.]],'[2]New Machine sheet'!$G$2:$I$90,3,0),0)</f>
        <v>111.97</v>
      </c>
      <c r="T381" s="62">
        <f>Table2[[#This Row],[cost per piece]]*Table2[[#This Row],[Total Rej. qty]]</f>
        <v>1007.73</v>
      </c>
      <c r="U381" s="62">
        <f>IFERROR(VLOOKUP(Table2[[#This Row],[Non Conformance]],'[2]New defect code '!$B$2:$C$129,2,0),0)</f>
        <v>3243</v>
      </c>
      <c r="V381" s="62">
        <v>18</v>
      </c>
      <c r="W381" s="62" t="str">
        <f>IFERROR(VLOOKUP(Table2[[#This Row],[Code4]],'[2]New Reason code'!$A$2:$D$77,2,0),0)</f>
        <v>During insert change</v>
      </c>
      <c r="X381" s="62" t="str">
        <f>IFERROR(VLOOKUP(Table2[[#This Row],[Reason]],'[2]New Reason code'!$B$2:$D$77,2,0),0)</f>
        <v xml:space="preserve">Due to Settup  </v>
      </c>
      <c r="Y381" s="62" t="str">
        <f>IFERROR(VLOOKUP(Table2[[#This Row],[Rejection Identified at]],'[2]New Reason code'!$C$2:$D$77,2,0),0)</f>
        <v>skill</v>
      </c>
    </row>
    <row r="382" spans="1:25" ht="20.25" customHeight="1">
      <c r="A382" s="50">
        <v>378</v>
      </c>
      <c r="B382" s="62">
        <v>12</v>
      </c>
      <c r="C382" s="62" t="str">
        <f>IFERROR(VLOOKUP(Table2[[#This Row],[Code]],'[2]New Machine sheet'!$A$1:$D$101,2,0),0)</f>
        <v>282-12</v>
      </c>
      <c r="D382" s="62" t="str">
        <f>IFERROR(VLOOKUP(Table2[[#This Row],[M/c No]],'[2]New Machine sheet'!$B$1:$D$101,2,0),0)</f>
        <v>Mazak</v>
      </c>
      <c r="E382" s="62" t="str">
        <f>IFERROR(VLOOKUP(Table2[[#This Row],[M/c Name]],'[2]New Machine sheet'!$C$1:$D$101,2,0),0)</f>
        <v>Turning</v>
      </c>
      <c r="F382" s="62">
        <v>121</v>
      </c>
      <c r="G382" s="62">
        <f>IFERROR(VLOOKUP(Table2[[#This Row],[Code2]],'[2]New Machine sheet'!$F$2:$I$64,2,),0)</f>
        <v>24121</v>
      </c>
      <c r="H382" s="62" t="str">
        <f>IFERROR(VLOOKUP(Table2[[#This Row],[Code2]],'[2]New Machine sheet'!$F$2:$I$64,3,0),0)</f>
        <v>RE J1</v>
      </c>
      <c r="I382" s="62"/>
      <c r="J382" s="62">
        <v>40</v>
      </c>
      <c r="K382" s="62" t="str">
        <f>IFERROR(VLOOKUP(Table2[[#This Row],[Code3]],'[2]New defect code '!$A$2:$D$129,2,0),0)</f>
        <v>FACE Damage</v>
      </c>
      <c r="L382" s="62" t="s">
        <v>207</v>
      </c>
      <c r="M382" s="56">
        <v>46266</v>
      </c>
      <c r="N382" s="62">
        <v>2</v>
      </c>
      <c r="O382" s="62"/>
      <c r="P382" s="62"/>
      <c r="Q382" s="62"/>
      <c r="R382" s="62">
        <f>SUBTOTAL(9,Table2[[#This Row],[1st]:[FQC]])</f>
        <v>2</v>
      </c>
      <c r="S382" s="62">
        <f>IFERROR(VLOOKUP(Table2[[#This Row],[Part No.]],'[2]New Machine sheet'!$G$2:$I$90,3,0),0)</f>
        <v>135.66999999999999</v>
      </c>
      <c r="T382" s="62">
        <f>Table2[[#This Row],[cost per piece]]*Table2[[#This Row],[Total Rej. qty]]</f>
        <v>271.33999999999997</v>
      </c>
      <c r="U382" s="62">
        <f>IFERROR(VLOOKUP(Table2[[#This Row],[Non Conformance]],'[2]New defect code '!$B$2:$C$129,2,0),0)</f>
        <v>3229</v>
      </c>
      <c r="V382" s="62">
        <v>66</v>
      </c>
      <c r="W382" s="62" t="str">
        <f>IFERROR(VLOOKUP(Table2[[#This Row],[Code4]],'[2]New Reason code'!$A$2:$D$77,2,0),0)</f>
        <v>Wrong Loading</v>
      </c>
      <c r="X382" s="62" t="str">
        <f>IFERROR(VLOOKUP(Table2[[#This Row],[Reason]],'[2]New Reason code'!$B$2:$D$77,2,0),0)</f>
        <v>Due to operator</v>
      </c>
      <c r="Y382" s="62" t="str">
        <f>IFERROR(VLOOKUP(Table2[[#This Row],[Rejection Identified at]],'[2]New Reason code'!$C$2:$D$77,2,0),0)</f>
        <v xml:space="preserve">infrastructure </v>
      </c>
    </row>
    <row r="383" spans="1:25" ht="20.25" customHeight="1">
      <c r="A383" s="50">
        <v>379</v>
      </c>
      <c r="B383" s="62">
        <v>12</v>
      </c>
      <c r="C383" s="62" t="str">
        <f>IFERROR(VLOOKUP(Table2[[#This Row],[Code]],'[2]New Machine sheet'!$A$1:$D$101,2,0),0)</f>
        <v>282-12</v>
      </c>
      <c r="D383" s="62" t="str">
        <f>IFERROR(VLOOKUP(Table2[[#This Row],[M/c No]],'[2]New Machine sheet'!$B$1:$D$101,2,0),0)</f>
        <v>Mazak</v>
      </c>
      <c r="E383" s="62" t="str">
        <f>IFERROR(VLOOKUP(Table2[[#This Row],[M/c Name]],'[2]New Machine sheet'!$C$1:$D$101,2,0),0)</f>
        <v>Turning</v>
      </c>
      <c r="F383" s="62">
        <v>195</v>
      </c>
      <c r="G383" s="62">
        <f>IFERROR(VLOOKUP(Table2[[#This Row],[Code2]],'[2]New Machine sheet'!$F$2:$I$64,2,),0)</f>
        <v>24195</v>
      </c>
      <c r="H383" s="62" t="str">
        <f>IFERROR(VLOOKUP(Table2[[#This Row],[Code2]],'[2]New Machine sheet'!$F$2:$I$64,3,0),0)</f>
        <v>RE Bush</v>
      </c>
      <c r="I383" s="62"/>
      <c r="J383" s="62">
        <v>21</v>
      </c>
      <c r="K383" s="62" t="str">
        <f>IFERROR(VLOOKUP(Table2[[#This Row],[Code3]],'[2]New defect code '!$A$2:$D$129,2,0),0)</f>
        <v>Bush Reject of defective part</v>
      </c>
      <c r="L383" s="62" t="s">
        <v>207</v>
      </c>
      <c r="M383" s="56">
        <v>46266</v>
      </c>
      <c r="N383" s="62">
        <v>2</v>
      </c>
      <c r="O383" s="62"/>
      <c r="P383" s="62"/>
      <c r="Q383" s="62"/>
      <c r="R383" s="62">
        <f>SUBTOTAL(9,Table2[[#This Row],[1st]:[FQC]])</f>
        <v>2</v>
      </c>
      <c r="S383" s="62">
        <f>IFERROR(VLOOKUP(Table2[[#This Row],[Part No.]],'[2]New Machine sheet'!$G$2:$I$90,3,0),0)</f>
        <v>16.39</v>
      </c>
      <c r="T383" s="62">
        <f>Table2[[#This Row],[cost per piece]]*Table2[[#This Row],[Total Rej. qty]]</f>
        <v>32.78</v>
      </c>
      <c r="U383" s="62">
        <f>IFERROR(VLOOKUP(Table2[[#This Row],[Non Conformance]],'[2]New defect code '!$B$2:$C$129,2,0),0)</f>
        <v>0</v>
      </c>
      <c r="V383" s="62">
        <v>6</v>
      </c>
      <c r="W383" s="62" t="str">
        <f>IFERROR(VLOOKUP(Table2[[#This Row],[Code4]],'[2]New Reason code'!$A$2:$D$77,2,0),0)</f>
        <v>bush will not use again</v>
      </c>
      <c r="X383" s="62" t="str">
        <f>IFERROR(VLOOKUP(Table2[[#This Row],[Reason]],'[2]New Reason code'!$B$2:$D$77,2,0),0)</f>
        <v>Prod Declared</v>
      </c>
      <c r="Y383" s="62" t="str">
        <f>IFERROR(VLOOKUP(Table2[[#This Row],[Rejection Identified at]],'[2]New Reason code'!$C$2:$D$77,2,0),0)</f>
        <v>Process Issue</v>
      </c>
    </row>
    <row r="384" spans="1:25" ht="20.25" customHeight="1">
      <c r="A384" s="60">
        <v>380</v>
      </c>
      <c r="B384" s="62">
        <v>39</v>
      </c>
      <c r="C384" s="62" t="str">
        <f>IFERROR(VLOOKUP(Table2[[#This Row],[Code]],'[2]New Machine sheet'!$A$1:$D$101,2,0),0)</f>
        <v>ACE-19</v>
      </c>
      <c r="D384" s="62" t="str">
        <f>IFERROR(VLOOKUP(Table2[[#This Row],[M/c No]],'[2]New Machine sheet'!$B$1:$D$101,2,0),0)</f>
        <v>Micromatic</v>
      </c>
      <c r="E384" s="62" t="str">
        <f>IFERROR(VLOOKUP(Table2[[#This Row],[M/c Name]],'[2]New Machine sheet'!$C$1:$D$101,2,0),0)</f>
        <v>Turning</v>
      </c>
      <c r="F384" s="62">
        <v>117</v>
      </c>
      <c r="G384" s="62">
        <f>IFERROR(VLOOKUP(Table2[[#This Row],[Code2]],'[2]New Machine sheet'!$F$2:$I$64,2,),0)</f>
        <v>24117</v>
      </c>
      <c r="H384" s="62" t="str">
        <f>IFERROR(VLOOKUP(Table2[[#This Row],[Code2]],'[2]New Machine sheet'!$F$2:$I$64,3,0),0)</f>
        <v>RE J1</v>
      </c>
      <c r="I384" s="62" t="s">
        <v>209</v>
      </c>
      <c r="J384" s="62">
        <v>93</v>
      </c>
      <c r="K384" s="62" t="str">
        <f>IFERROR(VLOOKUP(Table2[[#This Row],[Code3]],'[2]New defect code '!$A$2:$D$129,2,0),0)</f>
        <v>Thickness Under size</v>
      </c>
      <c r="L384" s="62" t="s">
        <v>207</v>
      </c>
      <c r="M384" s="56">
        <v>46266</v>
      </c>
      <c r="N384" s="62">
        <v>9</v>
      </c>
      <c r="O384" s="62"/>
      <c r="P384" s="62"/>
      <c r="Q384" s="62"/>
      <c r="R384" s="62">
        <f>SUBTOTAL(9,Table2[[#This Row],[1st]:[FQC]])</f>
        <v>9</v>
      </c>
      <c r="S384" s="62">
        <f>IFERROR(VLOOKUP(Table2[[#This Row],[Part No.]],'[2]New Machine sheet'!$G$2:$I$90,3,0),0)</f>
        <v>111.97</v>
      </c>
      <c r="T384" s="62">
        <f>Table2[[#This Row],[cost per piece]]*Table2[[#This Row],[Total Rej. qty]]</f>
        <v>1007.73</v>
      </c>
      <c r="U384" s="62">
        <f>IFERROR(VLOOKUP(Table2[[#This Row],[Non Conformance]],'[2]New defect code '!$B$2:$C$129,2,0),0)</f>
        <v>3258</v>
      </c>
      <c r="V384" s="62">
        <v>17</v>
      </c>
      <c r="W384" s="62" t="str">
        <f>IFERROR(VLOOKUP(Table2[[#This Row],[Code4]],'[2]New Reason code'!$A$2:$D$77,2,0),0)</f>
        <v>during insert broken</v>
      </c>
      <c r="X384" s="62" t="str">
        <f>IFERROR(VLOOKUP(Table2[[#This Row],[Reason]],'[2]New Reason code'!$B$2:$D$77,2,0),0)</f>
        <v>Line audit</v>
      </c>
      <c r="Y384" s="62" t="str">
        <f>IFERROR(VLOOKUP(Table2[[#This Row],[Rejection Identified at]],'[2]New Reason code'!$C$2:$D$77,2,0),0)</f>
        <v>Process Issue</v>
      </c>
    </row>
    <row r="385" spans="1:25" ht="20.25" customHeight="1">
      <c r="A385" s="50">
        <v>381</v>
      </c>
      <c r="B385" s="62">
        <v>8</v>
      </c>
      <c r="C385" s="62" t="str">
        <f>IFERROR(VLOOKUP(Table2[[#This Row],[Code]],'[2]New Machine sheet'!$A$1:$D$101,2,0),0)</f>
        <v>282-08</v>
      </c>
      <c r="D385" s="62" t="str">
        <f>IFERROR(VLOOKUP(Table2[[#This Row],[M/c No]],'[2]New Machine sheet'!$B$1:$D$101,2,0),0)</f>
        <v>Mazak</v>
      </c>
      <c r="E385" s="62" t="str">
        <f>IFERROR(VLOOKUP(Table2[[#This Row],[M/c Name]],'[2]New Machine sheet'!$C$1:$D$101,2,0),0)</f>
        <v>Turning</v>
      </c>
      <c r="F385" s="62">
        <v>117</v>
      </c>
      <c r="G385" s="62">
        <f>IFERROR(VLOOKUP(Table2[[#This Row],[Code2]],'[2]New Machine sheet'!$F$2:$I$64,2,),0)</f>
        <v>24117</v>
      </c>
      <c r="H385" s="62" t="str">
        <f>IFERROR(VLOOKUP(Table2[[#This Row],[Code2]],'[2]New Machine sheet'!$F$2:$I$64,3,0),0)</f>
        <v>RE J1</v>
      </c>
      <c r="I385" s="62" t="s">
        <v>209</v>
      </c>
      <c r="J385" s="62">
        <v>93</v>
      </c>
      <c r="K385" s="62" t="str">
        <f>IFERROR(VLOOKUP(Table2[[#This Row],[Code3]],'[2]New defect code '!$A$2:$D$129,2,0),0)</f>
        <v>Thickness Under size</v>
      </c>
      <c r="L385" s="62" t="s">
        <v>207</v>
      </c>
      <c r="M385" s="56">
        <v>46266</v>
      </c>
      <c r="N385" s="62">
        <v>9</v>
      </c>
      <c r="O385" s="62"/>
      <c r="P385" s="62"/>
      <c r="Q385" s="62"/>
      <c r="R385" s="62">
        <f>SUBTOTAL(9,Table2[[#This Row],[1st]:[FQC]])</f>
        <v>9</v>
      </c>
      <c r="S385" s="62">
        <f>IFERROR(VLOOKUP(Table2[[#This Row],[Part No.]],'[2]New Machine sheet'!$G$2:$I$90,3,0),0)</f>
        <v>111.97</v>
      </c>
      <c r="T385" s="62">
        <f>Table2[[#This Row],[cost per piece]]*Table2[[#This Row],[Total Rej. qty]]</f>
        <v>1007.73</v>
      </c>
      <c r="U385" s="62">
        <f>IFERROR(VLOOKUP(Table2[[#This Row],[Non Conformance]],'[2]New defect code '!$B$2:$C$129,2,0),0)</f>
        <v>3258</v>
      </c>
      <c r="V385" s="62">
        <v>17</v>
      </c>
      <c r="W385" s="62" t="str">
        <f>IFERROR(VLOOKUP(Table2[[#This Row],[Code4]],'[2]New Reason code'!$A$2:$D$77,2,0),0)</f>
        <v>during insert broken</v>
      </c>
      <c r="X385" s="62" t="str">
        <f>IFERROR(VLOOKUP(Table2[[#This Row],[Reason]],'[2]New Reason code'!$B$2:$D$77,2,0),0)</f>
        <v>Line audit</v>
      </c>
      <c r="Y385" s="62" t="str">
        <f>IFERROR(VLOOKUP(Table2[[#This Row],[Rejection Identified at]],'[2]New Reason code'!$C$2:$D$77,2,0),0)</f>
        <v>Process Issue</v>
      </c>
    </row>
    <row r="386" spans="1:25" ht="20.25" customHeight="1">
      <c r="A386" s="50">
        <v>382</v>
      </c>
      <c r="B386" s="62">
        <v>17</v>
      </c>
      <c r="C386" s="62" t="str">
        <f>IFERROR(VLOOKUP(Table2[[#This Row],[Code]],'[2]New Machine sheet'!$A$1:$D$101,2,0),0)</f>
        <v>282-17</v>
      </c>
      <c r="D386" s="62" t="str">
        <f>IFERROR(VLOOKUP(Table2[[#This Row],[M/c No]],'[2]New Machine sheet'!$B$1:$D$101,2,0),0)</f>
        <v>Mazak</v>
      </c>
      <c r="E386" s="62" t="str">
        <f>IFERROR(VLOOKUP(Table2[[#This Row],[M/c Name]],'[2]New Machine sheet'!$C$1:$D$101,2,0),0)</f>
        <v>Turning</v>
      </c>
      <c r="F386" s="62">
        <v>113</v>
      </c>
      <c r="G386" s="62">
        <f>IFERROR(VLOOKUP(Table2[[#This Row],[Code2]],'[2]New Machine sheet'!$F$2:$I$64,2,),0)</f>
        <v>24113</v>
      </c>
      <c r="H386" s="62" t="str">
        <f>IFERROR(VLOOKUP(Table2[[#This Row],[Code2]],'[2]New Machine sheet'!$F$2:$I$64,3,0),0)</f>
        <v>RE J1</v>
      </c>
      <c r="I386" s="62" t="s">
        <v>126</v>
      </c>
      <c r="J386" s="62">
        <v>5</v>
      </c>
      <c r="K386" s="62" t="str">
        <f>IFERROR(VLOOKUP(Table2[[#This Row],[Code3]],'[2]New defect code '!$A$2:$D$129,2,0),0)</f>
        <v>Bore Over size</v>
      </c>
      <c r="L386" s="62" t="s">
        <v>207</v>
      </c>
      <c r="M386" s="56">
        <v>46266</v>
      </c>
      <c r="N386" s="62">
        <v>1</v>
      </c>
      <c r="O386" s="62"/>
      <c r="P386" s="62"/>
      <c r="Q386" s="62"/>
      <c r="R386" s="62">
        <f>SUBTOTAL(9,Table2[[#This Row],[1st]:[FQC]])</f>
        <v>1</v>
      </c>
      <c r="S386" s="62">
        <f>IFERROR(VLOOKUP(Table2[[#This Row],[Part No.]],'[2]New Machine sheet'!$G$2:$I$90,3,0),0)</f>
        <v>90</v>
      </c>
      <c r="T386" s="62">
        <f>Table2[[#This Row],[cost per piece]]*Table2[[#This Row],[Total Rej. qty]]</f>
        <v>90</v>
      </c>
      <c r="U386" s="62">
        <f>IFERROR(VLOOKUP(Table2[[#This Row],[Non Conformance]],'[2]New defect code '!$B$2:$C$129,2,0),0)</f>
        <v>3243</v>
      </c>
      <c r="V386" s="62">
        <v>18</v>
      </c>
      <c r="W386" s="62" t="str">
        <f>IFERROR(VLOOKUP(Table2[[#This Row],[Code4]],'[2]New Reason code'!$A$2:$D$77,2,0),0)</f>
        <v>During insert change</v>
      </c>
      <c r="X386" s="62" t="str">
        <f>IFERROR(VLOOKUP(Table2[[#This Row],[Reason]],'[2]New Reason code'!$B$2:$D$77,2,0),0)</f>
        <v xml:space="preserve">Due to Settup  </v>
      </c>
      <c r="Y386" s="62" t="str">
        <f>IFERROR(VLOOKUP(Table2[[#This Row],[Rejection Identified at]],'[2]New Reason code'!$C$2:$D$77,2,0),0)</f>
        <v>skill</v>
      </c>
    </row>
    <row r="387" spans="1:25" ht="20.25" customHeight="1">
      <c r="A387" s="60">
        <v>383</v>
      </c>
      <c r="B387" s="62">
        <v>35</v>
      </c>
      <c r="C387" s="62" t="str">
        <f>IFERROR(VLOOKUP(Table2[[#This Row],[Code]],'[2]New Machine sheet'!$A$1:$D$101,2,0),0)</f>
        <v>ACE-15</v>
      </c>
      <c r="D387" s="62" t="str">
        <f>IFERROR(VLOOKUP(Table2[[#This Row],[M/c No]],'[2]New Machine sheet'!$B$1:$D$101,2,0),0)</f>
        <v>Micromatic</v>
      </c>
      <c r="E387" s="62" t="str">
        <f>IFERROR(VLOOKUP(Table2[[#This Row],[M/c Name]],'[2]New Machine sheet'!$C$1:$D$101,2,0),0)</f>
        <v>Turning</v>
      </c>
      <c r="F387" s="62">
        <v>113</v>
      </c>
      <c r="G387" s="62">
        <f>IFERROR(VLOOKUP(Table2[[#This Row],[Code2]],'[2]New Machine sheet'!$F$2:$I$64,2,),0)</f>
        <v>24113</v>
      </c>
      <c r="H387" s="62" t="str">
        <f>IFERROR(VLOOKUP(Table2[[#This Row],[Code2]],'[2]New Machine sheet'!$F$2:$I$64,3,0),0)</f>
        <v>RE J1</v>
      </c>
      <c r="I387" s="62" t="s">
        <v>126</v>
      </c>
      <c r="J387" s="62">
        <v>5</v>
      </c>
      <c r="K387" s="62" t="str">
        <f>IFERROR(VLOOKUP(Table2[[#This Row],[Code3]],'[2]New defect code '!$A$2:$D$129,2,0),0)</f>
        <v>Bore Over size</v>
      </c>
      <c r="L387" s="62" t="s">
        <v>207</v>
      </c>
      <c r="M387" s="56">
        <v>46266</v>
      </c>
      <c r="N387" s="62">
        <v>1</v>
      </c>
      <c r="O387" s="62"/>
      <c r="P387" s="62"/>
      <c r="Q387" s="62"/>
      <c r="R387" s="62">
        <f>SUBTOTAL(9,Table2[[#This Row],[1st]:[FQC]])</f>
        <v>1</v>
      </c>
      <c r="S387" s="62">
        <f>IFERROR(VLOOKUP(Table2[[#This Row],[Part No.]],'[2]New Machine sheet'!$G$2:$I$90,3,0),0)</f>
        <v>90</v>
      </c>
      <c r="T387" s="62">
        <f>Table2[[#This Row],[cost per piece]]*Table2[[#This Row],[Total Rej. qty]]</f>
        <v>90</v>
      </c>
      <c r="U387" s="62">
        <f>IFERROR(VLOOKUP(Table2[[#This Row],[Non Conformance]],'[2]New defect code '!$B$2:$C$129,2,0),0)</f>
        <v>3243</v>
      </c>
      <c r="V387" s="62">
        <v>18</v>
      </c>
      <c r="W387" s="62" t="str">
        <f>IFERROR(VLOOKUP(Table2[[#This Row],[Code4]],'[2]New Reason code'!$A$2:$D$77,2,0),0)</f>
        <v>During insert change</v>
      </c>
      <c r="X387" s="62" t="str">
        <f>IFERROR(VLOOKUP(Table2[[#This Row],[Reason]],'[2]New Reason code'!$B$2:$D$77,2,0),0)</f>
        <v xml:space="preserve">Due to Settup  </v>
      </c>
      <c r="Y387" s="62" t="str">
        <f>IFERROR(VLOOKUP(Table2[[#This Row],[Rejection Identified at]],'[2]New Reason code'!$C$2:$D$77,2,0),0)</f>
        <v>skill</v>
      </c>
    </row>
    <row r="388" spans="1:25" ht="20.25" customHeight="1">
      <c r="A388" s="50">
        <v>384</v>
      </c>
      <c r="B388" s="62">
        <v>35</v>
      </c>
      <c r="C388" s="62" t="str">
        <f>IFERROR(VLOOKUP(Table2[[#This Row],[Code]],'[2]New Machine sheet'!$A$1:$D$101,2,0),0)</f>
        <v>ACE-15</v>
      </c>
      <c r="D388" s="62" t="str">
        <f>IFERROR(VLOOKUP(Table2[[#This Row],[M/c No]],'[2]New Machine sheet'!$B$1:$D$101,2,0),0)</f>
        <v>Micromatic</v>
      </c>
      <c r="E388" s="62" t="str">
        <f>IFERROR(VLOOKUP(Table2[[#This Row],[M/c Name]],'[2]New Machine sheet'!$C$1:$D$101,2,0),0)</f>
        <v>Turning</v>
      </c>
      <c r="F388" s="62">
        <v>113</v>
      </c>
      <c r="G388" s="62">
        <f>IFERROR(VLOOKUP(Table2[[#This Row],[Code2]],'[2]New Machine sheet'!$F$2:$I$64,2,),0)</f>
        <v>24113</v>
      </c>
      <c r="H388" s="62" t="str">
        <f>IFERROR(VLOOKUP(Table2[[#This Row],[Code2]],'[2]New Machine sheet'!$F$2:$I$64,3,0),0)</f>
        <v>RE J1</v>
      </c>
      <c r="I388" s="62" t="s">
        <v>209</v>
      </c>
      <c r="J388" s="62">
        <v>5</v>
      </c>
      <c r="K388" s="62" t="str">
        <f>IFERROR(VLOOKUP(Table2[[#This Row],[Code3]],'[2]New defect code '!$A$2:$D$129,2,0),0)</f>
        <v>Bore Over size</v>
      </c>
      <c r="L388" s="62" t="s">
        <v>207</v>
      </c>
      <c r="M388" s="56">
        <v>46266</v>
      </c>
      <c r="N388" s="62">
        <v>3</v>
      </c>
      <c r="O388" s="62"/>
      <c r="P388" s="62"/>
      <c r="Q388" s="62"/>
      <c r="R388" s="62">
        <f>SUBTOTAL(9,Table2[[#This Row],[1st]:[FQC]])</f>
        <v>3</v>
      </c>
      <c r="S388" s="62">
        <f>IFERROR(VLOOKUP(Table2[[#This Row],[Part No.]],'[2]New Machine sheet'!$G$2:$I$90,3,0),0)</f>
        <v>90</v>
      </c>
      <c r="T388" s="62">
        <f>Table2[[#This Row],[cost per piece]]*Table2[[#This Row],[Total Rej. qty]]</f>
        <v>270</v>
      </c>
      <c r="U388" s="62">
        <f>IFERROR(VLOOKUP(Table2[[#This Row],[Non Conformance]],'[2]New defect code '!$B$2:$C$129,2,0),0)</f>
        <v>3243</v>
      </c>
      <c r="V388" s="62">
        <v>51</v>
      </c>
      <c r="W388" s="62" t="str">
        <f>IFERROR(VLOOKUP(Table2[[#This Row],[Code4]],'[2]New Reason code'!$A$2:$D$77,2,0),0)</f>
        <v>Size veriation on m/c</v>
      </c>
      <c r="X388" s="62" t="str">
        <f>IFERROR(VLOOKUP(Table2[[#This Row],[Reason]],'[2]New Reason code'!$B$2:$D$77,2,0),0)</f>
        <v xml:space="preserve">Due to machine </v>
      </c>
      <c r="Y388" s="62" t="str">
        <f>IFERROR(VLOOKUP(Table2[[#This Row],[Rejection Identified at]],'[2]New Reason code'!$C$2:$D$77,2,0),0)</f>
        <v>process</v>
      </c>
    </row>
    <row r="389" spans="1:25" ht="20.25" customHeight="1">
      <c r="A389" s="50">
        <v>385</v>
      </c>
      <c r="B389" s="62">
        <v>5</v>
      </c>
      <c r="C389" s="62" t="str">
        <f>IFERROR(VLOOKUP(Table2[[#This Row],[Code]],'[2]New Machine sheet'!$A$1:$D$101,2,0),0)</f>
        <v>282-05</v>
      </c>
      <c r="D389" s="62" t="str">
        <f>IFERROR(VLOOKUP(Table2[[#This Row],[M/c No]],'[2]New Machine sheet'!$B$1:$D$101,2,0),0)</f>
        <v>Mazak</v>
      </c>
      <c r="E389" s="62" t="str">
        <f>IFERROR(VLOOKUP(Table2[[#This Row],[M/c Name]],'[2]New Machine sheet'!$C$1:$D$101,2,0),0)</f>
        <v>Turning</v>
      </c>
      <c r="F389" s="62">
        <v>119</v>
      </c>
      <c r="G389" s="62">
        <f>IFERROR(VLOOKUP(Table2[[#This Row],[Code2]],'[2]New Machine sheet'!$F$2:$I$64,2,),0)</f>
        <v>24119</v>
      </c>
      <c r="H389" s="62" t="str">
        <f>IFERROR(VLOOKUP(Table2[[#This Row],[Code2]],'[2]New Machine sheet'!$F$2:$I$64,3,0),0)</f>
        <v>RE J1</v>
      </c>
      <c r="I389" s="62" t="s">
        <v>154</v>
      </c>
      <c r="J389" s="62">
        <v>5</v>
      </c>
      <c r="K389" s="62" t="str">
        <f>IFERROR(VLOOKUP(Table2[[#This Row],[Code3]],'[2]New defect code '!$A$2:$D$129,2,0),0)</f>
        <v>Bore Over size</v>
      </c>
      <c r="L389" s="62" t="s">
        <v>207</v>
      </c>
      <c r="M389" s="56">
        <v>46266</v>
      </c>
      <c r="N389" s="62">
        <v>1</v>
      </c>
      <c r="O389" s="62"/>
      <c r="P389" s="62"/>
      <c r="Q389" s="62"/>
      <c r="R389" s="62">
        <f>SUBTOTAL(9,Table2[[#This Row],[1st]:[FQC]])</f>
        <v>1</v>
      </c>
      <c r="S389" s="62">
        <f>IFERROR(VLOOKUP(Table2[[#This Row],[Part No.]],'[2]New Machine sheet'!$G$2:$I$90,3,0),0)</f>
        <v>103.2</v>
      </c>
      <c r="T389" s="62">
        <f>Table2[[#This Row],[cost per piece]]*Table2[[#This Row],[Total Rej. qty]]</f>
        <v>103.2</v>
      </c>
      <c r="U389" s="62">
        <f>IFERROR(VLOOKUP(Table2[[#This Row],[Non Conformance]],'[2]New defect code '!$B$2:$C$129,2,0),0)</f>
        <v>3243</v>
      </c>
      <c r="V389" s="62">
        <v>18</v>
      </c>
      <c r="W389" s="62" t="str">
        <f>IFERROR(VLOOKUP(Table2[[#This Row],[Code4]],'[2]New Reason code'!$A$2:$D$77,2,0),0)</f>
        <v>During insert change</v>
      </c>
      <c r="X389" s="62" t="str">
        <f>IFERROR(VLOOKUP(Table2[[#This Row],[Reason]],'[2]New Reason code'!$B$2:$D$77,2,0),0)</f>
        <v xml:space="preserve">Due to Settup  </v>
      </c>
      <c r="Y389" s="62" t="str">
        <f>IFERROR(VLOOKUP(Table2[[#This Row],[Rejection Identified at]],'[2]New Reason code'!$C$2:$D$77,2,0),0)</f>
        <v>skill</v>
      </c>
    </row>
    <row r="390" spans="1:25" ht="20.25" customHeight="1">
      <c r="A390" s="60">
        <v>386</v>
      </c>
      <c r="B390" s="62">
        <v>7</v>
      </c>
      <c r="C390" s="62" t="str">
        <f>IFERROR(VLOOKUP(Table2[[#This Row],[Code]],'[2]New Machine sheet'!$A$1:$D$101,2,0),0)</f>
        <v>282-07</v>
      </c>
      <c r="D390" s="62" t="str">
        <f>IFERROR(VLOOKUP(Table2[[#This Row],[M/c No]],'[2]New Machine sheet'!$B$1:$D$101,2,0),0)</f>
        <v>Mazak</v>
      </c>
      <c r="E390" s="62" t="str">
        <f>IFERROR(VLOOKUP(Table2[[#This Row],[M/c Name]],'[2]New Machine sheet'!$C$1:$D$101,2,0),0)</f>
        <v>Turning</v>
      </c>
      <c r="F390" s="62">
        <v>119</v>
      </c>
      <c r="G390" s="62">
        <f>IFERROR(VLOOKUP(Table2[[#This Row],[Code2]],'[2]New Machine sheet'!$F$2:$I$64,2,),0)</f>
        <v>24119</v>
      </c>
      <c r="H390" s="62" t="str">
        <f>IFERROR(VLOOKUP(Table2[[#This Row],[Code2]],'[2]New Machine sheet'!$F$2:$I$64,3,0),0)</f>
        <v>RE J1</v>
      </c>
      <c r="I390" s="62" t="s">
        <v>154</v>
      </c>
      <c r="J390" s="62">
        <v>5</v>
      </c>
      <c r="K390" s="62" t="str">
        <f>IFERROR(VLOOKUP(Table2[[#This Row],[Code3]],'[2]New defect code '!$A$2:$D$129,2,0),0)</f>
        <v>Bore Over size</v>
      </c>
      <c r="L390" s="62" t="s">
        <v>207</v>
      </c>
      <c r="M390" s="56">
        <v>46266</v>
      </c>
      <c r="N390" s="62">
        <v>1</v>
      </c>
      <c r="O390" s="62"/>
      <c r="P390" s="62"/>
      <c r="Q390" s="62"/>
      <c r="R390" s="62">
        <f>SUBTOTAL(9,Table2[[#This Row],[1st]:[FQC]])</f>
        <v>1</v>
      </c>
      <c r="S390" s="62">
        <f>IFERROR(VLOOKUP(Table2[[#This Row],[Part No.]],'[2]New Machine sheet'!$G$2:$I$90,3,0),0)</f>
        <v>103.2</v>
      </c>
      <c r="T390" s="62">
        <f>Table2[[#This Row],[cost per piece]]*Table2[[#This Row],[Total Rej. qty]]</f>
        <v>103.2</v>
      </c>
      <c r="U390" s="62">
        <f>IFERROR(VLOOKUP(Table2[[#This Row],[Non Conformance]],'[2]New defect code '!$B$2:$C$129,2,0),0)</f>
        <v>3243</v>
      </c>
      <c r="V390" s="62">
        <v>18</v>
      </c>
      <c r="W390" s="62" t="str">
        <f>IFERROR(VLOOKUP(Table2[[#This Row],[Code4]],'[2]New Reason code'!$A$2:$D$77,2,0),0)</f>
        <v>During insert change</v>
      </c>
      <c r="X390" s="62" t="str">
        <f>IFERROR(VLOOKUP(Table2[[#This Row],[Reason]],'[2]New Reason code'!$B$2:$D$77,2,0),0)</f>
        <v xml:space="preserve">Due to Settup  </v>
      </c>
      <c r="Y390" s="62" t="str">
        <f>IFERROR(VLOOKUP(Table2[[#This Row],[Rejection Identified at]],'[2]New Reason code'!$C$2:$D$77,2,0),0)</f>
        <v>skill</v>
      </c>
    </row>
    <row r="391" spans="1:25" ht="20.25" customHeight="1">
      <c r="A391" s="50">
        <v>387</v>
      </c>
      <c r="B391" s="62">
        <v>5</v>
      </c>
      <c r="C391" s="62" t="str">
        <f>IFERROR(VLOOKUP(Table2[[#This Row],[Code]],'[2]New Machine sheet'!$A$1:$D$101,2,0),0)</f>
        <v>282-05</v>
      </c>
      <c r="D391" s="62" t="str">
        <f>IFERROR(VLOOKUP(Table2[[#This Row],[M/c No]],'[2]New Machine sheet'!$B$1:$D$101,2,0),0)</f>
        <v>Mazak</v>
      </c>
      <c r="E391" s="62" t="str">
        <f>IFERROR(VLOOKUP(Table2[[#This Row],[M/c Name]],'[2]New Machine sheet'!$C$1:$D$101,2,0),0)</f>
        <v>Turning</v>
      </c>
      <c r="F391" s="62">
        <v>119</v>
      </c>
      <c r="G391" s="62">
        <f>IFERROR(VLOOKUP(Table2[[#This Row],[Code2]],'[2]New Machine sheet'!$F$2:$I$64,2,),0)</f>
        <v>24119</v>
      </c>
      <c r="H391" s="62" t="str">
        <f>IFERROR(VLOOKUP(Table2[[#This Row],[Code2]],'[2]New Machine sheet'!$F$2:$I$64,3,0),0)</f>
        <v>RE J1</v>
      </c>
      <c r="I391" s="62" t="s">
        <v>209</v>
      </c>
      <c r="J391" s="62">
        <v>93</v>
      </c>
      <c r="K391" s="62" t="str">
        <f>IFERROR(VLOOKUP(Table2[[#This Row],[Code3]],'[2]New defect code '!$A$2:$D$129,2,0),0)</f>
        <v>Thickness Under size</v>
      </c>
      <c r="L391" s="62" t="s">
        <v>207</v>
      </c>
      <c r="M391" s="56">
        <v>46266</v>
      </c>
      <c r="N391" s="62">
        <v>4</v>
      </c>
      <c r="O391" s="62"/>
      <c r="P391" s="62"/>
      <c r="Q391" s="62"/>
      <c r="R391" s="62">
        <f>SUBTOTAL(9,Table2[[#This Row],[1st]:[FQC]])</f>
        <v>4</v>
      </c>
      <c r="S391" s="62">
        <f>IFERROR(VLOOKUP(Table2[[#This Row],[Part No.]],'[2]New Machine sheet'!$G$2:$I$90,3,0),0)</f>
        <v>103.2</v>
      </c>
      <c r="T391" s="62">
        <f>Table2[[#This Row],[cost per piece]]*Table2[[#This Row],[Total Rej. qty]]</f>
        <v>412.8</v>
      </c>
      <c r="U391" s="62">
        <f>IFERROR(VLOOKUP(Table2[[#This Row],[Non Conformance]],'[2]New defect code '!$B$2:$C$129,2,0),0)</f>
        <v>3258</v>
      </c>
      <c r="V391" s="62">
        <v>18</v>
      </c>
      <c r="W391" s="62" t="str">
        <f>IFERROR(VLOOKUP(Table2[[#This Row],[Code4]],'[2]New Reason code'!$A$2:$D$77,2,0),0)</f>
        <v>During insert change</v>
      </c>
      <c r="X391" s="62" t="str">
        <f>IFERROR(VLOOKUP(Table2[[#This Row],[Reason]],'[2]New Reason code'!$B$2:$D$77,2,0),0)</f>
        <v xml:space="preserve">Due to Settup  </v>
      </c>
      <c r="Y391" s="62" t="str">
        <f>IFERROR(VLOOKUP(Table2[[#This Row],[Rejection Identified at]],'[2]New Reason code'!$C$2:$D$77,2,0),0)</f>
        <v>skill</v>
      </c>
    </row>
    <row r="392" spans="1:25" ht="20.25" customHeight="1">
      <c r="A392" s="50">
        <v>388</v>
      </c>
      <c r="B392" s="62">
        <v>6</v>
      </c>
      <c r="C392" s="62" t="str">
        <f>IFERROR(VLOOKUP(Table2[[#This Row],[Code]],'[2]New Machine sheet'!$A$1:$D$101,2,0),0)</f>
        <v>282-06</v>
      </c>
      <c r="D392" s="62" t="str">
        <f>IFERROR(VLOOKUP(Table2[[#This Row],[M/c No]],'[2]New Machine sheet'!$B$1:$D$101,2,0),0)</f>
        <v>Mazak</v>
      </c>
      <c r="E392" s="62" t="str">
        <f>IFERROR(VLOOKUP(Table2[[#This Row],[M/c Name]],'[2]New Machine sheet'!$C$1:$D$101,2,0),0)</f>
        <v>Turning</v>
      </c>
      <c r="F392" s="62">
        <v>178</v>
      </c>
      <c r="G392" s="62">
        <f>IFERROR(VLOOKUP(Table2[[#This Row],[Code2]],'[2]New Machine sheet'!$F$2:$I$64,2,),0)</f>
        <v>24178</v>
      </c>
      <c r="H392" s="62" t="str">
        <f>IFERROR(VLOOKUP(Table2[[#This Row],[Code2]],'[2]New Machine sheet'!$F$2:$I$64,3,0),0)</f>
        <v>RE J1</v>
      </c>
      <c r="I392" s="62" t="s">
        <v>179</v>
      </c>
      <c r="J392" s="62">
        <v>5</v>
      </c>
      <c r="K392" s="62" t="str">
        <f>IFERROR(VLOOKUP(Table2[[#This Row],[Code3]],'[2]New defect code '!$A$2:$D$129,2,0),0)</f>
        <v>Bore Over size</v>
      </c>
      <c r="L392" s="62" t="s">
        <v>207</v>
      </c>
      <c r="M392" s="56">
        <v>46266</v>
      </c>
      <c r="N392" s="62">
        <v>1</v>
      </c>
      <c r="O392" s="62"/>
      <c r="P392" s="62"/>
      <c r="Q392" s="62"/>
      <c r="R392" s="62">
        <f>SUBTOTAL(9,Table2[[#This Row],[1st]:[FQC]])</f>
        <v>1</v>
      </c>
      <c r="S392" s="62">
        <f>IFERROR(VLOOKUP(Table2[[#This Row],[Part No.]],'[2]New Machine sheet'!$G$2:$I$90,3,0),0)</f>
        <v>70.62</v>
      </c>
      <c r="T392" s="62">
        <f>Table2[[#This Row],[cost per piece]]*Table2[[#This Row],[Total Rej. qty]]</f>
        <v>70.62</v>
      </c>
      <c r="U392" s="62">
        <f>IFERROR(VLOOKUP(Table2[[#This Row],[Non Conformance]],'[2]New defect code '!$B$2:$C$129,2,0),0)</f>
        <v>3243</v>
      </c>
      <c r="V392" s="62">
        <v>18</v>
      </c>
      <c r="W392" s="62" t="str">
        <f>IFERROR(VLOOKUP(Table2[[#This Row],[Code4]],'[2]New Reason code'!$A$2:$D$77,2,0),0)</f>
        <v>During insert change</v>
      </c>
      <c r="X392" s="62" t="str">
        <f>IFERROR(VLOOKUP(Table2[[#This Row],[Reason]],'[2]New Reason code'!$B$2:$D$77,2,0),0)</f>
        <v xml:space="preserve">Due to Settup  </v>
      </c>
      <c r="Y392" s="62" t="str">
        <f>IFERROR(VLOOKUP(Table2[[#This Row],[Rejection Identified at]],'[2]New Reason code'!$C$2:$D$77,2,0),0)</f>
        <v>skill</v>
      </c>
    </row>
    <row r="393" spans="1:25" ht="20.25" customHeight="1">
      <c r="A393" s="60">
        <v>389</v>
      </c>
      <c r="B393" s="62">
        <v>9</v>
      </c>
      <c r="C393" s="62" t="str">
        <f>IFERROR(VLOOKUP(Table2[[#This Row],[Code]],'[2]New Machine sheet'!$A$1:$D$101,2,0),0)</f>
        <v>282-09</v>
      </c>
      <c r="D393" s="62" t="str">
        <f>IFERROR(VLOOKUP(Table2[[#This Row],[M/c No]],'[2]New Machine sheet'!$B$1:$D$101,2,0),0)</f>
        <v>Mazak</v>
      </c>
      <c r="E393" s="62" t="str">
        <f>IFERROR(VLOOKUP(Table2[[#This Row],[M/c Name]],'[2]New Machine sheet'!$C$1:$D$101,2,0),0)</f>
        <v>Turning</v>
      </c>
      <c r="F393" s="62">
        <v>125</v>
      </c>
      <c r="G393" s="62">
        <f>IFERROR(VLOOKUP(Table2[[#This Row],[Code2]],'[2]New Machine sheet'!$F$2:$I$64,2,),0)</f>
        <v>24125</v>
      </c>
      <c r="H393" s="62" t="str">
        <f>IFERROR(VLOOKUP(Table2[[#This Row],[Code2]],'[2]New Machine sheet'!$F$2:$I$64,3,0),0)</f>
        <v>RE J1</v>
      </c>
      <c r="I393" s="62" t="s">
        <v>173</v>
      </c>
      <c r="J393" s="62">
        <v>5</v>
      </c>
      <c r="K393" s="62" t="str">
        <f>IFERROR(VLOOKUP(Table2[[#This Row],[Code3]],'[2]New defect code '!$A$2:$D$129,2,0),0)</f>
        <v>Bore Over size</v>
      </c>
      <c r="L393" s="62" t="s">
        <v>207</v>
      </c>
      <c r="M393" s="56">
        <v>46266</v>
      </c>
      <c r="N393" s="62">
        <v>1</v>
      </c>
      <c r="O393" s="62"/>
      <c r="P393" s="62"/>
      <c r="Q393" s="62"/>
      <c r="R393" s="62">
        <f>SUBTOTAL(9,Table2[[#This Row],[1st]:[FQC]])</f>
        <v>1</v>
      </c>
      <c r="S393" s="62">
        <f>IFERROR(VLOOKUP(Table2[[#This Row],[Part No.]],'[2]New Machine sheet'!$G$2:$I$90,3,0),0)</f>
        <v>65.17</v>
      </c>
      <c r="T393" s="62">
        <f>Table2[[#This Row],[cost per piece]]*Table2[[#This Row],[Total Rej. qty]]</f>
        <v>65.17</v>
      </c>
      <c r="U393" s="62">
        <f>IFERROR(VLOOKUP(Table2[[#This Row],[Non Conformance]],'[2]New defect code '!$B$2:$C$129,2,0),0)</f>
        <v>3243</v>
      </c>
      <c r="V393" s="62">
        <v>18</v>
      </c>
      <c r="W393" s="62" t="str">
        <f>IFERROR(VLOOKUP(Table2[[#This Row],[Code4]],'[2]New Reason code'!$A$2:$D$77,2,0),0)</f>
        <v>During insert change</v>
      </c>
      <c r="X393" s="62" t="str">
        <f>IFERROR(VLOOKUP(Table2[[#This Row],[Reason]],'[2]New Reason code'!$B$2:$D$77,2,0),0)</f>
        <v xml:space="preserve">Due to Settup  </v>
      </c>
      <c r="Y393" s="62" t="str">
        <f>IFERROR(VLOOKUP(Table2[[#This Row],[Rejection Identified at]],'[2]New Reason code'!$C$2:$D$77,2,0),0)</f>
        <v>skill</v>
      </c>
    </row>
    <row r="394" spans="1:25" ht="20.25" customHeight="1">
      <c r="A394" s="50">
        <v>390</v>
      </c>
      <c r="B394" s="62">
        <v>20</v>
      </c>
      <c r="C394" s="62" t="str">
        <f>IFERROR(VLOOKUP(Table2[[#This Row],[Code]],'[2]New Machine sheet'!$A$1:$D$101,2,0),0)</f>
        <v>282-20</v>
      </c>
      <c r="D394" s="62" t="str">
        <f>IFERROR(VLOOKUP(Table2[[#This Row],[M/c No]],'[2]New Machine sheet'!$B$1:$D$101,2,0),0)</f>
        <v>Mazak</v>
      </c>
      <c r="E394" s="62" t="str">
        <f>IFERROR(VLOOKUP(Table2[[#This Row],[M/c Name]],'[2]New Machine sheet'!$C$1:$D$101,2,0),0)</f>
        <v>Turning</v>
      </c>
      <c r="F394" s="62">
        <v>115</v>
      </c>
      <c r="G394" s="62">
        <f>IFERROR(VLOOKUP(Table2[[#This Row],[Code2]],'[2]New Machine sheet'!$F$2:$I$64,2,),0)</f>
        <v>24115</v>
      </c>
      <c r="H394" s="62" t="str">
        <f>IFERROR(VLOOKUP(Table2[[#This Row],[Code2]],'[2]New Machine sheet'!$F$2:$I$64,3,0),0)</f>
        <v>RE J1</v>
      </c>
      <c r="I394" s="62"/>
      <c r="J394" s="62">
        <v>5</v>
      </c>
      <c r="K394" s="62" t="str">
        <f>IFERROR(VLOOKUP(Table2[[#This Row],[Code3]],'[2]New defect code '!$A$2:$D$129,2,0),0)</f>
        <v>Bore Over size</v>
      </c>
      <c r="L394" s="62" t="s">
        <v>207</v>
      </c>
      <c r="M394" s="56">
        <v>46266</v>
      </c>
      <c r="N394" s="62">
        <v>5</v>
      </c>
      <c r="O394" s="62"/>
      <c r="P394" s="62"/>
      <c r="Q394" s="62"/>
      <c r="R394" s="62">
        <f>SUBTOTAL(9,Table2[[#This Row],[1st]:[FQC]])</f>
        <v>5</v>
      </c>
      <c r="S394" s="62">
        <f>IFERROR(VLOOKUP(Table2[[#This Row],[Part No.]],'[2]New Machine sheet'!$G$2:$I$90,3,0),0)</f>
        <v>66.900000000000006</v>
      </c>
      <c r="T394" s="62">
        <f>Table2[[#This Row],[cost per piece]]*Table2[[#This Row],[Total Rej. qty]]</f>
        <v>334.5</v>
      </c>
      <c r="U394" s="62">
        <f>IFERROR(VLOOKUP(Table2[[#This Row],[Non Conformance]],'[2]New defect code '!$B$2:$C$129,2,0),0)</f>
        <v>3243</v>
      </c>
      <c r="V394" s="62">
        <v>18</v>
      </c>
      <c r="W394" s="62" t="str">
        <f>IFERROR(VLOOKUP(Table2[[#This Row],[Code4]],'[2]New Reason code'!$A$2:$D$77,2,0),0)</f>
        <v>During insert change</v>
      </c>
      <c r="X394" s="62" t="str">
        <f>IFERROR(VLOOKUP(Table2[[#This Row],[Reason]],'[2]New Reason code'!$B$2:$D$77,2,0),0)</f>
        <v xml:space="preserve">Due to Settup  </v>
      </c>
      <c r="Y394" s="62" t="str">
        <f>IFERROR(VLOOKUP(Table2[[#This Row],[Rejection Identified at]],'[2]New Reason code'!$C$2:$D$77,2,0),0)</f>
        <v>skill</v>
      </c>
    </row>
    <row r="395" spans="1:25" ht="20.25" customHeight="1">
      <c r="A395" s="50">
        <v>391</v>
      </c>
      <c r="B395" s="62">
        <v>42</v>
      </c>
      <c r="C395" s="62" t="str">
        <f>IFERROR(VLOOKUP(Table2[[#This Row],[Code]],'[2]New Machine sheet'!$A$1:$D$101,2,0),0)</f>
        <v>252-04</v>
      </c>
      <c r="D395" s="62" t="str">
        <f>IFERROR(VLOOKUP(Table2[[#This Row],[M/c No]],'[2]New Machine sheet'!$B$1:$D$101,2,0),0)</f>
        <v>VMC</v>
      </c>
      <c r="E395" s="62" t="str">
        <f>IFERROR(VLOOKUP(Table2[[#This Row],[M/c Name]],'[2]New Machine sheet'!$C$1:$D$101,2,0),0)</f>
        <v>VMC</v>
      </c>
      <c r="F395" s="62">
        <v>154</v>
      </c>
      <c r="G395" s="62">
        <f>IFERROR(VLOOKUP(Table2[[#This Row],[Code2]],'[2]New Machine sheet'!$F$2:$I$64,2,),0)</f>
        <v>24154</v>
      </c>
      <c r="H395" s="62" t="str">
        <f>IFERROR(VLOOKUP(Table2[[#This Row],[Code2]],'[2]New Machine sheet'!$F$2:$I$64,3,0),0)</f>
        <v>RE J1</v>
      </c>
      <c r="I395" s="62" t="s">
        <v>152</v>
      </c>
      <c r="J395" s="62">
        <v>32</v>
      </c>
      <c r="K395" s="62" t="str">
        <f>IFERROR(VLOOKUP(Table2[[#This Row],[Code3]],'[2]New defect code '!$A$2:$D$129,2,0),0)</f>
        <v>Double Dot Punching</v>
      </c>
      <c r="L395" s="62" t="s">
        <v>207</v>
      </c>
      <c r="M395" s="56">
        <v>46266</v>
      </c>
      <c r="N395" s="62">
        <v>1</v>
      </c>
      <c r="O395" s="62"/>
      <c r="P395" s="62"/>
      <c r="Q395" s="62"/>
      <c r="R395" s="62">
        <f>SUBTOTAL(9,Table2[[#This Row],[1st]:[FQC]])</f>
        <v>1</v>
      </c>
      <c r="S395" s="62">
        <f>IFERROR(VLOOKUP(Table2[[#This Row],[Part No.]],'[2]New Machine sheet'!$G$2:$I$90,3,0),0)</f>
        <v>82.64</v>
      </c>
      <c r="T395" s="62">
        <f>Table2[[#This Row],[cost per piece]]*Table2[[#This Row],[Total Rej. qty]]</f>
        <v>82.64</v>
      </c>
      <c r="U395" s="62">
        <f>IFERROR(VLOOKUP(Table2[[#This Row],[Non Conformance]],'[2]New defect code '!$B$2:$C$129,2,0),0)</f>
        <v>0</v>
      </c>
      <c r="V395" s="62">
        <v>19</v>
      </c>
      <c r="W395" s="62" t="str">
        <f>IFERROR(VLOOKUP(Table2[[#This Row],[Code4]],'[2]New Reason code'!$A$2:$D$77,2,0),0)</f>
        <v>During Rework time</v>
      </c>
      <c r="X395" s="62" t="str">
        <f>IFERROR(VLOOKUP(Table2[[#This Row],[Reason]],'[2]New Reason code'!$B$2:$D$77,2,0),0)</f>
        <v>Due to operator</v>
      </c>
      <c r="Y395" s="62" t="str">
        <f>IFERROR(VLOOKUP(Table2[[#This Row],[Rejection Identified at]],'[2]New Reason code'!$C$2:$D$77,2,0),0)</f>
        <v xml:space="preserve">infrastructure </v>
      </c>
    </row>
    <row r="396" spans="1:25" ht="20.25" customHeight="1">
      <c r="A396" s="60">
        <v>392</v>
      </c>
      <c r="B396" s="62">
        <v>44</v>
      </c>
      <c r="C396" s="62" t="str">
        <f>IFERROR(VLOOKUP(Table2[[#This Row],[Code]],'[2]New Machine sheet'!$A$1:$D$101,2,0),0)</f>
        <v>LT20-NEW</v>
      </c>
      <c r="D396" s="62" t="str">
        <f>IFERROR(VLOOKUP(Table2[[#This Row],[M/c No]],'[2]New Machine sheet'!$B$1:$D$101,2,0),0)</f>
        <v>ACE</v>
      </c>
      <c r="E396" s="62" t="str">
        <f>IFERROR(VLOOKUP(Table2[[#This Row],[M/c Name]],'[2]New Machine sheet'!$C$1:$D$101,2,0),0)</f>
        <v xml:space="preserve">turning </v>
      </c>
      <c r="F396" s="62">
        <v>78</v>
      </c>
      <c r="G396" s="62">
        <f>IFERROR(VLOOKUP(Table2[[#This Row],[Code2]],'[2]New Machine sheet'!$F$2:$I$64,2,),0)</f>
        <v>2478</v>
      </c>
      <c r="H396" s="62" t="str">
        <f>IFERROR(VLOOKUP(Table2[[#This Row],[Code2]],'[2]New Machine sheet'!$F$2:$I$64,3,0),0)</f>
        <v>RE P1</v>
      </c>
      <c r="I396" s="62" t="s">
        <v>169</v>
      </c>
      <c r="J396" s="62">
        <v>93</v>
      </c>
      <c r="K396" s="62" t="str">
        <f>IFERROR(VLOOKUP(Table2[[#This Row],[Code3]],'[2]New defect code '!$A$2:$D$129,2,0),0)</f>
        <v>Thickness Under size</v>
      </c>
      <c r="L396" s="62" t="s">
        <v>207</v>
      </c>
      <c r="M396" s="56">
        <v>46266</v>
      </c>
      <c r="N396" s="62">
        <v>1</v>
      </c>
      <c r="O396" s="62"/>
      <c r="P396" s="62"/>
      <c r="Q396" s="62"/>
      <c r="R396" s="62">
        <f>SUBTOTAL(9,Table2[[#This Row],[1st]:[FQC]])</f>
        <v>1</v>
      </c>
      <c r="S396" s="62">
        <f>IFERROR(VLOOKUP(Table2[[#This Row],[Part No.]],'[2]New Machine sheet'!$G$2:$I$90,3,0),0)</f>
        <v>468.06</v>
      </c>
      <c r="T396" s="62">
        <f>Table2[[#This Row],[cost per piece]]*Table2[[#This Row],[Total Rej. qty]]</f>
        <v>468.06</v>
      </c>
      <c r="U396" s="62">
        <f>IFERROR(VLOOKUP(Table2[[#This Row],[Non Conformance]],'[2]New defect code '!$B$2:$C$129,2,0),0)</f>
        <v>3258</v>
      </c>
      <c r="V396" s="62">
        <v>18</v>
      </c>
      <c r="W396" s="62" t="str">
        <f>IFERROR(VLOOKUP(Table2[[#This Row],[Code4]],'[2]New Reason code'!$A$2:$D$77,2,0),0)</f>
        <v>During insert change</v>
      </c>
      <c r="X396" s="62" t="str">
        <f>IFERROR(VLOOKUP(Table2[[#This Row],[Reason]],'[2]New Reason code'!$B$2:$D$77,2,0),0)</f>
        <v xml:space="preserve">Due to Settup  </v>
      </c>
      <c r="Y396" s="62" t="str">
        <f>IFERROR(VLOOKUP(Table2[[#This Row],[Rejection Identified at]],'[2]New Reason code'!$C$2:$D$77,2,0),0)</f>
        <v>skill</v>
      </c>
    </row>
    <row r="397" spans="1:25" ht="20.25" customHeight="1">
      <c r="A397" s="50">
        <v>393</v>
      </c>
      <c r="B397" s="62"/>
      <c r="C397" s="62" t="s">
        <v>118</v>
      </c>
      <c r="D397" s="62" t="s">
        <v>117</v>
      </c>
      <c r="E397" s="62" t="str">
        <f>IFERROR(VLOOKUP(Table2[[#This Row],[M/c Name]],'[2]New Machine sheet'!$C$1:$D$101,2,0),0)</f>
        <v>Turning</v>
      </c>
      <c r="F397" s="62">
        <v>127</v>
      </c>
      <c r="G397" s="62">
        <f>IFERROR(VLOOKUP(Table2[[#This Row],[Code2]],'[2]New Machine sheet'!$F$2:$I$64,2,),0)</f>
        <v>24127</v>
      </c>
      <c r="H397" s="62" t="str">
        <f>IFERROR(VLOOKUP(Table2[[#This Row],[Code2]],'[2]New Machine sheet'!$F$2:$I$64,3,0),0)</f>
        <v>RE J1</v>
      </c>
      <c r="I397" s="62" t="s">
        <v>191</v>
      </c>
      <c r="J397" s="62">
        <v>66</v>
      </c>
      <c r="K397" s="62" t="str">
        <f>IFERROR(VLOOKUP(Table2[[#This Row],[Code3]],'[2]New defect code '!$A$2:$D$129,2,0),0)</f>
        <v>OD Under Size</v>
      </c>
      <c r="L397" s="62" t="s">
        <v>207</v>
      </c>
      <c r="M397" s="56">
        <v>46266</v>
      </c>
      <c r="N397" s="62">
        <v>4</v>
      </c>
      <c r="O397" s="62"/>
      <c r="P397" s="62"/>
      <c r="Q397" s="62"/>
      <c r="R397" s="62">
        <f>SUBTOTAL(9,Table2[[#This Row],[1st]:[FQC]])</f>
        <v>4</v>
      </c>
      <c r="S397" s="62">
        <f>IFERROR(VLOOKUP(Table2[[#This Row],[Part No.]],'[2]New Machine sheet'!$G$2:$I$90,3,0),0)</f>
        <v>262.81200000000001</v>
      </c>
      <c r="T397" s="62">
        <f>Table2[[#This Row],[cost per piece]]*Table2[[#This Row],[Total Rej. qty]]</f>
        <v>1051.248</v>
      </c>
      <c r="U397" s="62">
        <f>IFERROR(VLOOKUP(Table2[[#This Row],[Non Conformance]],'[2]New defect code '!$B$2:$C$129,2,0),0)</f>
        <v>3242</v>
      </c>
      <c r="V397" s="62">
        <v>45</v>
      </c>
      <c r="W397" s="62" t="str">
        <f>IFERROR(VLOOKUP(Table2[[#This Row],[Code4]],'[2]New Reason code'!$A$2:$D$77,2,0),0)</f>
        <v>Running m/c</v>
      </c>
      <c r="X397" s="62" t="str">
        <f>IFERROR(VLOOKUP(Table2[[#This Row],[Reason]],'[2]New Reason code'!$B$2:$D$77,2,0),0)</f>
        <v xml:space="preserve">Due to machine </v>
      </c>
      <c r="Y397" s="62" t="str">
        <f>IFERROR(VLOOKUP(Table2[[#This Row],[Rejection Identified at]],'[2]New Reason code'!$C$2:$D$77,2,0),0)</f>
        <v>process</v>
      </c>
    </row>
    <row r="398" spans="1:25" ht="20.25" customHeight="1">
      <c r="A398" s="50">
        <v>394</v>
      </c>
      <c r="B398" s="62"/>
      <c r="C398" s="62" t="s">
        <v>118</v>
      </c>
      <c r="D398" s="62" t="s">
        <v>117</v>
      </c>
      <c r="E398" s="62" t="str">
        <f>IFERROR(VLOOKUP(Table2[[#This Row],[M/c Name]],'[2]New Machine sheet'!$C$1:$D$101,2,0),0)</f>
        <v>Turning</v>
      </c>
      <c r="F398" s="62">
        <v>187</v>
      </c>
      <c r="G398" s="62">
        <f>IFERROR(VLOOKUP(Table2[[#This Row],[Code2]],'[2]New Machine sheet'!$F$2:$I$64,2,),0)</f>
        <v>24187</v>
      </c>
      <c r="H398" s="62" t="str">
        <f>IFERROR(VLOOKUP(Table2[[#This Row],[Code2]],'[2]New Machine sheet'!$F$2:$I$64,3,0),0)</f>
        <v>RE Bush</v>
      </c>
      <c r="I398" s="62" t="s">
        <v>191</v>
      </c>
      <c r="J398" s="62">
        <v>21</v>
      </c>
      <c r="K398" s="62" t="str">
        <f>IFERROR(VLOOKUP(Table2[[#This Row],[Code3]],'[2]New defect code '!$A$2:$D$129,2,0),0)</f>
        <v>Bush Reject of defective part</v>
      </c>
      <c r="L398" s="62" t="s">
        <v>207</v>
      </c>
      <c r="M398" s="56">
        <v>46266</v>
      </c>
      <c r="N398" s="62">
        <v>4</v>
      </c>
      <c r="O398" s="62"/>
      <c r="P398" s="62"/>
      <c r="Q398" s="62"/>
      <c r="R398" s="62">
        <f>SUBTOTAL(9,Table2[[#This Row],[1st]:[FQC]])</f>
        <v>4</v>
      </c>
      <c r="S398" s="62">
        <f>IFERROR(VLOOKUP(Table2[[#This Row],[Part No.]],'[2]New Machine sheet'!$G$2:$I$90,3,0),0)</f>
        <v>21.77</v>
      </c>
      <c r="T398" s="62">
        <f>Table2[[#This Row],[cost per piece]]*Table2[[#This Row],[Total Rej. qty]]</f>
        <v>87.08</v>
      </c>
      <c r="U398" s="62">
        <f>IFERROR(VLOOKUP(Table2[[#This Row],[Non Conformance]],'[2]New defect code '!$B$2:$C$129,2,0),0)</f>
        <v>0</v>
      </c>
      <c r="V398" s="62">
        <v>6</v>
      </c>
      <c r="W398" s="62" t="str">
        <f>IFERROR(VLOOKUP(Table2[[#This Row],[Code4]],'[2]New Reason code'!$A$2:$D$77,2,0),0)</f>
        <v>bush will not use again</v>
      </c>
      <c r="X398" s="62" t="str">
        <f>IFERROR(VLOOKUP(Table2[[#This Row],[Reason]],'[2]New Reason code'!$B$2:$D$77,2,0),0)</f>
        <v>Prod Declared</v>
      </c>
      <c r="Y398" s="62" t="str">
        <f>IFERROR(VLOOKUP(Table2[[#This Row],[Rejection Identified at]],'[2]New Reason code'!$C$2:$D$77,2,0),0)</f>
        <v>Process Issue</v>
      </c>
    </row>
    <row r="399" spans="1:25" ht="20.25" customHeight="1">
      <c r="A399" s="60">
        <v>395</v>
      </c>
      <c r="B399" s="62">
        <v>22</v>
      </c>
      <c r="C399" s="62" t="str">
        <f>IFERROR(VLOOKUP(Table2[[#This Row],[Code]],'[2]New Machine sheet'!$A$1:$D$101,2,0),0)</f>
        <v>ACE-02</v>
      </c>
      <c r="D399" s="62" t="str">
        <f>IFERROR(VLOOKUP(Table2[[#This Row],[M/c No]],'[2]New Machine sheet'!$B$1:$D$101,2,0),0)</f>
        <v>Micromatic</v>
      </c>
      <c r="E399" s="62" t="str">
        <f>IFERROR(VLOOKUP(Table2[[#This Row],[M/c Name]],'[2]New Machine sheet'!$C$1:$D$101,2,0),0)</f>
        <v>Turning</v>
      </c>
      <c r="F399" s="62">
        <v>115</v>
      </c>
      <c r="G399" s="62">
        <f>IFERROR(VLOOKUP(Table2[[#This Row],[Code2]],'[2]New Machine sheet'!$F$2:$I$64,2,),0)</f>
        <v>24115</v>
      </c>
      <c r="H399" s="62" t="str">
        <f>IFERROR(VLOOKUP(Table2[[#This Row],[Code2]],'[2]New Machine sheet'!$F$2:$I$64,3,0),0)</f>
        <v>RE J1</v>
      </c>
      <c r="I399" s="62" t="s">
        <v>141</v>
      </c>
      <c r="J399" s="62">
        <v>5</v>
      </c>
      <c r="K399" s="62" t="str">
        <f>IFERROR(VLOOKUP(Table2[[#This Row],[Code3]],'[2]New defect code '!$A$2:$D$129,2,0),0)</f>
        <v>Bore Over size</v>
      </c>
      <c r="L399" s="62" t="s">
        <v>207</v>
      </c>
      <c r="M399" s="56">
        <v>46266</v>
      </c>
      <c r="N399" s="62">
        <v>1</v>
      </c>
      <c r="O399" s="62"/>
      <c r="P399" s="62"/>
      <c r="Q399" s="62"/>
      <c r="R399" s="62">
        <f>SUBTOTAL(9,Table2[[#This Row],[1st]:[FQC]])</f>
        <v>1</v>
      </c>
      <c r="S399" s="62">
        <f>IFERROR(VLOOKUP(Table2[[#This Row],[Part No.]],'[2]New Machine sheet'!$G$2:$I$90,3,0),0)</f>
        <v>66.900000000000006</v>
      </c>
      <c r="T399" s="62">
        <f>Table2[[#This Row],[cost per piece]]*Table2[[#This Row],[Total Rej. qty]]</f>
        <v>66.900000000000006</v>
      </c>
      <c r="U399" s="62">
        <f>IFERROR(VLOOKUP(Table2[[#This Row],[Non Conformance]],'[2]New defect code '!$B$2:$C$129,2,0),0)</f>
        <v>3243</v>
      </c>
      <c r="V399" s="62">
        <v>18</v>
      </c>
      <c r="W399" s="62" t="str">
        <f>IFERROR(VLOOKUP(Table2[[#This Row],[Code4]],'[2]New Reason code'!$A$2:$D$77,2,0),0)</f>
        <v>During insert change</v>
      </c>
      <c r="X399" s="62" t="str">
        <f>IFERROR(VLOOKUP(Table2[[#This Row],[Reason]],'[2]New Reason code'!$B$2:$D$77,2,0),0)</f>
        <v xml:space="preserve">Due to Settup  </v>
      </c>
      <c r="Y399" s="62" t="str">
        <f>IFERROR(VLOOKUP(Table2[[#This Row],[Rejection Identified at]],'[2]New Reason code'!$C$2:$D$77,2,0),0)</f>
        <v>skill</v>
      </c>
    </row>
    <row r="400" spans="1:25" ht="20.25" customHeight="1">
      <c r="A400" s="50">
        <v>396</v>
      </c>
      <c r="B400" s="62">
        <v>10</v>
      </c>
      <c r="C400" s="62" t="str">
        <f>IFERROR(VLOOKUP(Table2[[#This Row],[Code]],'[2]New Machine sheet'!$A$1:$D$101,2,0),0)</f>
        <v>282-10</v>
      </c>
      <c r="D400" s="62" t="str">
        <f>IFERROR(VLOOKUP(Table2[[#This Row],[M/c No]],'[2]New Machine sheet'!$B$1:$D$101,2,0),0)</f>
        <v>Mazak</v>
      </c>
      <c r="E400" s="62" t="str">
        <f>IFERROR(VLOOKUP(Table2[[#This Row],[M/c Name]],'[2]New Machine sheet'!$C$1:$D$101,2,0),0)</f>
        <v>Turning</v>
      </c>
      <c r="F400" s="62">
        <v>155</v>
      </c>
      <c r="G400" s="62">
        <f>IFERROR(VLOOKUP(Table2[[#This Row],[Code2]],'[2]New Machine sheet'!$F$2:$I$64,2,),0)</f>
        <v>24155</v>
      </c>
      <c r="H400" s="62" t="str">
        <f>IFERROR(VLOOKUP(Table2[[#This Row],[Code2]],'[2]New Machine sheet'!$F$2:$I$64,3,0),0)</f>
        <v>RE J1</v>
      </c>
      <c r="I400" s="62" t="s">
        <v>164</v>
      </c>
      <c r="J400" s="62">
        <v>93</v>
      </c>
      <c r="K400" s="62" t="str">
        <f>IFERROR(VLOOKUP(Table2[[#This Row],[Code3]],'[2]New defect code '!$A$2:$D$129,2,0),0)</f>
        <v>Thickness Under size</v>
      </c>
      <c r="L400" s="62" t="s">
        <v>207</v>
      </c>
      <c r="M400" s="56">
        <v>46266</v>
      </c>
      <c r="N400" s="62">
        <v>12</v>
      </c>
      <c r="O400" s="62"/>
      <c r="P400" s="62"/>
      <c r="Q400" s="62"/>
      <c r="R400" s="62">
        <f>SUBTOTAL(9,Table2[[#This Row],[1st]:[FQC]])</f>
        <v>12</v>
      </c>
      <c r="S400" s="62">
        <f>IFERROR(VLOOKUP(Table2[[#This Row],[Part No.]],'[2]New Machine sheet'!$G$2:$I$90,3,0),0)</f>
        <v>107.67</v>
      </c>
      <c r="T400" s="62">
        <f>Table2[[#This Row],[cost per piece]]*Table2[[#This Row],[Total Rej. qty]]</f>
        <v>1292.04</v>
      </c>
      <c r="U400" s="62">
        <f>IFERROR(VLOOKUP(Table2[[#This Row],[Non Conformance]],'[2]New defect code '!$B$2:$C$129,2,0),0)</f>
        <v>3258</v>
      </c>
      <c r="V400" s="62">
        <v>19</v>
      </c>
      <c r="W400" s="62" t="str">
        <f>IFERROR(VLOOKUP(Table2[[#This Row],[Code4]],'[2]New Reason code'!$A$2:$D$77,2,0),0)</f>
        <v>During Rework time</v>
      </c>
      <c r="X400" s="62" t="str">
        <f>IFERROR(VLOOKUP(Table2[[#This Row],[Reason]],'[2]New Reason code'!$B$2:$D$77,2,0),0)</f>
        <v>Due to operator</v>
      </c>
      <c r="Y400" s="62" t="str">
        <f>IFERROR(VLOOKUP(Table2[[#This Row],[Rejection Identified at]],'[2]New Reason code'!$C$2:$D$77,2,0),0)</f>
        <v xml:space="preserve">infrastructure </v>
      </c>
    </row>
    <row r="401" spans="1:25" ht="20.25" customHeight="1">
      <c r="A401" s="50">
        <v>397</v>
      </c>
      <c r="B401" s="62"/>
      <c r="C401" s="62" t="s">
        <v>150</v>
      </c>
      <c r="D401" s="62" t="s">
        <v>117</v>
      </c>
      <c r="E401" s="62" t="str">
        <f>IFERROR(VLOOKUP(Table2[[#This Row],[M/c Name]],'[2]New Machine sheet'!$C$1:$D$101,2,0),0)</f>
        <v>Turning</v>
      </c>
      <c r="F401" s="62">
        <v>122</v>
      </c>
      <c r="G401" s="62">
        <f>IFERROR(VLOOKUP(Table2[[#This Row],[Code2]],'[2]New Machine sheet'!$F$2:$I$64,2,),0)</f>
        <v>24122</v>
      </c>
      <c r="H401" s="62" t="str">
        <f>IFERROR(VLOOKUP(Table2[[#This Row],[Code2]],'[2]New Machine sheet'!$F$2:$I$64,3,0),0)</f>
        <v>RE J1</v>
      </c>
      <c r="I401" s="62" t="s">
        <v>133</v>
      </c>
      <c r="J401" s="62">
        <v>93</v>
      </c>
      <c r="K401" s="62" t="str">
        <f>IFERROR(VLOOKUP(Table2[[#This Row],[Code3]],'[2]New defect code '!$A$2:$D$129,2,0),0)</f>
        <v>Thickness Under size</v>
      </c>
      <c r="L401" s="62" t="s">
        <v>207</v>
      </c>
      <c r="M401" s="56">
        <v>46266</v>
      </c>
      <c r="N401" s="62"/>
      <c r="O401" s="62">
        <v>6</v>
      </c>
      <c r="P401" s="62"/>
      <c r="Q401" s="62"/>
      <c r="R401" s="62">
        <f>SUBTOTAL(9,Table2[[#This Row],[1st]:[FQC]])</f>
        <v>6</v>
      </c>
      <c r="S401" s="62">
        <f>IFERROR(VLOOKUP(Table2[[#This Row],[Part No.]],'[2]New Machine sheet'!$G$2:$I$90,3,0),0)</f>
        <v>335.39977528089889</v>
      </c>
      <c r="T401" s="62">
        <f>Table2[[#This Row],[cost per piece]]*Table2[[#This Row],[Total Rej. qty]]</f>
        <v>2012.3986516853934</v>
      </c>
      <c r="U401" s="62">
        <f>IFERROR(VLOOKUP(Table2[[#This Row],[Non Conformance]],'[2]New defect code '!$B$2:$C$129,2,0),0)</f>
        <v>3258</v>
      </c>
      <c r="V401" s="62">
        <v>19</v>
      </c>
      <c r="W401" s="62" t="str">
        <f>IFERROR(VLOOKUP(Table2[[#This Row],[Code4]],'[2]New Reason code'!$A$2:$D$77,2,0),0)</f>
        <v>During Rework time</v>
      </c>
      <c r="X401" s="62" t="str">
        <f>IFERROR(VLOOKUP(Table2[[#This Row],[Reason]],'[2]New Reason code'!$B$2:$D$77,2,0),0)</f>
        <v>Due to operator</v>
      </c>
      <c r="Y401" s="62" t="str">
        <f>IFERROR(VLOOKUP(Table2[[#This Row],[Rejection Identified at]],'[2]New Reason code'!$C$2:$D$77,2,0),0)</f>
        <v xml:space="preserve">infrastructure </v>
      </c>
    </row>
    <row r="402" spans="1:25" ht="20.25" customHeight="1">
      <c r="A402" s="60">
        <v>398</v>
      </c>
      <c r="B402" s="62">
        <v>23</v>
      </c>
      <c r="C402" s="62" t="str">
        <f>IFERROR(VLOOKUP(Table2[[#This Row],[Code]],'[2]New Machine sheet'!$A$1:$D$101,2,0),0)</f>
        <v>ACE-03</v>
      </c>
      <c r="D402" s="62" t="str">
        <f>IFERROR(VLOOKUP(Table2[[#This Row],[M/c No]],'[2]New Machine sheet'!$B$1:$D$101,2,0),0)</f>
        <v>Micromatic</v>
      </c>
      <c r="E402" s="62" t="str">
        <f>IFERROR(VLOOKUP(Table2[[#This Row],[M/c Name]],'[2]New Machine sheet'!$C$1:$D$101,2,0),0)</f>
        <v>Turning</v>
      </c>
      <c r="F402" s="62">
        <v>82</v>
      </c>
      <c r="G402" s="62">
        <f>IFERROR(VLOOKUP(Table2[[#This Row],[Code2]],'[2]New Machine sheet'!$F$2:$I$64,2,),0)</f>
        <v>2482</v>
      </c>
      <c r="H402" s="62" t="str">
        <f>IFERROR(VLOOKUP(Table2[[#This Row],[Code2]],'[2]New Machine sheet'!$F$2:$I$64,3,0),0)</f>
        <v>RE P1</v>
      </c>
      <c r="I402" s="62" t="s">
        <v>120</v>
      </c>
      <c r="J402" s="62">
        <v>5</v>
      </c>
      <c r="K402" s="62" t="str">
        <f>IFERROR(VLOOKUP(Table2[[#This Row],[Code3]],'[2]New defect code '!$A$2:$D$129,2,0),0)</f>
        <v>Bore Over size</v>
      </c>
      <c r="L402" s="62" t="s">
        <v>207</v>
      </c>
      <c r="M402" s="56">
        <v>46266</v>
      </c>
      <c r="N402" s="62"/>
      <c r="O402" s="62">
        <v>2</v>
      </c>
      <c r="P402" s="62"/>
      <c r="Q402" s="62"/>
      <c r="R402" s="62">
        <f>SUBTOTAL(9,Table2[[#This Row],[1st]:[FQC]])</f>
        <v>2</v>
      </c>
      <c r="S402" s="62">
        <f>IFERROR(VLOOKUP(Table2[[#This Row],[Part No.]],'[2]New Machine sheet'!$G$2:$I$90,3,0),0)</f>
        <v>303.45333333333332</v>
      </c>
      <c r="T402" s="62">
        <f>Table2[[#This Row],[cost per piece]]*Table2[[#This Row],[Total Rej. qty]]</f>
        <v>606.90666666666664</v>
      </c>
      <c r="U402" s="62">
        <f>IFERROR(VLOOKUP(Table2[[#This Row],[Non Conformance]],'[2]New defect code '!$B$2:$C$129,2,0),0)</f>
        <v>3243</v>
      </c>
      <c r="V402" s="62">
        <v>18</v>
      </c>
      <c r="W402" s="62" t="str">
        <f>IFERROR(VLOOKUP(Table2[[#This Row],[Code4]],'[2]New Reason code'!$A$2:$D$77,2,0),0)</f>
        <v>During insert change</v>
      </c>
      <c r="X402" s="62" t="str">
        <f>IFERROR(VLOOKUP(Table2[[#This Row],[Reason]],'[2]New Reason code'!$B$2:$D$77,2,0),0)</f>
        <v xml:space="preserve">Due to Settup  </v>
      </c>
      <c r="Y402" s="62" t="str">
        <f>IFERROR(VLOOKUP(Table2[[#This Row],[Rejection Identified at]],'[2]New Reason code'!$C$2:$D$77,2,0),0)</f>
        <v>skill</v>
      </c>
    </row>
    <row r="403" spans="1:25" ht="20.25" customHeight="1">
      <c r="A403" s="50">
        <v>399</v>
      </c>
      <c r="B403" s="62">
        <v>1</v>
      </c>
      <c r="C403" s="62" t="str">
        <f>IFERROR(VLOOKUP(Table2[[#This Row],[Code]],'[2]New Machine sheet'!$A$1:$D$101,2,0),0)</f>
        <v>282-01</v>
      </c>
      <c r="D403" s="62" t="str">
        <f>IFERROR(VLOOKUP(Table2[[#This Row],[M/c No]],'[2]New Machine sheet'!$B$1:$D$101,2,0),0)</f>
        <v>Mazak</v>
      </c>
      <c r="E403" s="62" t="str">
        <f>IFERROR(VLOOKUP(Table2[[#This Row],[M/c Name]],'[2]New Machine sheet'!$C$1:$D$101,2,0),0)</f>
        <v>Turning</v>
      </c>
      <c r="F403" s="62">
        <v>28</v>
      </c>
      <c r="G403" s="62">
        <f>IFERROR(VLOOKUP(Table2[[#This Row],[Code2]],'[2]New Machine sheet'!$F$2:$I$64,2,),0)</f>
        <v>2428</v>
      </c>
      <c r="H403" s="62" t="str">
        <f>IFERROR(VLOOKUP(Table2[[#This Row],[Code2]],'[2]New Machine sheet'!$F$2:$I$64,3,0),0)</f>
        <v>RE P1</v>
      </c>
      <c r="I403" s="62"/>
      <c r="J403" s="62">
        <v>5</v>
      </c>
      <c r="K403" s="62" t="str">
        <f>IFERROR(VLOOKUP(Table2[[#This Row],[Code3]],'[2]New defect code '!$A$2:$D$129,2,0),0)</f>
        <v>Bore Over size</v>
      </c>
      <c r="L403" s="62" t="s">
        <v>207</v>
      </c>
      <c r="M403" s="56">
        <v>46266</v>
      </c>
      <c r="N403" s="62"/>
      <c r="O403" s="62">
        <v>2</v>
      </c>
      <c r="P403" s="62"/>
      <c r="Q403" s="62"/>
      <c r="R403" s="62">
        <f>SUBTOTAL(9,Table2[[#This Row],[1st]:[FQC]])</f>
        <v>2</v>
      </c>
      <c r="S403" s="62">
        <f>IFERROR(VLOOKUP(Table2[[#This Row],[Part No.]],'[2]New Machine sheet'!$G$2:$I$90,3,0),0)</f>
        <v>124.07</v>
      </c>
      <c r="T403" s="62">
        <f>Table2[[#This Row],[cost per piece]]*Table2[[#This Row],[Total Rej. qty]]</f>
        <v>248.14</v>
      </c>
      <c r="U403" s="62">
        <f>IFERROR(VLOOKUP(Table2[[#This Row],[Non Conformance]],'[2]New defect code '!$B$2:$C$129,2,0),0)</f>
        <v>3243</v>
      </c>
      <c r="V403" s="62">
        <v>18</v>
      </c>
      <c r="W403" s="62" t="str">
        <f>IFERROR(VLOOKUP(Table2[[#This Row],[Code4]],'[2]New Reason code'!$A$2:$D$77,2,0),0)</f>
        <v>During insert change</v>
      </c>
      <c r="X403" s="62" t="str">
        <f>IFERROR(VLOOKUP(Table2[[#This Row],[Reason]],'[2]New Reason code'!$B$2:$D$77,2,0),0)</f>
        <v xml:space="preserve">Due to Settup  </v>
      </c>
      <c r="Y403" s="62" t="str">
        <f>IFERROR(VLOOKUP(Table2[[#This Row],[Rejection Identified at]],'[2]New Reason code'!$C$2:$D$77,2,0),0)</f>
        <v>skill</v>
      </c>
    </row>
    <row r="404" spans="1:25" ht="20.25" customHeight="1">
      <c r="A404" s="50">
        <v>400</v>
      </c>
      <c r="B404" s="62">
        <v>42</v>
      </c>
      <c r="C404" s="62" t="str">
        <f>IFERROR(VLOOKUP(Table2[[#This Row],[Code]],'[2]New Machine sheet'!$A$1:$D$101,2,0),0)</f>
        <v>252-04</v>
      </c>
      <c r="D404" s="62" t="str">
        <f>IFERROR(VLOOKUP(Table2[[#This Row],[M/c No]],'[2]New Machine sheet'!$B$1:$D$101,2,0),0)</f>
        <v>VMC</v>
      </c>
      <c r="E404" s="62" t="str">
        <f>IFERROR(VLOOKUP(Table2[[#This Row],[M/c Name]],'[2]New Machine sheet'!$C$1:$D$101,2,0),0)</f>
        <v>VMC</v>
      </c>
      <c r="F404" s="62">
        <v>154</v>
      </c>
      <c r="G404" s="62">
        <f>IFERROR(VLOOKUP(Table2[[#This Row],[Code2]],'[2]New Machine sheet'!$F$2:$I$64,2,),0)</f>
        <v>24154</v>
      </c>
      <c r="H404" s="62" t="str">
        <f>IFERROR(VLOOKUP(Table2[[#This Row],[Code2]],'[2]New Machine sheet'!$F$2:$I$64,3,0),0)</f>
        <v>RE J1</v>
      </c>
      <c r="I404" s="62"/>
      <c r="J404" s="62">
        <v>32</v>
      </c>
      <c r="K404" s="62" t="str">
        <f>IFERROR(VLOOKUP(Table2[[#This Row],[Code3]],'[2]New defect code '!$A$2:$D$129,2,0),0)</f>
        <v>Double Dot Punching</v>
      </c>
      <c r="L404" s="62" t="s">
        <v>207</v>
      </c>
      <c r="M404" s="56">
        <v>46266</v>
      </c>
      <c r="N404" s="62"/>
      <c r="O404" s="62">
        <v>2</v>
      </c>
      <c r="P404" s="62"/>
      <c r="Q404" s="62"/>
      <c r="R404" s="62">
        <f>SUBTOTAL(9,Table2[[#This Row],[1st]:[FQC]])</f>
        <v>2</v>
      </c>
      <c r="S404" s="62">
        <f>IFERROR(VLOOKUP(Table2[[#This Row],[Part No.]],'[2]New Machine sheet'!$G$2:$I$90,3,0),0)</f>
        <v>82.64</v>
      </c>
      <c r="T404" s="62">
        <f>Table2[[#This Row],[cost per piece]]*Table2[[#This Row],[Total Rej. qty]]</f>
        <v>165.28</v>
      </c>
      <c r="U404" s="62">
        <f>IFERROR(VLOOKUP(Table2[[#This Row],[Non Conformance]],'[2]New defect code '!$B$2:$C$129,2,0),0)</f>
        <v>0</v>
      </c>
      <c r="V404" s="62">
        <v>22</v>
      </c>
      <c r="W404" s="62" t="str">
        <f>IFERROR(VLOOKUP(Table2[[#This Row],[Code4]],'[2]New Reason code'!$A$2:$D$77,2,0),0)</f>
        <v>during tool change</v>
      </c>
      <c r="X404" s="62" t="str">
        <f>IFERROR(VLOOKUP(Table2[[#This Row],[Reason]],'[2]New Reason code'!$B$2:$D$77,2,0),0)</f>
        <v>Prod Declared</v>
      </c>
      <c r="Y404" s="62" t="str">
        <f>IFERROR(VLOOKUP(Table2[[#This Row],[Rejection Identified at]],'[2]New Reason code'!$C$2:$D$77,2,0),0)</f>
        <v>Process Issue</v>
      </c>
    </row>
    <row r="405" spans="1:25" ht="20.25" customHeight="1">
      <c r="A405" s="60">
        <v>401</v>
      </c>
      <c r="B405" s="62">
        <v>44</v>
      </c>
      <c r="C405" s="62" t="str">
        <f>IFERROR(VLOOKUP(Table2[[#This Row],[Code]],'[2]New Machine sheet'!$A$1:$D$101,2,0),0)</f>
        <v>LT20-NEW</v>
      </c>
      <c r="D405" s="62" t="str">
        <f>IFERROR(VLOOKUP(Table2[[#This Row],[M/c No]],'[2]New Machine sheet'!$B$1:$D$101,2,0),0)</f>
        <v>ACE</v>
      </c>
      <c r="E405" s="62" t="str">
        <f>IFERROR(VLOOKUP(Table2[[#This Row],[M/c Name]],'[2]New Machine sheet'!$C$1:$D$101,2,0),0)</f>
        <v xml:space="preserve">turning </v>
      </c>
      <c r="F405" s="62">
        <v>78</v>
      </c>
      <c r="G405" s="62">
        <f>IFERROR(VLOOKUP(Table2[[#This Row],[Code2]],'[2]New Machine sheet'!$F$2:$I$64,2,),0)</f>
        <v>2478</v>
      </c>
      <c r="H405" s="62" t="str">
        <f>IFERROR(VLOOKUP(Table2[[#This Row],[Code2]],'[2]New Machine sheet'!$F$2:$I$64,3,0),0)</f>
        <v>RE P1</v>
      </c>
      <c r="I405" s="62" t="s">
        <v>168</v>
      </c>
      <c r="J405" s="62">
        <v>5</v>
      </c>
      <c r="K405" s="62" t="str">
        <f>IFERROR(VLOOKUP(Table2[[#This Row],[Code3]],'[2]New defect code '!$A$2:$D$129,2,0),0)</f>
        <v>Bore Over size</v>
      </c>
      <c r="L405" s="62" t="s">
        <v>207</v>
      </c>
      <c r="M405" s="56">
        <v>46266</v>
      </c>
      <c r="N405" s="62"/>
      <c r="O405" s="62">
        <v>1</v>
      </c>
      <c r="P405" s="62"/>
      <c r="Q405" s="62"/>
      <c r="R405" s="62">
        <f>SUBTOTAL(9,Table2[[#This Row],[1st]:[FQC]])</f>
        <v>1</v>
      </c>
      <c r="S405" s="62">
        <f>IFERROR(VLOOKUP(Table2[[#This Row],[Part No.]],'[2]New Machine sheet'!$G$2:$I$90,3,0),0)</f>
        <v>468.06</v>
      </c>
      <c r="T405" s="62">
        <f>Table2[[#This Row],[cost per piece]]*Table2[[#This Row],[Total Rej. qty]]</f>
        <v>468.06</v>
      </c>
      <c r="U405" s="62">
        <f>IFERROR(VLOOKUP(Table2[[#This Row],[Non Conformance]],'[2]New defect code '!$B$2:$C$129,2,0),0)</f>
        <v>3243</v>
      </c>
      <c r="V405" s="62">
        <v>18</v>
      </c>
      <c r="W405" s="62" t="str">
        <f>IFERROR(VLOOKUP(Table2[[#This Row],[Code4]],'[2]New Reason code'!$A$2:$D$77,2,0),0)</f>
        <v>During insert change</v>
      </c>
      <c r="X405" s="62" t="str">
        <f>IFERROR(VLOOKUP(Table2[[#This Row],[Reason]],'[2]New Reason code'!$B$2:$D$77,2,0),0)</f>
        <v xml:space="preserve">Due to Settup  </v>
      </c>
      <c r="Y405" s="62" t="str">
        <f>IFERROR(VLOOKUP(Table2[[#This Row],[Rejection Identified at]],'[2]New Reason code'!$C$2:$D$77,2,0),0)</f>
        <v>skill</v>
      </c>
    </row>
    <row r="406" spans="1:25" ht="20.25" customHeight="1">
      <c r="A406" s="50">
        <v>402</v>
      </c>
      <c r="B406" s="62">
        <v>44</v>
      </c>
      <c r="C406" s="62" t="str">
        <f>IFERROR(VLOOKUP(Table2[[#This Row],[Code]],'[2]New Machine sheet'!$A$1:$D$101,2,0),0)</f>
        <v>LT20-NEW</v>
      </c>
      <c r="D406" s="62" t="str">
        <f>IFERROR(VLOOKUP(Table2[[#This Row],[M/c No]],'[2]New Machine sheet'!$B$1:$D$101,2,0),0)</f>
        <v>ACE</v>
      </c>
      <c r="E406" s="62" t="str">
        <f>IFERROR(VLOOKUP(Table2[[#This Row],[M/c Name]],'[2]New Machine sheet'!$C$1:$D$101,2,0),0)</f>
        <v xml:space="preserve">turning </v>
      </c>
      <c r="F406" s="62">
        <v>78</v>
      </c>
      <c r="G406" s="62">
        <f>IFERROR(VLOOKUP(Table2[[#This Row],[Code2]],'[2]New Machine sheet'!$F$2:$I$64,2,),0)</f>
        <v>2478</v>
      </c>
      <c r="H406" s="62" t="str">
        <f>IFERROR(VLOOKUP(Table2[[#This Row],[Code2]],'[2]New Machine sheet'!$F$2:$I$64,3,0),0)</f>
        <v>RE P1</v>
      </c>
      <c r="I406" s="62" t="s">
        <v>168</v>
      </c>
      <c r="J406" s="62">
        <v>66</v>
      </c>
      <c r="K406" s="62" t="str">
        <f>IFERROR(VLOOKUP(Table2[[#This Row],[Code3]],'[2]New defect code '!$A$2:$D$129,2,0),0)</f>
        <v>OD Under Size</v>
      </c>
      <c r="L406" s="62" t="s">
        <v>207</v>
      </c>
      <c r="M406" s="56">
        <v>46266</v>
      </c>
      <c r="N406" s="62"/>
      <c r="O406" s="62">
        <v>1</v>
      </c>
      <c r="P406" s="62"/>
      <c r="Q406" s="62"/>
      <c r="R406" s="62">
        <f>SUBTOTAL(9,Table2[[#This Row],[1st]:[FQC]])</f>
        <v>1</v>
      </c>
      <c r="S406" s="62">
        <f>IFERROR(VLOOKUP(Table2[[#This Row],[Part No.]],'[2]New Machine sheet'!$G$2:$I$90,3,0),0)</f>
        <v>468.06</v>
      </c>
      <c r="T406" s="62">
        <f>Table2[[#This Row],[cost per piece]]*Table2[[#This Row],[Total Rej. qty]]</f>
        <v>468.06</v>
      </c>
      <c r="U406" s="62">
        <f>IFERROR(VLOOKUP(Table2[[#This Row],[Non Conformance]],'[2]New defect code '!$B$2:$C$129,2,0),0)</f>
        <v>3242</v>
      </c>
      <c r="V406" s="62">
        <v>18</v>
      </c>
      <c r="W406" s="62" t="str">
        <f>IFERROR(VLOOKUP(Table2[[#This Row],[Code4]],'[2]New Reason code'!$A$2:$D$77,2,0),0)</f>
        <v>During insert change</v>
      </c>
      <c r="X406" s="62" t="str">
        <f>IFERROR(VLOOKUP(Table2[[#This Row],[Reason]],'[2]New Reason code'!$B$2:$D$77,2,0),0)</f>
        <v xml:space="preserve">Due to Settup  </v>
      </c>
      <c r="Y406" s="62" t="str">
        <f>IFERROR(VLOOKUP(Table2[[#This Row],[Rejection Identified at]],'[2]New Reason code'!$C$2:$D$77,2,0),0)</f>
        <v>skill</v>
      </c>
    </row>
    <row r="407" spans="1:25" ht="20.25" customHeight="1">
      <c r="A407" s="50">
        <v>403</v>
      </c>
      <c r="B407" s="62">
        <v>20</v>
      </c>
      <c r="C407" s="62" t="str">
        <f>IFERROR(VLOOKUP(Table2[[#This Row],[Code]],'[2]New Machine sheet'!$A$1:$D$101,2,0),0)</f>
        <v>282-20</v>
      </c>
      <c r="D407" s="62" t="str">
        <f>IFERROR(VLOOKUP(Table2[[#This Row],[M/c No]],'[2]New Machine sheet'!$B$1:$D$101,2,0),0)</f>
        <v>Mazak</v>
      </c>
      <c r="E407" s="62" t="str">
        <f>IFERROR(VLOOKUP(Table2[[#This Row],[M/c Name]],'[2]New Machine sheet'!$C$1:$D$101,2,0),0)</f>
        <v>Turning</v>
      </c>
      <c r="F407" s="62">
        <v>115</v>
      </c>
      <c r="G407" s="62">
        <f>IFERROR(VLOOKUP(Table2[[#This Row],[Code2]],'[2]New Machine sheet'!$F$2:$I$64,2,),0)</f>
        <v>24115</v>
      </c>
      <c r="H407" s="62" t="str">
        <f>IFERROR(VLOOKUP(Table2[[#This Row],[Code2]],'[2]New Machine sheet'!$F$2:$I$64,3,0),0)</f>
        <v>RE J1</v>
      </c>
      <c r="I407" s="62" t="s">
        <v>176</v>
      </c>
      <c r="J407" s="62">
        <v>93</v>
      </c>
      <c r="K407" s="62" t="str">
        <f>IFERROR(VLOOKUP(Table2[[#This Row],[Code3]],'[2]New defect code '!$A$2:$D$129,2,0),0)</f>
        <v>Thickness Under size</v>
      </c>
      <c r="L407" s="62" t="s">
        <v>207</v>
      </c>
      <c r="M407" s="56">
        <v>46266</v>
      </c>
      <c r="N407" s="62"/>
      <c r="O407" s="62">
        <v>2</v>
      </c>
      <c r="P407" s="62"/>
      <c r="Q407" s="62"/>
      <c r="R407" s="62">
        <f>SUBTOTAL(9,Table2[[#This Row],[1st]:[FQC]])</f>
        <v>2</v>
      </c>
      <c r="S407" s="62">
        <f>IFERROR(VLOOKUP(Table2[[#This Row],[Part No.]],'[2]New Machine sheet'!$G$2:$I$90,3,0),0)</f>
        <v>66.900000000000006</v>
      </c>
      <c r="T407" s="62">
        <f>Table2[[#This Row],[cost per piece]]*Table2[[#This Row],[Total Rej. qty]]</f>
        <v>133.80000000000001</v>
      </c>
      <c r="U407" s="62">
        <f>IFERROR(VLOOKUP(Table2[[#This Row],[Non Conformance]],'[2]New defect code '!$B$2:$C$129,2,0),0)</f>
        <v>3258</v>
      </c>
      <c r="V407" s="62">
        <v>18</v>
      </c>
      <c r="W407" s="62" t="str">
        <f>IFERROR(VLOOKUP(Table2[[#This Row],[Code4]],'[2]New Reason code'!$A$2:$D$77,2,0),0)</f>
        <v>During insert change</v>
      </c>
      <c r="X407" s="62" t="str">
        <f>IFERROR(VLOOKUP(Table2[[#This Row],[Reason]],'[2]New Reason code'!$B$2:$D$77,2,0),0)</f>
        <v xml:space="preserve">Due to Settup  </v>
      </c>
      <c r="Y407" s="62" t="str">
        <f>IFERROR(VLOOKUP(Table2[[#This Row],[Rejection Identified at]],'[2]New Reason code'!$C$2:$D$77,2,0),0)</f>
        <v>skill</v>
      </c>
    </row>
    <row r="408" spans="1:25" ht="20.25" customHeight="1">
      <c r="A408" s="60">
        <v>404</v>
      </c>
      <c r="B408" s="62">
        <v>20</v>
      </c>
      <c r="C408" s="62" t="str">
        <f>IFERROR(VLOOKUP(Table2[[#This Row],[Code]],'[2]New Machine sheet'!$A$1:$D$101,2,0),0)</f>
        <v>282-20</v>
      </c>
      <c r="D408" s="62" t="str">
        <f>IFERROR(VLOOKUP(Table2[[#This Row],[M/c No]],'[2]New Machine sheet'!$B$1:$D$101,2,0),0)</f>
        <v>Mazak</v>
      </c>
      <c r="E408" s="62" t="str">
        <f>IFERROR(VLOOKUP(Table2[[#This Row],[M/c Name]],'[2]New Machine sheet'!$C$1:$D$101,2,0),0)</f>
        <v>Turning</v>
      </c>
      <c r="F408" s="62">
        <v>115</v>
      </c>
      <c r="G408" s="62">
        <f>IFERROR(VLOOKUP(Table2[[#This Row],[Code2]],'[2]New Machine sheet'!$F$2:$I$64,2,),0)</f>
        <v>24115</v>
      </c>
      <c r="H408" s="62" t="str">
        <f>IFERROR(VLOOKUP(Table2[[#This Row],[Code2]],'[2]New Machine sheet'!$F$2:$I$64,3,0),0)</f>
        <v>RE J1</v>
      </c>
      <c r="I408" s="62" t="s">
        <v>176</v>
      </c>
      <c r="J408" s="62">
        <v>5</v>
      </c>
      <c r="K408" s="62" t="str">
        <f>IFERROR(VLOOKUP(Table2[[#This Row],[Code3]],'[2]New defect code '!$A$2:$D$129,2,0),0)</f>
        <v>Bore Over size</v>
      </c>
      <c r="L408" s="62" t="s">
        <v>207</v>
      </c>
      <c r="M408" s="56">
        <v>46266</v>
      </c>
      <c r="N408" s="62"/>
      <c r="O408" s="62">
        <v>6</v>
      </c>
      <c r="P408" s="62"/>
      <c r="Q408" s="62"/>
      <c r="R408" s="62">
        <f>SUBTOTAL(9,Table2[[#This Row],[1st]:[FQC]])</f>
        <v>6</v>
      </c>
      <c r="S408" s="62">
        <f>IFERROR(VLOOKUP(Table2[[#This Row],[Part No.]],'[2]New Machine sheet'!$G$2:$I$90,3,0),0)</f>
        <v>66.900000000000006</v>
      </c>
      <c r="T408" s="62">
        <f>Table2[[#This Row],[cost per piece]]*Table2[[#This Row],[Total Rej. qty]]</f>
        <v>401.40000000000003</v>
      </c>
      <c r="U408" s="62">
        <f>IFERROR(VLOOKUP(Table2[[#This Row],[Non Conformance]],'[2]New defect code '!$B$2:$C$129,2,0),0)</f>
        <v>3243</v>
      </c>
      <c r="V408" s="62">
        <v>70</v>
      </c>
      <c r="W408" s="62" t="str">
        <f>IFERROR(VLOOKUP(Table2[[#This Row],[Code4]],'[2]New Reason code'!$A$2:$D$77,2,0),0)</f>
        <v>Insert Wear Out</v>
      </c>
      <c r="X408" s="62" t="str">
        <f>IFERROR(VLOOKUP(Table2[[#This Row],[Reason]],'[2]New Reason code'!$B$2:$D$77,2,0),0)</f>
        <v>Line audit</v>
      </c>
      <c r="Y408" s="62" t="str">
        <f>IFERROR(VLOOKUP(Table2[[#This Row],[Rejection Identified at]],'[2]New Reason code'!$C$2:$D$77,2,0),0)</f>
        <v>Process Issue</v>
      </c>
    </row>
    <row r="409" spans="1:25" ht="20.25" customHeight="1">
      <c r="A409" s="50">
        <v>405</v>
      </c>
      <c r="B409" s="62">
        <v>41</v>
      </c>
      <c r="C409" s="62" t="str">
        <f>IFERROR(VLOOKUP(Table2[[#This Row],[Code]],'[2]New Machine sheet'!$A$1:$D$101,2,0),0)</f>
        <v>252-03</v>
      </c>
      <c r="D409" s="62" t="str">
        <f>IFERROR(VLOOKUP(Table2[[#This Row],[M/c No]],'[2]New Machine sheet'!$B$1:$D$101,2,0),0)</f>
        <v>VMC</v>
      </c>
      <c r="E409" s="62" t="str">
        <f>IFERROR(VLOOKUP(Table2[[#This Row],[M/c Name]],'[2]New Machine sheet'!$C$1:$D$101,2,0),0)</f>
        <v>VMC</v>
      </c>
      <c r="F409" s="62">
        <v>155</v>
      </c>
      <c r="G409" s="62">
        <f>IFERROR(VLOOKUP(Table2[[#This Row],[Code2]],'[2]New Machine sheet'!$F$2:$I$64,2,),0)</f>
        <v>24155</v>
      </c>
      <c r="H409" s="62" t="str">
        <f>IFERROR(VLOOKUP(Table2[[#This Row],[Code2]],'[2]New Machine sheet'!$F$2:$I$64,3,0),0)</f>
        <v>RE J1</v>
      </c>
      <c r="I409" s="62" t="s">
        <v>122</v>
      </c>
      <c r="J409" s="62">
        <v>72</v>
      </c>
      <c r="K409" s="62" t="str">
        <f>IFERROR(VLOOKUP(Table2[[#This Row],[Code3]],'[2]New defect code '!$A$2:$D$129,2,0),0)</f>
        <v xml:space="preserve">PG No Go pass </v>
      </c>
      <c r="L409" s="62" t="s">
        <v>207</v>
      </c>
      <c r="M409" s="56">
        <v>46266</v>
      </c>
      <c r="N409" s="62"/>
      <c r="O409" s="62">
        <v>3</v>
      </c>
      <c r="P409" s="62"/>
      <c r="Q409" s="62"/>
      <c r="R409" s="62">
        <f>SUBTOTAL(9,Table2[[#This Row],[1st]:[FQC]])</f>
        <v>3</v>
      </c>
      <c r="S409" s="62">
        <f>IFERROR(VLOOKUP(Table2[[#This Row],[Part No.]],'[2]New Machine sheet'!$G$2:$I$90,3,0),0)</f>
        <v>107.67</v>
      </c>
      <c r="T409" s="62">
        <f>Table2[[#This Row],[cost per piece]]*Table2[[#This Row],[Total Rej. qty]]</f>
        <v>323.01</v>
      </c>
      <c r="U409" s="62">
        <f>IFERROR(VLOOKUP(Table2[[#This Row],[Non Conformance]],'[2]New defect code '!$B$2:$C$129,2,0),0)</f>
        <v>0</v>
      </c>
      <c r="V409" s="62">
        <v>19</v>
      </c>
      <c r="W409" s="62" t="str">
        <f>IFERROR(VLOOKUP(Table2[[#This Row],[Code4]],'[2]New Reason code'!$A$2:$D$77,2,0),0)</f>
        <v>During Rework time</v>
      </c>
      <c r="X409" s="62" t="str">
        <f>IFERROR(VLOOKUP(Table2[[#This Row],[Reason]],'[2]New Reason code'!$B$2:$D$77,2,0),0)</f>
        <v>Due to operator</v>
      </c>
      <c r="Y409" s="62" t="str">
        <f>IFERROR(VLOOKUP(Table2[[#This Row],[Rejection Identified at]],'[2]New Reason code'!$C$2:$D$77,2,0),0)</f>
        <v xml:space="preserve">infrastructure </v>
      </c>
    </row>
    <row r="410" spans="1:25" ht="20.25" customHeight="1">
      <c r="A410" s="50">
        <v>406</v>
      </c>
      <c r="B410" s="62">
        <v>10</v>
      </c>
      <c r="C410" s="62" t="str">
        <f>IFERROR(VLOOKUP(Table2[[#This Row],[Code]],'[2]New Machine sheet'!$A$1:$D$101,2,0),0)</f>
        <v>282-10</v>
      </c>
      <c r="D410" s="62" t="str">
        <f>IFERROR(VLOOKUP(Table2[[#This Row],[M/c No]],'[2]New Machine sheet'!$B$1:$D$101,2,0),0)</f>
        <v>Mazak</v>
      </c>
      <c r="E410" s="62" t="str">
        <f>IFERROR(VLOOKUP(Table2[[#This Row],[M/c Name]],'[2]New Machine sheet'!$C$1:$D$101,2,0),0)</f>
        <v>Turning</v>
      </c>
      <c r="F410" s="62">
        <v>155</v>
      </c>
      <c r="G410" s="62">
        <f>IFERROR(VLOOKUP(Table2[[#This Row],[Code2]],'[2]New Machine sheet'!$F$2:$I$64,2,),0)</f>
        <v>24155</v>
      </c>
      <c r="H410" s="62" t="str">
        <f>IFERROR(VLOOKUP(Table2[[#This Row],[Code2]],'[2]New Machine sheet'!$F$2:$I$64,3,0),0)</f>
        <v>RE J1</v>
      </c>
      <c r="I410" s="62" t="s">
        <v>171</v>
      </c>
      <c r="J410" s="62">
        <v>93</v>
      </c>
      <c r="K410" s="62" t="str">
        <f>IFERROR(VLOOKUP(Table2[[#This Row],[Code3]],'[2]New defect code '!$A$2:$D$129,2,0),0)</f>
        <v>Thickness Under size</v>
      </c>
      <c r="L410" s="62" t="s">
        <v>207</v>
      </c>
      <c r="M410" s="56">
        <v>46266</v>
      </c>
      <c r="N410" s="62"/>
      <c r="O410" s="62">
        <v>5</v>
      </c>
      <c r="P410" s="62"/>
      <c r="Q410" s="62"/>
      <c r="R410" s="62">
        <f>SUBTOTAL(9,Table2[[#This Row],[1st]:[FQC]])</f>
        <v>5</v>
      </c>
      <c r="S410" s="62">
        <f>IFERROR(VLOOKUP(Table2[[#This Row],[Part No.]],'[2]New Machine sheet'!$G$2:$I$90,3,0),0)</f>
        <v>107.67</v>
      </c>
      <c r="T410" s="62">
        <f>Table2[[#This Row],[cost per piece]]*Table2[[#This Row],[Total Rej. qty]]</f>
        <v>538.35</v>
      </c>
      <c r="U410" s="62">
        <f>IFERROR(VLOOKUP(Table2[[#This Row],[Non Conformance]],'[2]New defect code '!$B$2:$C$129,2,0),0)</f>
        <v>3258</v>
      </c>
      <c r="V410" s="62">
        <v>19</v>
      </c>
      <c r="W410" s="62" t="str">
        <f>IFERROR(VLOOKUP(Table2[[#This Row],[Code4]],'[2]New Reason code'!$A$2:$D$77,2,0),0)</f>
        <v>During Rework time</v>
      </c>
      <c r="X410" s="62" t="str">
        <f>IFERROR(VLOOKUP(Table2[[#This Row],[Reason]],'[2]New Reason code'!$B$2:$D$77,2,0),0)</f>
        <v>Due to operator</v>
      </c>
      <c r="Y410" s="62" t="str">
        <f>IFERROR(VLOOKUP(Table2[[#This Row],[Rejection Identified at]],'[2]New Reason code'!$C$2:$D$77,2,0),0)</f>
        <v xml:space="preserve">infrastructure </v>
      </c>
    </row>
    <row r="411" spans="1:25" ht="20.25" customHeight="1">
      <c r="A411" s="60">
        <v>407</v>
      </c>
      <c r="B411" s="62">
        <v>10</v>
      </c>
      <c r="C411" s="62" t="str">
        <f>IFERROR(VLOOKUP(Table2[[#This Row],[Code]],'[2]New Machine sheet'!$A$1:$D$101,2,0),0)</f>
        <v>282-10</v>
      </c>
      <c r="D411" s="62" t="str">
        <f>IFERROR(VLOOKUP(Table2[[#This Row],[M/c No]],'[2]New Machine sheet'!$B$1:$D$101,2,0),0)</f>
        <v>Mazak</v>
      </c>
      <c r="E411" s="62" t="str">
        <f>IFERROR(VLOOKUP(Table2[[#This Row],[M/c Name]],'[2]New Machine sheet'!$C$1:$D$101,2,0),0)</f>
        <v>Turning</v>
      </c>
      <c r="F411" s="62">
        <v>155</v>
      </c>
      <c r="G411" s="62">
        <f>IFERROR(VLOOKUP(Table2[[#This Row],[Code2]],'[2]New Machine sheet'!$F$2:$I$64,2,),0)</f>
        <v>24155</v>
      </c>
      <c r="H411" s="62" t="str">
        <f>IFERROR(VLOOKUP(Table2[[#This Row],[Code2]],'[2]New Machine sheet'!$F$2:$I$64,3,0),0)</f>
        <v>RE J1</v>
      </c>
      <c r="I411" s="62" t="s">
        <v>171</v>
      </c>
      <c r="J411" s="62">
        <v>5</v>
      </c>
      <c r="K411" s="62" t="str">
        <f>IFERROR(VLOOKUP(Table2[[#This Row],[Code3]],'[2]New defect code '!$A$2:$D$129,2,0),0)</f>
        <v>Bore Over size</v>
      </c>
      <c r="L411" s="62" t="s">
        <v>207</v>
      </c>
      <c r="M411" s="56">
        <v>46266</v>
      </c>
      <c r="N411" s="62"/>
      <c r="O411" s="62">
        <v>5</v>
      </c>
      <c r="P411" s="62"/>
      <c r="Q411" s="62"/>
      <c r="R411" s="62">
        <f>SUBTOTAL(9,Table2[[#This Row],[1st]:[FQC]])</f>
        <v>5</v>
      </c>
      <c r="S411" s="62">
        <f>IFERROR(VLOOKUP(Table2[[#This Row],[Part No.]],'[2]New Machine sheet'!$G$2:$I$90,3,0),0)</f>
        <v>107.67</v>
      </c>
      <c r="T411" s="62">
        <f>Table2[[#This Row],[cost per piece]]*Table2[[#This Row],[Total Rej. qty]]</f>
        <v>538.35</v>
      </c>
      <c r="U411" s="62">
        <f>IFERROR(VLOOKUP(Table2[[#This Row],[Non Conformance]],'[2]New defect code '!$B$2:$C$129,2,0),0)</f>
        <v>3243</v>
      </c>
      <c r="V411" s="62">
        <v>19</v>
      </c>
      <c r="W411" s="62" t="str">
        <f>IFERROR(VLOOKUP(Table2[[#This Row],[Code4]],'[2]New Reason code'!$A$2:$D$77,2,0),0)</f>
        <v>During Rework time</v>
      </c>
      <c r="X411" s="62" t="str">
        <f>IFERROR(VLOOKUP(Table2[[#This Row],[Reason]],'[2]New Reason code'!$B$2:$D$77,2,0),0)</f>
        <v>Due to operator</v>
      </c>
      <c r="Y411" s="62" t="str">
        <f>IFERROR(VLOOKUP(Table2[[#This Row],[Rejection Identified at]],'[2]New Reason code'!$C$2:$D$77,2,0),0)</f>
        <v xml:space="preserve">infrastructure </v>
      </c>
    </row>
    <row r="412" spans="1:25" ht="20.25" customHeight="1">
      <c r="A412" s="50">
        <v>408</v>
      </c>
      <c r="B412" s="62">
        <v>14</v>
      </c>
      <c r="C412" s="62" t="str">
        <f>IFERROR(VLOOKUP(Table2[[#This Row],[Code]],'[2]New Machine sheet'!$A$1:$D$101,2,0),0)</f>
        <v>282-14</v>
      </c>
      <c r="D412" s="62" t="str">
        <f>IFERROR(VLOOKUP(Table2[[#This Row],[M/c No]],'[2]New Machine sheet'!$B$1:$D$101,2,0),0)</f>
        <v>Mazak</v>
      </c>
      <c r="E412" s="62" t="str">
        <f>IFERROR(VLOOKUP(Table2[[#This Row],[M/c Name]],'[2]New Machine sheet'!$C$1:$D$101,2,0),0)</f>
        <v>Turning</v>
      </c>
      <c r="F412" s="62">
        <v>155</v>
      </c>
      <c r="G412" s="62">
        <f>IFERROR(VLOOKUP(Table2[[#This Row],[Code2]],'[2]New Machine sheet'!$F$2:$I$64,2,),0)</f>
        <v>24155</v>
      </c>
      <c r="H412" s="62" t="str">
        <f>IFERROR(VLOOKUP(Table2[[#This Row],[Code2]],'[2]New Machine sheet'!$F$2:$I$64,3,0),0)</f>
        <v>RE J1</v>
      </c>
      <c r="I412" s="62"/>
      <c r="J412" s="62">
        <v>5</v>
      </c>
      <c r="K412" s="62" t="str">
        <f>IFERROR(VLOOKUP(Table2[[#This Row],[Code3]],'[2]New defect code '!$A$2:$D$129,2,0),0)</f>
        <v>Bore Over size</v>
      </c>
      <c r="L412" s="62" t="s">
        <v>207</v>
      </c>
      <c r="M412" s="56">
        <v>46266</v>
      </c>
      <c r="N412" s="62"/>
      <c r="O412" s="62">
        <v>3</v>
      </c>
      <c r="P412" s="62"/>
      <c r="Q412" s="62"/>
      <c r="R412" s="62">
        <f>SUBTOTAL(9,Table2[[#This Row],[1st]:[FQC]])</f>
        <v>3</v>
      </c>
      <c r="S412" s="62">
        <f>IFERROR(VLOOKUP(Table2[[#This Row],[Part No.]],'[2]New Machine sheet'!$G$2:$I$90,3,0),0)</f>
        <v>107.67</v>
      </c>
      <c r="T412" s="62">
        <f>Table2[[#This Row],[cost per piece]]*Table2[[#This Row],[Total Rej. qty]]</f>
        <v>323.01</v>
      </c>
      <c r="U412" s="62">
        <f>IFERROR(VLOOKUP(Table2[[#This Row],[Non Conformance]],'[2]New defect code '!$B$2:$C$129,2,0),0)</f>
        <v>3243</v>
      </c>
      <c r="V412" s="62">
        <v>70</v>
      </c>
      <c r="W412" s="62" t="str">
        <f>IFERROR(VLOOKUP(Table2[[#This Row],[Code4]],'[2]New Reason code'!$A$2:$D$77,2,0),0)</f>
        <v>Insert Wear Out</v>
      </c>
      <c r="X412" s="62" t="str">
        <f>IFERROR(VLOOKUP(Table2[[#This Row],[Reason]],'[2]New Reason code'!$B$2:$D$77,2,0),0)</f>
        <v>Line audit</v>
      </c>
      <c r="Y412" s="62" t="str">
        <f>IFERROR(VLOOKUP(Table2[[#This Row],[Rejection Identified at]],'[2]New Reason code'!$C$2:$D$77,2,0),0)</f>
        <v>Process Issue</v>
      </c>
    </row>
    <row r="413" spans="1:25" ht="20.25" customHeight="1">
      <c r="A413" s="50">
        <v>409</v>
      </c>
      <c r="B413" s="62">
        <v>14</v>
      </c>
      <c r="C413" s="62" t="str">
        <f>IFERROR(VLOOKUP(Table2[[#This Row],[Code]],'[2]New Machine sheet'!$A$1:$D$101,2,0),0)</f>
        <v>282-14</v>
      </c>
      <c r="D413" s="62" t="str">
        <f>IFERROR(VLOOKUP(Table2[[#This Row],[M/c No]],'[2]New Machine sheet'!$B$1:$D$101,2,0),0)</f>
        <v>Mazak</v>
      </c>
      <c r="E413" s="62" t="str">
        <f>IFERROR(VLOOKUP(Table2[[#This Row],[M/c Name]],'[2]New Machine sheet'!$C$1:$D$101,2,0),0)</f>
        <v>Turning</v>
      </c>
      <c r="F413" s="62">
        <v>155</v>
      </c>
      <c r="G413" s="62">
        <f>IFERROR(VLOOKUP(Table2[[#This Row],[Code2]],'[2]New Machine sheet'!$F$2:$I$64,2,),0)</f>
        <v>24155</v>
      </c>
      <c r="H413" s="62" t="str">
        <f>IFERROR(VLOOKUP(Table2[[#This Row],[Code2]],'[2]New Machine sheet'!$F$2:$I$64,3,0),0)</f>
        <v>RE J1</v>
      </c>
      <c r="I413" s="62"/>
      <c r="J413" s="62">
        <v>5</v>
      </c>
      <c r="K413" s="62" t="str">
        <f>IFERROR(VLOOKUP(Table2[[#This Row],[Code3]],'[2]New defect code '!$A$2:$D$129,2,0),0)</f>
        <v>Bore Over size</v>
      </c>
      <c r="L413" s="62" t="s">
        <v>207</v>
      </c>
      <c r="M413" s="56">
        <v>46266</v>
      </c>
      <c r="N413" s="62"/>
      <c r="O413" s="62">
        <v>2</v>
      </c>
      <c r="P413" s="62"/>
      <c r="Q413" s="62"/>
      <c r="R413" s="62">
        <f>SUBTOTAL(9,Table2[[#This Row],[1st]:[FQC]])</f>
        <v>2</v>
      </c>
      <c r="S413" s="62">
        <f>IFERROR(VLOOKUP(Table2[[#This Row],[Part No.]],'[2]New Machine sheet'!$G$2:$I$90,3,0),0)</f>
        <v>107.67</v>
      </c>
      <c r="T413" s="62">
        <f>Table2[[#This Row],[cost per piece]]*Table2[[#This Row],[Total Rej. qty]]</f>
        <v>215.34</v>
      </c>
      <c r="U413" s="62">
        <f>IFERROR(VLOOKUP(Table2[[#This Row],[Non Conformance]],'[2]New defect code '!$B$2:$C$129,2,0),0)</f>
        <v>3243</v>
      </c>
      <c r="V413" s="62">
        <v>18</v>
      </c>
      <c r="W413" s="62" t="str">
        <f>IFERROR(VLOOKUP(Table2[[#This Row],[Code4]],'[2]New Reason code'!$A$2:$D$77,2,0),0)</f>
        <v>During insert change</v>
      </c>
      <c r="X413" s="62" t="str">
        <f>IFERROR(VLOOKUP(Table2[[#This Row],[Reason]],'[2]New Reason code'!$B$2:$D$77,2,0),0)</f>
        <v xml:space="preserve">Due to Settup  </v>
      </c>
      <c r="Y413" s="62" t="str">
        <f>IFERROR(VLOOKUP(Table2[[#This Row],[Rejection Identified at]],'[2]New Reason code'!$C$2:$D$77,2,0),0)</f>
        <v>skill</v>
      </c>
    </row>
    <row r="414" spans="1:25" ht="20.25" customHeight="1">
      <c r="A414" s="60">
        <v>410</v>
      </c>
      <c r="B414" s="62">
        <v>2</v>
      </c>
      <c r="C414" s="62" t="str">
        <f>IFERROR(VLOOKUP(Table2[[#This Row],[Code]],'[2]New Machine sheet'!$A$1:$D$101,2,0),0)</f>
        <v>282-02</v>
      </c>
      <c r="D414" s="62" t="str">
        <f>IFERROR(VLOOKUP(Table2[[#This Row],[M/c No]],'[2]New Machine sheet'!$B$1:$D$101,2,0),0)</f>
        <v>Mazak</v>
      </c>
      <c r="E414" s="62" t="str">
        <f>IFERROR(VLOOKUP(Table2[[#This Row],[M/c Name]],'[2]New Machine sheet'!$C$1:$D$101,2,0),0)</f>
        <v>Turning</v>
      </c>
      <c r="F414" s="62">
        <v>121</v>
      </c>
      <c r="G414" s="62">
        <f>IFERROR(VLOOKUP(Table2[[#This Row],[Code2]],'[2]New Machine sheet'!$F$2:$I$64,2,),0)</f>
        <v>24121</v>
      </c>
      <c r="H414" s="62" t="str">
        <f>IFERROR(VLOOKUP(Table2[[#This Row],[Code2]],'[2]New Machine sheet'!$F$2:$I$64,3,0),0)</f>
        <v>RE J1</v>
      </c>
      <c r="I414" s="62"/>
      <c r="J414" s="62">
        <v>5</v>
      </c>
      <c r="K414" s="62" t="str">
        <f>IFERROR(VLOOKUP(Table2[[#This Row],[Code3]],'[2]New defect code '!$A$2:$D$129,2,0),0)</f>
        <v>Bore Over size</v>
      </c>
      <c r="L414" s="62" t="s">
        <v>207</v>
      </c>
      <c r="M414" s="56">
        <v>46266</v>
      </c>
      <c r="N414" s="62"/>
      <c r="O414" s="62">
        <v>7</v>
      </c>
      <c r="P414" s="62"/>
      <c r="Q414" s="62"/>
      <c r="R414" s="62">
        <f>SUBTOTAL(9,Table2[[#This Row],[1st]:[FQC]])</f>
        <v>7</v>
      </c>
      <c r="S414" s="62">
        <f>IFERROR(VLOOKUP(Table2[[#This Row],[Part No.]],'[2]New Machine sheet'!$G$2:$I$90,3,0),0)</f>
        <v>135.66999999999999</v>
      </c>
      <c r="T414" s="62">
        <f>Table2[[#This Row],[cost per piece]]*Table2[[#This Row],[Total Rej. qty]]</f>
        <v>949.68999999999994</v>
      </c>
      <c r="U414" s="62">
        <f>IFERROR(VLOOKUP(Table2[[#This Row],[Non Conformance]],'[2]New defect code '!$B$2:$C$129,2,0),0)</f>
        <v>3243</v>
      </c>
      <c r="V414" s="62">
        <v>64</v>
      </c>
      <c r="W414" s="62" t="str">
        <f>IFERROR(VLOOKUP(Table2[[#This Row],[Code4]],'[2]New Reason code'!$A$2:$D$77,2,0),0)</f>
        <v>Wrong correction</v>
      </c>
      <c r="X414" s="62" t="str">
        <f>IFERROR(VLOOKUP(Table2[[#This Row],[Reason]],'[2]New Reason code'!$B$2:$D$77,2,0),0)</f>
        <v>Due to operator</v>
      </c>
      <c r="Y414" s="62" t="str">
        <f>IFERROR(VLOOKUP(Table2[[#This Row],[Rejection Identified at]],'[2]New Reason code'!$C$2:$D$77,2,0),0)</f>
        <v xml:space="preserve">infrastructure </v>
      </c>
    </row>
    <row r="415" spans="1:25" ht="20.25" customHeight="1">
      <c r="A415" s="50">
        <v>411</v>
      </c>
      <c r="B415" s="62">
        <v>17</v>
      </c>
      <c r="C415" s="62" t="str">
        <f>IFERROR(VLOOKUP(Table2[[#This Row],[Code]],'[2]New Machine sheet'!$A$1:$D$101,2,0),0)</f>
        <v>282-17</v>
      </c>
      <c r="D415" s="62" t="str">
        <f>IFERROR(VLOOKUP(Table2[[#This Row],[M/c No]],'[2]New Machine sheet'!$B$1:$D$101,2,0),0)</f>
        <v>Mazak</v>
      </c>
      <c r="E415" s="62" t="str">
        <f>IFERROR(VLOOKUP(Table2[[#This Row],[M/c Name]],'[2]New Machine sheet'!$C$1:$D$101,2,0),0)</f>
        <v>Turning</v>
      </c>
      <c r="F415" s="62">
        <v>113</v>
      </c>
      <c r="G415" s="62">
        <f>IFERROR(VLOOKUP(Table2[[#This Row],[Code2]],'[2]New Machine sheet'!$F$2:$I$64,2,),0)</f>
        <v>24113</v>
      </c>
      <c r="H415" s="62" t="str">
        <f>IFERROR(VLOOKUP(Table2[[#This Row],[Code2]],'[2]New Machine sheet'!$F$2:$I$64,3,0),0)</f>
        <v>RE J1</v>
      </c>
      <c r="I415" s="62"/>
      <c r="J415" s="62">
        <v>93</v>
      </c>
      <c r="K415" s="62" t="str">
        <f>IFERROR(VLOOKUP(Table2[[#This Row],[Code3]],'[2]New defect code '!$A$2:$D$129,2,0),0)</f>
        <v>Thickness Under size</v>
      </c>
      <c r="L415" s="62" t="s">
        <v>207</v>
      </c>
      <c r="M415" s="56">
        <v>46266</v>
      </c>
      <c r="N415" s="62"/>
      <c r="O415" s="62">
        <v>1</v>
      </c>
      <c r="P415" s="62"/>
      <c r="Q415" s="62"/>
      <c r="R415" s="62">
        <f>SUBTOTAL(9,Table2[[#This Row],[1st]:[FQC]])</f>
        <v>1</v>
      </c>
      <c r="S415" s="62">
        <f>IFERROR(VLOOKUP(Table2[[#This Row],[Part No.]],'[2]New Machine sheet'!$G$2:$I$90,3,0),0)</f>
        <v>90</v>
      </c>
      <c r="T415" s="62">
        <f>Table2[[#This Row],[cost per piece]]*Table2[[#This Row],[Total Rej. qty]]</f>
        <v>90</v>
      </c>
      <c r="U415" s="62">
        <f>IFERROR(VLOOKUP(Table2[[#This Row],[Non Conformance]],'[2]New defect code '!$B$2:$C$129,2,0),0)</f>
        <v>3258</v>
      </c>
      <c r="V415" s="62">
        <v>18</v>
      </c>
      <c r="W415" s="62" t="str">
        <f>IFERROR(VLOOKUP(Table2[[#This Row],[Code4]],'[2]New Reason code'!$A$2:$D$77,2,0),0)</f>
        <v>During insert change</v>
      </c>
      <c r="X415" s="62" t="str">
        <f>IFERROR(VLOOKUP(Table2[[#This Row],[Reason]],'[2]New Reason code'!$B$2:$D$77,2,0),0)</f>
        <v xml:space="preserve">Due to Settup  </v>
      </c>
      <c r="Y415" s="62" t="str">
        <f>IFERROR(VLOOKUP(Table2[[#This Row],[Rejection Identified at]],'[2]New Reason code'!$C$2:$D$77,2,0),0)</f>
        <v>skill</v>
      </c>
    </row>
    <row r="416" spans="1:25" ht="20.25" customHeight="1">
      <c r="A416" s="50">
        <v>412</v>
      </c>
      <c r="B416" s="62">
        <v>45</v>
      </c>
      <c r="C416" s="62" t="str">
        <f>IFERROR(VLOOKUP(Table2[[#This Row],[Code]],'[2]New Machine sheet'!$A$1:$D$101,2,0),0)</f>
        <v>MURATEC-01</v>
      </c>
      <c r="D416" s="62" t="str">
        <f>IFERROR(VLOOKUP(Table2[[#This Row],[M/c No]],'[2]New Machine sheet'!$B$1:$D$101,2,0),0)</f>
        <v>MURATEC</v>
      </c>
      <c r="E416" s="62" t="str">
        <f>IFERROR(VLOOKUP(Table2[[#This Row],[M/c Name]],'[2]New Machine sheet'!$C$1:$D$101,2,0),0)</f>
        <v xml:space="preserve">turning </v>
      </c>
      <c r="F416" s="62">
        <v>122</v>
      </c>
      <c r="G416" s="62">
        <f>IFERROR(VLOOKUP(Table2[[#This Row],[Code2]],'[2]New Machine sheet'!$F$2:$I$64,2,),0)</f>
        <v>24122</v>
      </c>
      <c r="H416" s="62" t="str">
        <f>IFERROR(VLOOKUP(Table2[[#This Row],[Code2]],'[2]New Machine sheet'!$F$2:$I$64,3,0),0)</f>
        <v>RE J1</v>
      </c>
      <c r="I416" s="62" t="s">
        <v>146</v>
      </c>
      <c r="J416" s="62">
        <v>66</v>
      </c>
      <c r="K416" s="62" t="str">
        <f>IFERROR(VLOOKUP(Table2[[#This Row],[Code3]],'[2]New defect code '!$A$2:$D$129,2,0),0)</f>
        <v>OD Under Size</v>
      </c>
      <c r="L416" s="62" t="s">
        <v>207</v>
      </c>
      <c r="M416" s="56">
        <v>46266</v>
      </c>
      <c r="N416" s="62"/>
      <c r="O416" s="62">
        <v>1</v>
      </c>
      <c r="P416" s="62"/>
      <c r="Q416" s="62"/>
      <c r="R416" s="62">
        <f>SUBTOTAL(9,Table2[[#This Row],[1st]:[FQC]])</f>
        <v>1</v>
      </c>
      <c r="S416" s="62">
        <f>IFERROR(VLOOKUP(Table2[[#This Row],[Part No.]],'[2]New Machine sheet'!$G$2:$I$90,3,0),0)</f>
        <v>335.39977528089889</v>
      </c>
      <c r="T416" s="62">
        <f>Table2[[#This Row],[cost per piece]]*Table2[[#This Row],[Total Rej. qty]]</f>
        <v>335.39977528089889</v>
      </c>
      <c r="U416" s="62">
        <f>IFERROR(VLOOKUP(Table2[[#This Row],[Non Conformance]],'[2]New defect code '!$B$2:$C$129,2,0),0)</f>
        <v>3242</v>
      </c>
      <c r="V416" s="62">
        <v>18</v>
      </c>
      <c r="W416" s="62" t="str">
        <f>IFERROR(VLOOKUP(Table2[[#This Row],[Code4]],'[2]New Reason code'!$A$2:$D$77,2,0),0)</f>
        <v>During insert change</v>
      </c>
      <c r="X416" s="62" t="str">
        <f>IFERROR(VLOOKUP(Table2[[#This Row],[Reason]],'[2]New Reason code'!$B$2:$D$77,2,0),0)</f>
        <v xml:space="preserve">Due to Settup  </v>
      </c>
      <c r="Y416" s="62" t="str">
        <f>IFERROR(VLOOKUP(Table2[[#This Row],[Rejection Identified at]],'[2]New Reason code'!$C$2:$D$77,2,0),0)</f>
        <v>skill</v>
      </c>
    </row>
    <row r="417" spans="1:25" ht="20.25" customHeight="1">
      <c r="A417" s="60">
        <v>413</v>
      </c>
      <c r="B417" s="62">
        <v>15</v>
      </c>
      <c r="C417" s="62" t="str">
        <f>IFERROR(VLOOKUP(Table2[[#This Row],[Code]],'[2]New Machine sheet'!$A$1:$D$101,2,0),0)</f>
        <v>282-15</v>
      </c>
      <c r="D417" s="62" t="str">
        <f>IFERROR(VLOOKUP(Table2[[#This Row],[M/c No]],'[2]New Machine sheet'!$B$1:$D$101,2,0),0)</f>
        <v>Mazak</v>
      </c>
      <c r="E417" s="62" t="str">
        <f>IFERROR(VLOOKUP(Table2[[#This Row],[M/c Name]],'[2]New Machine sheet'!$C$1:$D$101,2,0),0)</f>
        <v>Turning</v>
      </c>
      <c r="F417" s="62">
        <v>127</v>
      </c>
      <c r="G417" s="62">
        <f>IFERROR(VLOOKUP(Table2[[#This Row],[Code2]],'[2]New Machine sheet'!$F$2:$I$64,2,),0)</f>
        <v>24127</v>
      </c>
      <c r="H417" s="62" t="str">
        <f>IFERROR(VLOOKUP(Table2[[#This Row],[Code2]],'[2]New Machine sheet'!$F$2:$I$64,3,0),0)</f>
        <v>RE J1</v>
      </c>
      <c r="I417" s="62" t="s">
        <v>122</v>
      </c>
      <c r="J417" s="62">
        <v>66</v>
      </c>
      <c r="K417" s="62" t="str">
        <f>IFERROR(VLOOKUP(Table2[[#This Row],[Code3]],'[2]New defect code '!$A$2:$D$129,2,0),0)</f>
        <v>OD Under Size</v>
      </c>
      <c r="L417" s="62" t="s">
        <v>207</v>
      </c>
      <c r="M417" s="56">
        <v>46266</v>
      </c>
      <c r="N417" s="62"/>
      <c r="O417" s="62"/>
      <c r="P417" s="62">
        <v>12</v>
      </c>
      <c r="Q417" s="62"/>
      <c r="R417" s="62">
        <f>SUBTOTAL(9,Table2[[#This Row],[1st]:[FQC]])</f>
        <v>12</v>
      </c>
      <c r="S417" s="62">
        <f>IFERROR(VLOOKUP(Table2[[#This Row],[Part No.]],'[2]New Machine sheet'!$G$2:$I$90,3,0),0)</f>
        <v>262.81200000000001</v>
      </c>
      <c r="T417" s="62">
        <f>Table2[[#This Row],[cost per piece]]*Table2[[#This Row],[Total Rej. qty]]</f>
        <v>3153.7440000000001</v>
      </c>
      <c r="U417" s="62">
        <f>IFERROR(VLOOKUP(Table2[[#This Row],[Non Conformance]],'[2]New defect code '!$B$2:$C$129,2,0),0)</f>
        <v>3242</v>
      </c>
      <c r="V417" s="62">
        <v>19</v>
      </c>
      <c r="W417" s="62" t="str">
        <f>IFERROR(VLOOKUP(Table2[[#This Row],[Code4]],'[2]New Reason code'!$A$2:$D$77,2,0),0)</f>
        <v>During Rework time</v>
      </c>
      <c r="X417" s="62" t="str">
        <f>IFERROR(VLOOKUP(Table2[[#This Row],[Reason]],'[2]New Reason code'!$B$2:$D$77,2,0),0)</f>
        <v>Due to operator</v>
      </c>
      <c r="Y417" s="62" t="str">
        <f>IFERROR(VLOOKUP(Table2[[#This Row],[Rejection Identified at]],'[2]New Reason code'!$C$2:$D$77,2,0),0)</f>
        <v xml:space="preserve">infrastructure </v>
      </c>
    </row>
    <row r="418" spans="1:25" ht="20.25" customHeight="1">
      <c r="A418" s="50">
        <v>414</v>
      </c>
      <c r="B418" s="62">
        <v>4</v>
      </c>
      <c r="C418" s="62" t="str">
        <f>IFERROR(VLOOKUP(Table2[[#This Row],[Code]],'[2]New Machine sheet'!$A$1:$D$101,2,0),0)</f>
        <v>282-04</v>
      </c>
      <c r="D418" s="62" t="str">
        <f>IFERROR(VLOOKUP(Table2[[#This Row],[M/c No]],'[2]New Machine sheet'!$B$1:$D$101,2,0),0)</f>
        <v>Mazak</v>
      </c>
      <c r="E418" s="62" t="str">
        <f>IFERROR(VLOOKUP(Table2[[#This Row],[M/c Name]],'[2]New Machine sheet'!$C$1:$D$101,2,0),0)</f>
        <v>Turning</v>
      </c>
      <c r="F418" s="62">
        <v>77</v>
      </c>
      <c r="G418" s="62">
        <f>IFERROR(VLOOKUP(Table2[[#This Row],[Code2]],'[2]New Machine sheet'!$F$2:$I$64,2,),0)</f>
        <v>2477</v>
      </c>
      <c r="H418" s="62" t="str">
        <f>IFERROR(VLOOKUP(Table2[[#This Row],[Code2]],'[2]New Machine sheet'!$F$2:$I$64,3,0),0)</f>
        <v>RE P1</v>
      </c>
      <c r="I418" s="62" t="s">
        <v>131</v>
      </c>
      <c r="J418" s="62">
        <v>5</v>
      </c>
      <c r="K418" s="62" t="str">
        <f>IFERROR(VLOOKUP(Table2[[#This Row],[Code3]],'[2]New defect code '!$A$2:$D$129,2,0),0)</f>
        <v>Bore Over size</v>
      </c>
      <c r="L418" s="62" t="s">
        <v>207</v>
      </c>
      <c r="M418" s="56">
        <v>46266</v>
      </c>
      <c r="N418" s="62"/>
      <c r="O418" s="62"/>
      <c r="P418" s="62">
        <v>7</v>
      </c>
      <c r="Q418" s="62"/>
      <c r="R418" s="62">
        <f>SUBTOTAL(9,Table2[[#This Row],[1st]:[FQC]])</f>
        <v>7</v>
      </c>
      <c r="S418" s="62">
        <f>IFERROR(VLOOKUP(Table2[[#This Row],[Part No.]],'[2]New Machine sheet'!$G$2:$I$90,3,0),0)</f>
        <v>79.064999999999998</v>
      </c>
      <c r="T418" s="62">
        <f>Table2[[#This Row],[cost per piece]]*Table2[[#This Row],[Total Rej. qty]]</f>
        <v>553.45499999999993</v>
      </c>
      <c r="U418" s="62">
        <f>IFERROR(VLOOKUP(Table2[[#This Row],[Non Conformance]],'[2]New defect code '!$B$2:$C$129,2,0),0)</f>
        <v>3243</v>
      </c>
      <c r="V418" s="62">
        <v>19</v>
      </c>
      <c r="W418" s="62" t="str">
        <f>IFERROR(VLOOKUP(Table2[[#This Row],[Code4]],'[2]New Reason code'!$A$2:$D$77,2,0),0)</f>
        <v>During Rework time</v>
      </c>
      <c r="X418" s="62" t="str">
        <f>IFERROR(VLOOKUP(Table2[[#This Row],[Reason]],'[2]New Reason code'!$B$2:$D$77,2,0),0)</f>
        <v>Due to operator</v>
      </c>
      <c r="Y418" s="62" t="str">
        <f>IFERROR(VLOOKUP(Table2[[#This Row],[Rejection Identified at]],'[2]New Reason code'!$C$2:$D$77,2,0),0)</f>
        <v xml:space="preserve">infrastructure </v>
      </c>
    </row>
    <row r="419" spans="1:25" ht="20.25" customHeight="1">
      <c r="A419" s="50">
        <v>415</v>
      </c>
      <c r="B419" s="62"/>
      <c r="C419" s="62" t="s">
        <v>156</v>
      </c>
      <c r="D419" s="62" t="str">
        <f>IFERROR(VLOOKUP(Table2[[#This Row],[M/c No]],'[2]New Machine sheet'!$B$1:$D$101,2,0),0)</f>
        <v>VMC</v>
      </c>
      <c r="E419" s="62" t="str">
        <f>IFERROR(VLOOKUP(Table2[[#This Row],[M/c Name]],'[2]New Machine sheet'!$C$1:$D$101,2,0),0)</f>
        <v>VMC</v>
      </c>
      <c r="F419" s="62">
        <v>28</v>
      </c>
      <c r="G419" s="62">
        <f>IFERROR(VLOOKUP(Table2[[#This Row],[Code2]],'[2]New Machine sheet'!$F$2:$I$64,2,),0)</f>
        <v>2428</v>
      </c>
      <c r="H419" s="62" t="str">
        <f>IFERROR(VLOOKUP(Table2[[#This Row],[Code2]],'[2]New Machine sheet'!$F$2:$I$64,3,0),0)</f>
        <v>RE P1</v>
      </c>
      <c r="I419" s="62" t="s">
        <v>133</v>
      </c>
      <c r="J419" s="62">
        <v>34</v>
      </c>
      <c r="K419" s="62" t="str">
        <f>IFERROR(VLOOKUP(Table2[[#This Row],[Code3]],'[2]New defect code '!$A$2:$D$129,2,0),0)</f>
        <v>Dowel hole not ok</v>
      </c>
      <c r="L419" s="62" t="s">
        <v>207</v>
      </c>
      <c r="M419" s="56">
        <v>46266</v>
      </c>
      <c r="N419" s="62"/>
      <c r="O419" s="62"/>
      <c r="P419" s="62">
        <v>2</v>
      </c>
      <c r="Q419" s="62"/>
      <c r="R419" s="62">
        <f>SUBTOTAL(9,Table2[[#This Row],[1st]:[FQC]])</f>
        <v>2</v>
      </c>
      <c r="S419" s="62">
        <f>IFERROR(VLOOKUP(Table2[[#This Row],[Part No.]],'[2]New Machine sheet'!$G$2:$I$90,3,0),0)</f>
        <v>124.07</v>
      </c>
      <c r="T419" s="62">
        <f>Table2[[#This Row],[cost per piece]]*Table2[[#This Row],[Total Rej. qty]]</f>
        <v>248.14</v>
      </c>
      <c r="U419" s="62">
        <f>IFERROR(VLOOKUP(Table2[[#This Row],[Non Conformance]],'[2]New defect code '!$B$2:$C$129,2,0),0)</f>
        <v>3221</v>
      </c>
      <c r="V419" s="62">
        <v>53</v>
      </c>
      <c r="W419" s="62" t="str">
        <f>IFERROR(VLOOKUP(Table2[[#This Row],[Code4]],'[2]New Reason code'!$A$2:$D$77,2,0),0)</f>
        <v>tool broken</v>
      </c>
      <c r="X419" s="62" t="str">
        <f>IFERROR(VLOOKUP(Table2[[#This Row],[Reason]],'[2]New Reason code'!$B$2:$D$77,2,0),0)</f>
        <v>Line audit</v>
      </c>
      <c r="Y419" s="62" t="str">
        <f>IFERROR(VLOOKUP(Table2[[#This Row],[Rejection Identified at]],'[2]New Reason code'!$C$2:$D$77,2,0),0)</f>
        <v>Process Issue</v>
      </c>
    </row>
    <row r="420" spans="1:25" ht="20.25" customHeight="1">
      <c r="A420" s="60">
        <v>416</v>
      </c>
      <c r="B420" s="62">
        <v>23</v>
      </c>
      <c r="C420" s="62" t="str">
        <f>IFERROR(VLOOKUP(Table2[[#This Row],[Code]],'[2]New Machine sheet'!$A$1:$D$101,2,0),0)</f>
        <v>ACE-03</v>
      </c>
      <c r="D420" s="62" t="str">
        <f>IFERROR(VLOOKUP(Table2[[#This Row],[M/c No]],'[2]New Machine sheet'!$B$1:$D$101,2,0),0)</f>
        <v>Micromatic</v>
      </c>
      <c r="E420" s="62" t="str">
        <f>IFERROR(VLOOKUP(Table2[[#This Row],[M/c Name]],'[2]New Machine sheet'!$C$1:$D$101,2,0),0)</f>
        <v>Turning</v>
      </c>
      <c r="F420" s="62">
        <v>83</v>
      </c>
      <c r="G420" s="62">
        <f>IFERROR(VLOOKUP(Table2[[#This Row],[Code2]],'[2]New Machine sheet'!$F$2:$I$64,2,),0)</f>
        <v>2483</v>
      </c>
      <c r="H420" s="62" t="str">
        <f>IFERROR(VLOOKUP(Table2[[#This Row],[Code2]],'[2]New Machine sheet'!$F$2:$I$64,3,0),0)</f>
        <v>RE P1</v>
      </c>
      <c r="I420" s="62" t="s">
        <v>134</v>
      </c>
      <c r="J420" s="62">
        <v>5</v>
      </c>
      <c r="K420" s="62" t="str">
        <f>IFERROR(VLOOKUP(Table2[[#This Row],[Code3]],'[2]New defect code '!$A$2:$D$129,2,0),0)</f>
        <v>Bore Over size</v>
      </c>
      <c r="L420" s="62" t="s">
        <v>207</v>
      </c>
      <c r="M420" s="56">
        <v>46266</v>
      </c>
      <c r="N420" s="62"/>
      <c r="O420" s="62"/>
      <c r="P420" s="62">
        <v>2</v>
      </c>
      <c r="Q420" s="62"/>
      <c r="R420" s="62">
        <f>SUBTOTAL(9,Table2[[#This Row],[1st]:[FQC]])</f>
        <v>2</v>
      </c>
      <c r="S420" s="62">
        <f>IFERROR(VLOOKUP(Table2[[#This Row],[Part No.]],'[2]New Machine sheet'!$G$2:$I$90,3,0),0)</f>
        <v>55.380800000000001</v>
      </c>
      <c r="T420" s="62">
        <f>Table2[[#This Row],[cost per piece]]*Table2[[#This Row],[Total Rej. qty]]</f>
        <v>110.7616</v>
      </c>
      <c r="U420" s="62">
        <f>IFERROR(VLOOKUP(Table2[[#This Row],[Non Conformance]],'[2]New defect code '!$B$2:$C$129,2,0),0)</f>
        <v>3243</v>
      </c>
      <c r="V420" s="62">
        <v>18</v>
      </c>
      <c r="W420" s="62" t="str">
        <f>IFERROR(VLOOKUP(Table2[[#This Row],[Code4]],'[2]New Reason code'!$A$2:$D$77,2,0),0)</f>
        <v>During insert change</v>
      </c>
      <c r="X420" s="62" t="str">
        <f>IFERROR(VLOOKUP(Table2[[#This Row],[Reason]],'[2]New Reason code'!$B$2:$D$77,2,0),0)</f>
        <v xml:space="preserve">Due to Settup  </v>
      </c>
      <c r="Y420" s="62" t="str">
        <f>IFERROR(VLOOKUP(Table2[[#This Row],[Rejection Identified at]],'[2]New Reason code'!$C$2:$D$77,2,0),0)</f>
        <v>skill</v>
      </c>
    </row>
    <row r="421" spans="1:25" ht="20.25" customHeight="1">
      <c r="A421" s="50">
        <v>417</v>
      </c>
      <c r="B421" s="62">
        <v>3</v>
      </c>
      <c r="C421" s="62" t="str">
        <f>IFERROR(VLOOKUP(Table2[[#This Row],[Code]],'[2]New Machine sheet'!$A$1:$D$101,2,0),0)</f>
        <v>282-03</v>
      </c>
      <c r="D421" s="62" t="str">
        <f>IFERROR(VLOOKUP(Table2[[#This Row],[M/c No]],'[2]New Machine sheet'!$B$1:$D$101,2,0),0)</f>
        <v>Mazak</v>
      </c>
      <c r="E421" s="62" t="str">
        <f>IFERROR(VLOOKUP(Table2[[#This Row],[M/c Name]],'[2]New Machine sheet'!$C$1:$D$101,2,0),0)</f>
        <v>Turning</v>
      </c>
      <c r="F421" s="62">
        <v>155</v>
      </c>
      <c r="G421" s="62">
        <f>IFERROR(VLOOKUP(Table2[[#This Row],[Code2]],'[2]New Machine sheet'!$F$2:$I$64,2,),0)</f>
        <v>24155</v>
      </c>
      <c r="H421" s="62" t="str">
        <f>IFERROR(VLOOKUP(Table2[[#This Row],[Code2]],'[2]New Machine sheet'!$F$2:$I$64,3,0),0)</f>
        <v>RE J1</v>
      </c>
      <c r="I421" s="62" t="s">
        <v>133</v>
      </c>
      <c r="J421" s="62">
        <v>48</v>
      </c>
      <c r="K421" s="62" t="str">
        <f>IFERROR(VLOOKUP(Table2[[#This Row],[Code3]],'[2]New defect code '!$A$2:$D$129,2,0),0)</f>
        <v>Heavy Dot Punching</v>
      </c>
      <c r="L421" s="62" t="s">
        <v>207</v>
      </c>
      <c r="M421" s="56">
        <v>46266</v>
      </c>
      <c r="N421" s="62"/>
      <c r="O421" s="62"/>
      <c r="P421" s="62">
        <v>3</v>
      </c>
      <c r="Q421" s="62"/>
      <c r="R421" s="62">
        <f>SUBTOTAL(9,Table2[[#This Row],[1st]:[FQC]])</f>
        <v>3</v>
      </c>
      <c r="S421" s="62">
        <f>IFERROR(VLOOKUP(Table2[[#This Row],[Part No.]],'[2]New Machine sheet'!$G$2:$I$90,3,0),0)</f>
        <v>107.67</v>
      </c>
      <c r="T421" s="62">
        <f>Table2[[#This Row],[cost per piece]]*Table2[[#This Row],[Total Rej. qty]]</f>
        <v>323.01</v>
      </c>
      <c r="U421" s="62">
        <f>IFERROR(VLOOKUP(Table2[[#This Row],[Non Conformance]],'[2]New defect code '!$B$2:$C$129,2,0),0)</f>
        <v>3246</v>
      </c>
      <c r="V421" s="62">
        <v>22</v>
      </c>
      <c r="W421" s="62" t="str">
        <f>IFERROR(VLOOKUP(Table2[[#This Row],[Code4]],'[2]New Reason code'!$A$2:$D$77,2,0),0)</f>
        <v>during tool change</v>
      </c>
      <c r="X421" s="62" t="str">
        <f>IFERROR(VLOOKUP(Table2[[#This Row],[Reason]],'[2]New Reason code'!$B$2:$D$77,2,0),0)</f>
        <v>Prod Declared</v>
      </c>
      <c r="Y421" s="62" t="str">
        <f>IFERROR(VLOOKUP(Table2[[#This Row],[Rejection Identified at]],'[2]New Reason code'!$C$2:$D$77,2,0),0)</f>
        <v>Process Issue</v>
      </c>
    </row>
    <row r="422" spans="1:25" ht="20.25" customHeight="1">
      <c r="A422" s="50">
        <v>418</v>
      </c>
      <c r="B422" s="62">
        <v>62</v>
      </c>
      <c r="C422" s="62" t="str">
        <f>IFERROR(VLOOKUP(Table2[[#This Row],[Code]],'[2]New Machine sheet'!$A$1:$D$101,2,0),0)</f>
        <v>FQC</v>
      </c>
      <c r="D422" s="62" t="str">
        <f>IFERROR(VLOOKUP(Table2[[#This Row],[M/c No]],'[2]New Machine sheet'!$B$1:$D$101,2,0),0)</f>
        <v>FQC</v>
      </c>
      <c r="E422" s="62" t="str">
        <f>IFERROR(VLOOKUP(Table2[[#This Row],[M/c Name]],'[2]New Machine sheet'!$C$1:$D$101,2,0),0)</f>
        <v>fqc</v>
      </c>
      <c r="F422" s="62">
        <v>155</v>
      </c>
      <c r="G422" s="62">
        <f>IFERROR(VLOOKUP(Table2[[#This Row],[Code2]],'[2]New Machine sheet'!$F$2:$I$64,2,),0)</f>
        <v>24155</v>
      </c>
      <c r="H422" s="62" t="str">
        <f>IFERROR(VLOOKUP(Table2[[#This Row],[Code2]],'[2]New Machine sheet'!$F$2:$I$64,3,0),0)</f>
        <v>RE J1</v>
      </c>
      <c r="I422" s="62"/>
      <c r="J422" s="62">
        <v>5</v>
      </c>
      <c r="K422" s="62" t="str">
        <f>IFERROR(VLOOKUP(Table2[[#This Row],[Code3]],'[2]New defect code '!$A$2:$D$129,2,0),0)</f>
        <v>Bore Over size</v>
      </c>
      <c r="L422" s="62" t="s">
        <v>207</v>
      </c>
      <c r="M422" s="56">
        <v>46266</v>
      </c>
      <c r="N422" s="62"/>
      <c r="O422" s="62"/>
      <c r="P422" s="62"/>
      <c r="Q422" s="62">
        <v>1</v>
      </c>
      <c r="R422" s="62">
        <f>SUBTOTAL(9,Table2[[#This Row],[1st]:[FQC]])</f>
        <v>1</v>
      </c>
      <c r="S422" s="62">
        <f>IFERROR(VLOOKUP(Table2[[#This Row],[Part No.]],'[2]New Machine sheet'!$G$2:$I$90,3,0),0)</f>
        <v>107.67</v>
      </c>
      <c r="T422" s="62">
        <f>Table2[[#This Row],[cost per piece]]*Table2[[#This Row],[Total Rej. qty]]</f>
        <v>107.67</v>
      </c>
      <c r="U422" s="62">
        <f>IFERROR(VLOOKUP(Table2[[#This Row],[Non Conformance]],'[2]New defect code '!$B$2:$C$129,2,0),0)</f>
        <v>3243</v>
      </c>
      <c r="V422" s="62">
        <v>24</v>
      </c>
      <c r="W422" s="62" t="str">
        <f>IFERROR(VLOOKUP(Table2[[#This Row],[Code4]],'[2]New Reason code'!$A$2:$D$77,2,0),0)</f>
        <v>FQC return</v>
      </c>
      <c r="X422" s="62" t="str">
        <f>IFERROR(VLOOKUP(Table2[[#This Row],[Reason]],'[2]New Reason code'!$B$2:$D$77,2,0),0)</f>
        <v>Due to operator</v>
      </c>
      <c r="Y422" s="62" t="str">
        <f>IFERROR(VLOOKUP(Table2[[#This Row],[Rejection Identified at]],'[2]New Reason code'!$C$2:$D$77,2,0),0)</f>
        <v xml:space="preserve">infrastructure </v>
      </c>
    </row>
    <row r="423" spans="1:25" ht="20.25" customHeight="1">
      <c r="A423" s="60">
        <v>419</v>
      </c>
      <c r="B423" s="62"/>
      <c r="C423" s="62" t="s">
        <v>118</v>
      </c>
      <c r="D423" s="62" t="s">
        <v>117</v>
      </c>
      <c r="E423" s="62" t="str">
        <f>IFERROR(VLOOKUP(Table2[[#This Row],[M/c Name]],'[2]New Machine sheet'!$C$1:$D$101,2,0),0)</f>
        <v>Turning</v>
      </c>
      <c r="F423" s="62">
        <v>127</v>
      </c>
      <c r="G423" s="62">
        <f>IFERROR(VLOOKUP(Table2[[#This Row],[Code2]],'[2]New Machine sheet'!$F$2:$I$64,2,),0)</f>
        <v>24127</v>
      </c>
      <c r="H423" s="62" t="str">
        <f>IFERROR(VLOOKUP(Table2[[#This Row],[Code2]],'[2]New Machine sheet'!$F$2:$I$64,3,0),0)</f>
        <v>RE J1</v>
      </c>
      <c r="I423" s="62" t="s">
        <v>177</v>
      </c>
      <c r="J423" s="62">
        <v>66</v>
      </c>
      <c r="K423" s="62" t="str">
        <f>IFERROR(VLOOKUP(Table2[[#This Row],[Code3]],'[2]New defect code '!$A$2:$D$129,2,0),0)</f>
        <v>OD Under Size</v>
      </c>
      <c r="L423" s="62" t="s">
        <v>207</v>
      </c>
      <c r="M423" s="56">
        <v>46266</v>
      </c>
      <c r="N423" s="62"/>
      <c r="O423" s="62"/>
      <c r="P423" s="62">
        <v>5</v>
      </c>
      <c r="Q423" s="62"/>
      <c r="R423" s="62">
        <f>SUBTOTAL(9,Table2[[#This Row],[1st]:[FQC]])</f>
        <v>5</v>
      </c>
      <c r="S423" s="62">
        <f>IFERROR(VLOOKUP(Table2[[#This Row],[Part No.]],'[2]New Machine sheet'!$G$2:$I$90,3,0),0)</f>
        <v>262.81200000000001</v>
      </c>
      <c r="T423" s="62">
        <f>Table2[[#This Row],[cost per piece]]*Table2[[#This Row],[Total Rej. qty]]</f>
        <v>1314.06</v>
      </c>
      <c r="U423" s="62">
        <f>IFERROR(VLOOKUP(Table2[[#This Row],[Non Conformance]],'[2]New defect code '!$B$2:$C$129,2,0),0)</f>
        <v>3242</v>
      </c>
      <c r="V423" s="62">
        <v>64</v>
      </c>
      <c r="W423" s="62" t="str">
        <f>IFERROR(VLOOKUP(Table2[[#This Row],[Code4]],'[2]New Reason code'!$A$2:$D$77,2,0),0)</f>
        <v>Wrong correction</v>
      </c>
      <c r="X423" s="62" t="str">
        <f>IFERROR(VLOOKUP(Table2[[#This Row],[Reason]],'[2]New Reason code'!$B$2:$D$77,2,0),0)</f>
        <v>Due to operator</v>
      </c>
      <c r="Y423" s="62" t="str">
        <f>IFERROR(VLOOKUP(Table2[[#This Row],[Rejection Identified at]],'[2]New Reason code'!$C$2:$D$77,2,0),0)</f>
        <v xml:space="preserve">infrastructure </v>
      </c>
    </row>
    <row r="424" spans="1:25" ht="20.25" customHeight="1">
      <c r="A424" s="50">
        <v>420</v>
      </c>
      <c r="B424" s="61">
        <v>62</v>
      </c>
      <c r="C424" s="61" t="str">
        <f>IFERROR(VLOOKUP(Table2[[#This Row],[Code]],'[2]New Machine sheet'!$A$1:$D$101,2,0),0)</f>
        <v>FQC</v>
      </c>
      <c r="D424" s="61" t="str">
        <f>IFERROR(VLOOKUP(Table2[[#This Row],[M/c No]],'[2]New Machine sheet'!$B$1:$D$101,2,0),0)</f>
        <v>FQC</v>
      </c>
      <c r="E424" s="61" t="str">
        <f>IFERROR(VLOOKUP(Table2[[#This Row],[M/c Name]],'[2]New Machine sheet'!$C$1:$D$101,2,0),0)</f>
        <v>fqc</v>
      </c>
      <c r="F424" s="61">
        <v>125</v>
      </c>
      <c r="G424" s="61">
        <f>IFERROR(VLOOKUP(Table2[[#This Row],[Code2]],'[2]New Machine sheet'!$F$2:$I$64,2,),0)</f>
        <v>24125</v>
      </c>
      <c r="H424" s="61" t="str">
        <f>IFERROR(VLOOKUP(Table2[[#This Row],[Code2]],'[2]New Machine sheet'!$F$2:$I$64,3,0),0)</f>
        <v>RE J1</v>
      </c>
      <c r="I424" s="61"/>
      <c r="J424" s="61">
        <v>5</v>
      </c>
      <c r="K424" s="61" t="str">
        <f>IFERROR(VLOOKUP(Table2[[#This Row],[Code3]],'[2]New defect code '!$A$2:$D$129,2,0),0)</f>
        <v>Bore Over size</v>
      </c>
      <c r="L424" s="62" t="s">
        <v>207</v>
      </c>
      <c r="M424" s="56">
        <v>46266</v>
      </c>
      <c r="N424" s="61"/>
      <c r="O424" s="61"/>
      <c r="P424" s="61"/>
      <c r="Q424" s="61">
        <v>1</v>
      </c>
      <c r="R424" s="61">
        <f>SUBTOTAL(9,Table2[[#This Row],[1st]:[FQC]])</f>
        <v>1</v>
      </c>
      <c r="S424" s="61">
        <f>IFERROR(VLOOKUP(Table2[[#This Row],[Part No.]],'[2]New Machine sheet'!$G$2:$I$90,3,0),0)</f>
        <v>65.17</v>
      </c>
      <c r="T424" s="61">
        <f>Table2[[#This Row],[cost per piece]]*Table2[[#This Row],[Total Rej. qty]]</f>
        <v>65.17</v>
      </c>
      <c r="U424" s="61">
        <f>IFERROR(VLOOKUP(Table2[[#This Row],[Non Conformance]],'[2]New defect code '!$B$2:$C$129,2,0),0)</f>
        <v>3243</v>
      </c>
      <c r="V424" s="61">
        <v>24</v>
      </c>
      <c r="W424" s="61" t="str">
        <f>IFERROR(VLOOKUP(Table2[[#This Row],[Code4]],'[2]New Reason code'!$A$2:$D$77,2,0),0)</f>
        <v>FQC return</v>
      </c>
      <c r="X424" s="61" t="str">
        <f>IFERROR(VLOOKUP(Table2[[#This Row],[Reason]],'[2]New Reason code'!$B$2:$D$77,2,0),0)</f>
        <v>Due to operator</v>
      </c>
      <c r="Y424" s="61" t="str">
        <f>IFERROR(VLOOKUP(Table2[[#This Row],[Rejection Identified at]],'[2]New Reason code'!$C$2:$D$77,2,0),0)</f>
        <v xml:space="preserve">infrastructure </v>
      </c>
    </row>
    <row r="425" spans="1:25" ht="20.25" customHeight="1">
      <c r="A425" s="50">
        <v>421</v>
      </c>
      <c r="B425" s="61">
        <v>9</v>
      </c>
      <c r="C425" s="61" t="str">
        <f>IFERROR(VLOOKUP(Table2[[#This Row],[Code]],'[2]New Machine sheet'!$A$1:$D$101,2,0),0)</f>
        <v>282-09</v>
      </c>
      <c r="D425" s="61" t="str">
        <f>IFERROR(VLOOKUP(Table2[[#This Row],[M/c No]],'[2]New Machine sheet'!$B$1:$D$101,2,0),0)</f>
        <v>Mazak</v>
      </c>
      <c r="E425" s="61" t="str">
        <f>IFERROR(VLOOKUP(Table2[[#This Row],[M/c Name]],'[2]New Machine sheet'!$C$1:$D$101,2,0),0)</f>
        <v>Turning</v>
      </c>
      <c r="F425" s="61">
        <v>125</v>
      </c>
      <c r="G425" s="61">
        <f>IFERROR(VLOOKUP(Table2[[#This Row],[Code2]],'[2]New Machine sheet'!$F$2:$I$64,2,),0)</f>
        <v>24125</v>
      </c>
      <c r="H425" s="61" t="str">
        <f>IFERROR(VLOOKUP(Table2[[#This Row],[Code2]],'[2]New Machine sheet'!$F$2:$I$64,3,0),0)</f>
        <v>RE J1</v>
      </c>
      <c r="I425" s="61" t="s">
        <v>198</v>
      </c>
      <c r="J425" s="61">
        <v>5</v>
      </c>
      <c r="K425" s="61" t="str">
        <f>IFERROR(VLOOKUP(Table2[[#This Row],[Code3]],'[2]New defect code '!$A$2:$D$129,2,0),0)</f>
        <v>Bore Over size</v>
      </c>
      <c r="L425" s="62" t="s">
        <v>207</v>
      </c>
      <c r="M425" s="56">
        <v>46266</v>
      </c>
      <c r="N425" s="61"/>
      <c r="O425" s="61"/>
      <c r="P425" s="61">
        <v>1</v>
      </c>
      <c r="Q425" s="61"/>
      <c r="R425" s="61">
        <f>SUBTOTAL(9,Table2[[#This Row],[1st]:[FQC]])</f>
        <v>1</v>
      </c>
      <c r="S425" s="61">
        <f>IFERROR(VLOOKUP(Table2[[#This Row],[Part No.]],'[2]New Machine sheet'!$G$2:$I$90,3,0),0)</f>
        <v>65.17</v>
      </c>
      <c r="T425" s="61">
        <f>Table2[[#This Row],[cost per piece]]*Table2[[#This Row],[Total Rej. qty]]</f>
        <v>65.17</v>
      </c>
      <c r="U425" s="61">
        <f>IFERROR(VLOOKUP(Table2[[#This Row],[Non Conformance]],'[2]New defect code '!$B$2:$C$129,2,0),0)</f>
        <v>3243</v>
      </c>
      <c r="V425" s="61">
        <v>18</v>
      </c>
      <c r="W425" s="61" t="str">
        <f>IFERROR(VLOOKUP(Table2[[#This Row],[Code4]],'[2]New Reason code'!$A$2:$D$77,2,0),0)</f>
        <v>During insert change</v>
      </c>
      <c r="X425" s="61" t="str">
        <f>IFERROR(VLOOKUP(Table2[[#This Row],[Reason]],'[2]New Reason code'!$B$2:$D$77,2,0),0)</f>
        <v xml:space="preserve">Due to Settup  </v>
      </c>
      <c r="Y425" s="61" t="str">
        <f>IFERROR(VLOOKUP(Table2[[#This Row],[Rejection Identified at]],'[2]New Reason code'!$C$2:$D$77,2,0),0)</f>
        <v>skill</v>
      </c>
    </row>
    <row r="426" spans="1:25" ht="20.25" customHeight="1">
      <c r="A426" s="60">
        <v>422</v>
      </c>
      <c r="B426" s="61">
        <v>42</v>
      </c>
      <c r="C426" s="61" t="str">
        <f>IFERROR(VLOOKUP(Table2[[#This Row],[Code]],'[2]New Machine sheet'!$A$1:$D$101,2,0),0)</f>
        <v>252-04</v>
      </c>
      <c r="D426" s="61" t="str">
        <f>IFERROR(VLOOKUP(Table2[[#This Row],[M/c No]],'[2]New Machine sheet'!$B$1:$D$101,2,0),0)</f>
        <v>VMC</v>
      </c>
      <c r="E426" s="61" t="str">
        <f>IFERROR(VLOOKUP(Table2[[#This Row],[M/c Name]],'[2]New Machine sheet'!$C$1:$D$101,2,0),0)</f>
        <v>VMC</v>
      </c>
      <c r="F426" s="61">
        <v>154</v>
      </c>
      <c r="G426" s="61">
        <f>IFERROR(VLOOKUP(Table2[[#This Row],[Code2]],'[2]New Machine sheet'!$F$2:$I$64,2,),0)</f>
        <v>24154</v>
      </c>
      <c r="H426" s="61" t="str">
        <f>IFERROR(VLOOKUP(Table2[[#This Row],[Code2]],'[2]New Machine sheet'!$F$2:$I$64,3,0),0)</f>
        <v>RE J1</v>
      </c>
      <c r="I426" s="61" t="s">
        <v>133</v>
      </c>
      <c r="J426" s="61">
        <v>32</v>
      </c>
      <c r="K426" s="61" t="str">
        <f>IFERROR(VLOOKUP(Table2[[#This Row],[Code3]],'[2]New defect code '!$A$2:$D$129,2,0),0)</f>
        <v>Double Dot Punching</v>
      </c>
      <c r="L426" s="62" t="s">
        <v>207</v>
      </c>
      <c r="M426" s="56">
        <v>46266</v>
      </c>
      <c r="N426" s="61"/>
      <c r="O426" s="61"/>
      <c r="P426" s="61">
        <v>10</v>
      </c>
      <c r="Q426" s="61"/>
      <c r="R426" s="61">
        <f>SUBTOTAL(9,Table2[[#This Row],[1st]:[FQC]])</f>
        <v>10</v>
      </c>
      <c r="S426" s="61">
        <f>IFERROR(VLOOKUP(Table2[[#This Row],[Part No.]],'[2]New Machine sheet'!$G$2:$I$90,3,0),0)</f>
        <v>82.64</v>
      </c>
      <c r="T426" s="61">
        <f>Table2[[#This Row],[cost per piece]]*Table2[[#This Row],[Total Rej. qty]]</f>
        <v>826.4</v>
      </c>
      <c r="U426" s="61">
        <f>IFERROR(VLOOKUP(Table2[[#This Row],[Non Conformance]],'[2]New defect code '!$B$2:$C$129,2,0),0)</f>
        <v>0</v>
      </c>
      <c r="V426" s="61">
        <v>19</v>
      </c>
      <c r="W426" s="61" t="str">
        <f>IFERROR(VLOOKUP(Table2[[#This Row],[Code4]],'[2]New Reason code'!$A$2:$D$77,2,0),0)</f>
        <v>During Rework time</v>
      </c>
      <c r="X426" s="61" t="str">
        <f>IFERROR(VLOOKUP(Table2[[#This Row],[Reason]],'[2]New Reason code'!$B$2:$D$77,2,0),0)</f>
        <v>Due to operator</v>
      </c>
      <c r="Y426" s="61" t="str">
        <f>IFERROR(VLOOKUP(Table2[[#This Row],[Rejection Identified at]],'[2]New Reason code'!$C$2:$D$77,2,0),0)</f>
        <v xml:space="preserve">infrastructure </v>
      </c>
    </row>
    <row r="427" spans="1:25" ht="20.25" customHeight="1">
      <c r="A427" s="50">
        <v>423</v>
      </c>
      <c r="B427" s="61">
        <v>8</v>
      </c>
      <c r="C427" s="61" t="str">
        <f>IFERROR(VLOOKUP(Table2[[#This Row],[Code]],'[2]New Machine sheet'!$A$1:$D$101,2,0),0)</f>
        <v>282-08</v>
      </c>
      <c r="D427" s="61" t="str">
        <f>IFERROR(VLOOKUP(Table2[[#This Row],[M/c No]],'[2]New Machine sheet'!$B$1:$D$101,2,0),0)</f>
        <v>Mazak</v>
      </c>
      <c r="E427" s="61" t="str">
        <f>IFERROR(VLOOKUP(Table2[[#This Row],[M/c Name]],'[2]New Machine sheet'!$C$1:$D$101,2,0),0)</f>
        <v>Turning</v>
      </c>
      <c r="F427" s="61">
        <v>117</v>
      </c>
      <c r="G427" s="61">
        <f>IFERROR(VLOOKUP(Table2[[#This Row],[Code2]],'[2]New Machine sheet'!$F$2:$I$64,2,),0)</f>
        <v>24117</v>
      </c>
      <c r="H427" s="61" t="str">
        <f>IFERROR(VLOOKUP(Table2[[#This Row],[Code2]],'[2]New Machine sheet'!$F$2:$I$64,3,0),0)</f>
        <v>RE J1</v>
      </c>
      <c r="I427" s="61" t="s">
        <v>132</v>
      </c>
      <c r="J427" s="61">
        <v>5</v>
      </c>
      <c r="K427" s="61" t="str">
        <f>IFERROR(VLOOKUP(Table2[[#This Row],[Code3]],'[2]New defect code '!$A$2:$D$129,2,0),0)</f>
        <v>Bore Over size</v>
      </c>
      <c r="L427" s="62" t="s">
        <v>207</v>
      </c>
      <c r="M427" s="56">
        <v>46266</v>
      </c>
      <c r="N427" s="61"/>
      <c r="O427" s="61"/>
      <c r="P427" s="61">
        <v>1</v>
      </c>
      <c r="Q427" s="61"/>
      <c r="R427" s="61">
        <f>SUBTOTAL(9,Table2[[#This Row],[1st]:[FQC]])</f>
        <v>1</v>
      </c>
      <c r="S427" s="61">
        <f>IFERROR(VLOOKUP(Table2[[#This Row],[Part No.]],'[2]New Machine sheet'!$G$2:$I$90,3,0),0)</f>
        <v>111.97</v>
      </c>
      <c r="T427" s="61">
        <f>Table2[[#This Row],[cost per piece]]*Table2[[#This Row],[Total Rej. qty]]</f>
        <v>111.97</v>
      </c>
      <c r="U427" s="61">
        <f>IFERROR(VLOOKUP(Table2[[#This Row],[Non Conformance]],'[2]New defect code '!$B$2:$C$129,2,0),0)</f>
        <v>3243</v>
      </c>
      <c r="V427" s="61">
        <v>18</v>
      </c>
      <c r="W427" s="61" t="str">
        <f>IFERROR(VLOOKUP(Table2[[#This Row],[Code4]],'[2]New Reason code'!$A$2:$D$77,2,0),0)</f>
        <v>During insert change</v>
      </c>
      <c r="X427" s="61" t="str">
        <f>IFERROR(VLOOKUP(Table2[[#This Row],[Reason]],'[2]New Reason code'!$B$2:$D$77,2,0),0)</f>
        <v xml:space="preserve">Due to Settup  </v>
      </c>
      <c r="Y427" s="61" t="str">
        <f>IFERROR(VLOOKUP(Table2[[#This Row],[Rejection Identified at]],'[2]New Reason code'!$C$2:$D$77,2,0),0)</f>
        <v>skill</v>
      </c>
    </row>
    <row r="428" spans="1:25" ht="20.25" customHeight="1">
      <c r="A428" s="50">
        <v>424</v>
      </c>
      <c r="B428" s="61">
        <v>44</v>
      </c>
      <c r="C428" s="61" t="str">
        <f>IFERROR(VLOOKUP(Table2[[#This Row],[Code]],'[2]New Machine sheet'!$A$1:$D$101,2,0),0)</f>
        <v>LT20-NEW</v>
      </c>
      <c r="D428" s="61" t="str">
        <f>IFERROR(VLOOKUP(Table2[[#This Row],[M/c No]],'[2]New Machine sheet'!$B$1:$D$101,2,0),0)</f>
        <v>ACE</v>
      </c>
      <c r="E428" s="61" t="str">
        <f>IFERROR(VLOOKUP(Table2[[#This Row],[M/c Name]],'[2]New Machine sheet'!$C$1:$D$101,2,0),0)</f>
        <v xml:space="preserve">turning </v>
      </c>
      <c r="F428" s="61">
        <v>65</v>
      </c>
      <c r="G428" s="61">
        <f>IFERROR(VLOOKUP(Table2[[#This Row],[Code2]],'[2]New Machine sheet'!$F$2:$I$64,2,),0)</f>
        <v>2465</v>
      </c>
      <c r="H428" s="61" t="str">
        <f>IFERROR(VLOOKUP(Table2[[#This Row],[Code2]],'[2]New Machine sheet'!$F$2:$I$64,3,0),0)</f>
        <v>RE D1</v>
      </c>
      <c r="I428" s="61" t="s">
        <v>171</v>
      </c>
      <c r="J428" s="61">
        <v>8</v>
      </c>
      <c r="K428" s="61" t="str">
        <f>IFERROR(VLOOKUP(Table2[[#This Row],[Code3]],'[2]New defect code '!$A$2:$D$129,2,0),0)</f>
        <v>Bore step part</v>
      </c>
      <c r="L428" s="62" t="s">
        <v>207</v>
      </c>
      <c r="M428" s="56">
        <v>46266</v>
      </c>
      <c r="N428" s="61"/>
      <c r="O428" s="61"/>
      <c r="P428" s="61">
        <v>1</v>
      </c>
      <c r="Q428" s="61"/>
      <c r="R428" s="61">
        <f>SUBTOTAL(9,Table2[[#This Row],[1st]:[FQC]])</f>
        <v>1</v>
      </c>
      <c r="S428" s="61">
        <f>IFERROR(VLOOKUP(Table2[[#This Row],[Part No.]],'[2]New Machine sheet'!$G$2:$I$90,3,0),0)</f>
        <v>245.64500000000001</v>
      </c>
      <c r="T428" s="61">
        <f>Table2[[#This Row],[cost per piece]]*Table2[[#This Row],[Total Rej. qty]]</f>
        <v>245.64500000000001</v>
      </c>
      <c r="U428" s="61">
        <f>IFERROR(VLOOKUP(Table2[[#This Row],[Non Conformance]],'[2]New defect code '!$B$2:$C$129,2,0),0)</f>
        <v>0</v>
      </c>
      <c r="V428" s="61">
        <v>19</v>
      </c>
      <c r="W428" s="61" t="str">
        <f>IFERROR(VLOOKUP(Table2[[#This Row],[Code4]],'[2]New Reason code'!$A$2:$D$77,2,0),0)</f>
        <v>During Rework time</v>
      </c>
      <c r="X428" s="61" t="str">
        <f>IFERROR(VLOOKUP(Table2[[#This Row],[Reason]],'[2]New Reason code'!$B$2:$D$77,2,0),0)</f>
        <v>Due to operator</v>
      </c>
      <c r="Y428" s="61" t="str">
        <f>IFERROR(VLOOKUP(Table2[[#This Row],[Rejection Identified at]],'[2]New Reason code'!$C$2:$D$77,2,0),0)</f>
        <v xml:space="preserve">infrastructure </v>
      </c>
    </row>
    <row r="429" spans="1:25" ht="20.25" customHeight="1">
      <c r="A429" s="60">
        <v>425</v>
      </c>
      <c r="B429" s="61">
        <v>44</v>
      </c>
      <c r="C429" s="61" t="str">
        <f>IFERROR(VLOOKUP(Table2[[#This Row],[Code]],'[2]New Machine sheet'!$A$1:$D$101,2,0),0)</f>
        <v>LT20-NEW</v>
      </c>
      <c r="D429" s="61" t="str">
        <f>IFERROR(VLOOKUP(Table2[[#This Row],[M/c No]],'[2]New Machine sheet'!$B$1:$D$101,2,0),0)</f>
        <v>ACE</v>
      </c>
      <c r="E429" s="61" t="str">
        <f>IFERROR(VLOOKUP(Table2[[#This Row],[M/c Name]],'[2]New Machine sheet'!$C$1:$D$101,2,0),0)</f>
        <v xml:space="preserve">turning </v>
      </c>
      <c r="F429" s="61">
        <v>65</v>
      </c>
      <c r="G429" s="61">
        <f>IFERROR(VLOOKUP(Table2[[#This Row],[Code2]],'[2]New Machine sheet'!$F$2:$I$64,2,),0)</f>
        <v>2465</v>
      </c>
      <c r="H429" s="61" t="str">
        <f>IFERROR(VLOOKUP(Table2[[#This Row],[Code2]],'[2]New Machine sheet'!$F$2:$I$64,3,0),0)</f>
        <v>RE D1</v>
      </c>
      <c r="I429" s="61" t="s">
        <v>171</v>
      </c>
      <c r="J429" s="61">
        <v>66</v>
      </c>
      <c r="K429" s="61" t="str">
        <f>IFERROR(VLOOKUP(Table2[[#This Row],[Code3]],'[2]New defect code '!$A$2:$D$129,2,0),0)</f>
        <v>OD Under Size</v>
      </c>
      <c r="L429" s="62" t="s">
        <v>207</v>
      </c>
      <c r="M429" s="56">
        <v>46266</v>
      </c>
      <c r="N429" s="61"/>
      <c r="O429" s="61"/>
      <c r="P429" s="61">
        <v>4</v>
      </c>
      <c r="Q429" s="61"/>
      <c r="R429" s="61">
        <f>SUBTOTAL(9,Table2[[#This Row],[1st]:[FQC]])</f>
        <v>4</v>
      </c>
      <c r="S429" s="61">
        <f>IFERROR(VLOOKUP(Table2[[#This Row],[Part No.]],'[2]New Machine sheet'!$G$2:$I$90,3,0),0)</f>
        <v>245.64500000000001</v>
      </c>
      <c r="T429" s="61">
        <f>Table2[[#This Row],[cost per piece]]*Table2[[#This Row],[Total Rej. qty]]</f>
        <v>982.58</v>
      </c>
      <c r="U429" s="61">
        <f>IFERROR(VLOOKUP(Table2[[#This Row],[Non Conformance]],'[2]New defect code '!$B$2:$C$129,2,0),0)</f>
        <v>3242</v>
      </c>
      <c r="V429" s="61">
        <v>19</v>
      </c>
      <c r="W429" s="61" t="str">
        <f>IFERROR(VLOOKUP(Table2[[#This Row],[Code4]],'[2]New Reason code'!$A$2:$D$77,2,0),0)</f>
        <v>During Rework time</v>
      </c>
      <c r="X429" s="61" t="str">
        <f>IFERROR(VLOOKUP(Table2[[#This Row],[Reason]],'[2]New Reason code'!$B$2:$D$77,2,0),0)</f>
        <v>Due to operator</v>
      </c>
      <c r="Y429" s="61" t="str">
        <f>IFERROR(VLOOKUP(Table2[[#This Row],[Rejection Identified at]],'[2]New Reason code'!$C$2:$D$77,2,0),0)</f>
        <v xml:space="preserve">infrastructure </v>
      </c>
    </row>
    <row r="430" spans="1:25" ht="20.25" customHeight="1">
      <c r="A430" s="50">
        <v>426</v>
      </c>
      <c r="B430" s="62">
        <v>15</v>
      </c>
      <c r="C430" s="62" t="str">
        <f>IFERROR(VLOOKUP(Table2[[#This Row],[Code]],'[2]New Machine sheet'!$A$1:$D$101,2,0),0)</f>
        <v>282-15</v>
      </c>
      <c r="D430" s="62" t="str">
        <f>IFERROR(VLOOKUP(Table2[[#This Row],[M/c No]],'[2]New Machine sheet'!$B$1:$D$101,2,0),0)</f>
        <v>Mazak</v>
      </c>
      <c r="E430" s="62" t="str">
        <f>IFERROR(VLOOKUP(Table2[[#This Row],[M/c Name]],'[2]New Machine sheet'!$C$1:$D$101,2,0),0)</f>
        <v>Turning</v>
      </c>
      <c r="F430" s="62">
        <v>187</v>
      </c>
      <c r="G430" s="62">
        <f>IFERROR(VLOOKUP(Table2[[#This Row],[Code2]],'[2]New Machine sheet'!$F$2:$I$64,2,),0)</f>
        <v>24187</v>
      </c>
      <c r="H430" s="62" t="str">
        <f>IFERROR(VLOOKUP(Table2[[#This Row],[Code2]],'[2]New Machine sheet'!$F$2:$I$64,3,0),0)</f>
        <v>RE Bush</v>
      </c>
      <c r="I430" s="62" t="s">
        <v>122</v>
      </c>
      <c r="J430" s="62">
        <v>21</v>
      </c>
      <c r="K430" s="62" t="str">
        <f>IFERROR(VLOOKUP(Table2[[#This Row],[Code3]],'[2]New defect code '!$A$2:$D$129,2,0),0)</f>
        <v>Bush Reject of defective part</v>
      </c>
      <c r="L430" s="62" t="s">
        <v>207</v>
      </c>
      <c r="M430" s="56">
        <v>46266</v>
      </c>
      <c r="N430" s="62"/>
      <c r="O430" s="62"/>
      <c r="P430" s="62">
        <v>12</v>
      </c>
      <c r="Q430" s="62"/>
      <c r="R430" s="62">
        <f>SUBTOTAL(9,Table2[[#This Row],[1st]:[FQC]])</f>
        <v>12</v>
      </c>
      <c r="S430" s="62">
        <f>IFERROR(VLOOKUP(Table2[[#This Row],[Part No.]],'[2]New Machine sheet'!$G$2:$I$90,3,0),0)</f>
        <v>21.77</v>
      </c>
      <c r="T430" s="62">
        <f>Table2[[#This Row],[cost per piece]]*Table2[[#This Row],[Total Rej. qty]]</f>
        <v>261.24</v>
      </c>
      <c r="U430" s="62">
        <f>IFERROR(VLOOKUP(Table2[[#This Row],[Non Conformance]],'[2]New defect code '!$B$2:$C$129,2,0),0)</f>
        <v>0</v>
      </c>
      <c r="V430" s="62">
        <v>6</v>
      </c>
      <c r="W430" s="62" t="str">
        <f>IFERROR(VLOOKUP(Table2[[#This Row],[Code4]],'[2]New Reason code'!$A$2:$D$77,2,0),0)</f>
        <v>bush will not use again</v>
      </c>
      <c r="X430" s="62" t="str">
        <f>IFERROR(VLOOKUP(Table2[[#This Row],[Reason]],'[2]New Reason code'!$B$2:$D$77,2,0),0)</f>
        <v>Prod Declared</v>
      </c>
      <c r="Y430" s="62" t="str">
        <f>IFERROR(VLOOKUP(Table2[[#This Row],[Rejection Identified at]],'[2]New Reason code'!$C$2:$D$77,2,0),0)</f>
        <v>Process Issue</v>
      </c>
    </row>
    <row r="431" spans="1:25" ht="20.25" customHeight="1">
      <c r="A431" s="50">
        <v>427</v>
      </c>
      <c r="B431" s="62">
        <v>37</v>
      </c>
      <c r="C431" s="62" t="str">
        <f>IFERROR(VLOOKUP(Table2[[#This Row],[Code]],'[2]New Machine sheet'!$A$1:$D$101,2,0),0)</f>
        <v>ACE-17</v>
      </c>
      <c r="D431" s="62" t="str">
        <f>IFERROR(VLOOKUP(Table2[[#This Row],[M/c No]],'[2]New Machine sheet'!$B$1:$D$101,2,0),0)</f>
        <v>Micromatic</v>
      </c>
      <c r="E431" s="62" t="str">
        <f>IFERROR(VLOOKUP(Table2[[#This Row],[M/c Name]],'[2]New Machine sheet'!$C$1:$D$101,2,0),0)</f>
        <v>Turning</v>
      </c>
      <c r="F431" s="62">
        <v>127</v>
      </c>
      <c r="G431" s="62">
        <f>IFERROR(VLOOKUP(Table2[[#This Row],[Code2]],'[2]New Machine sheet'!$F$2:$I$64,2,),0)</f>
        <v>24127</v>
      </c>
      <c r="H431" s="62" t="str">
        <f>IFERROR(VLOOKUP(Table2[[#This Row],[Code2]],'[2]New Machine sheet'!$F$2:$I$64,3,0),0)</f>
        <v>RE J1</v>
      </c>
      <c r="I431" s="62" t="s">
        <v>169</v>
      </c>
      <c r="J431" s="62">
        <v>66</v>
      </c>
      <c r="K431" s="62" t="str">
        <f>IFERROR(VLOOKUP(Table2[[#This Row],[Code3]],'[2]New defect code '!$A$2:$D$129,2,0),0)</f>
        <v>OD Under Size</v>
      </c>
      <c r="L431" s="62" t="s">
        <v>210</v>
      </c>
      <c r="M431" s="56">
        <v>46266</v>
      </c>
      <c r="N431" s="62">
        <v>1</v>
      </c>
      <c r="O431" s="62"/>
      <c r="P431" s="62"/>
      <c r="Q431" s="62"/>
      <c r="R431" s="62">
        <f>SUBTOTAL(9,Table2[[#This Row],[1st]:[FQC]])</f>
        <v>1</v>
      </c>
      <c r="S431" s="62">
        <f>IFERROR(VLOOKUP(Table2[[#This Row],[Part No.]],'[2]New Machine sheet'!$G$2:$I$90,3,0),0)</f>
        <v>262.81200000000001</v>
      </c>
      <c r="T431" s="62">
        <f>Table2[[#This Row],[cost per piece]]*Table2[[#This Row],[Total Rej. qty]]</f>
        <v>262.81200000000001</v>
      </c>
      <c r="U431" s="62">
        <f>IFERROR(VLOOKUP(Table2[[#This Row],[Non Conformance]],'[2]New defect code '!$B$2:$C$129,2,0),0)</f>
        <v>3242</v>
      </c>
      <c r="V431" s="62">
        <v>18</v>
      </c>
      <c r="W431" s="62" t="str">
        <f>IFERROR(VLOOKUP(Table2[[#This Row],[Code4]],'[2]New Reason code'!$A$2:$D$77,2,0),0)</f>
        <v>During insert change</v>
      </c>
      <c r="X431" s="62" t="str">
        <f>IFERROR(VLOOKUP(Table2[[#This Row],[Reason]],'[2]New Reason code'!$B$2:$D$77,2,0),0)</f>
        <v xml:space="preserve">Due to Settup  </v>
      </c>
      <c r="Y431" s="62" t="str">
        <f>IFERROR(VLOOKUP(Table2[[#This Row],[Rejection Identified at]],'[2]New Reason code'!$C$2:$D$77,2,0),0)</f>
        <v>skill</v>
      </c>
    </row>
    <row r="432" spans="1:25" ht="20.25" customHeight="1">
      <c r="A432" s="60">
        <v>428</v>
      </c>
      <c r="B432" s="62">
        <v>25</v>
      </c>
      <c r="C432" s="62" t="str">
        <f>IFERROR(VLOOKUP(Table2[[#This Row],[Code]],'[2]New Machine sheet'!$A$1:$D$101,2,0),0)</f>
        <v>ACE-05</v>
      </c>
      <c r="D432" s="62" t="str">
        <f>IFERROR(VLOOKUP(Table2[[#This Row],[M/c No]],'[2]New Machine sheet'!$B$1:$D$101,2,0),0)</f>
        <v>Micromatic</v>
      </c>
      <c r="E432" s="62" t="str">
        <f>IFERROR(VLOOKUP(Table2[[#This Row],[M/c Name]],'[2]New Machine sheet'!$C$1:$D$101,2,0),0)</f>
        <v>Turning</v>
      </c>
      <c r="F432" s="62">
        <v>122</v>
      </c>
      <c r="G432" s="62">
        <f>IFERROR(VLOOKUP(Table2[[#This Row],[Code2]],'[2]New Machine sheet'!$F$2:$I$64,2,),0)</f>
        <v>24122</v>
      </c>
      <c r="H432" s="62" t="str">
        <f>IFERROR(VLOOKUP(Table2[[#This Row],[Code2]],'[2]New Machine sheet'!$F$2:$I$64,3,0),0)</f>
        <v>RE J1</v>
      </c>
      <c r="I432" s="62"/>
      <c r="J432" s="62">
        <v>5</v>
      </c>
      <c r="K432" s="62" t="str">
        <f>IFERROR(VLOOKUP(Table2[[#This Row],[Code3]],'[2]New defect code '!$A$2:$D$129,2,0),0)</f>
        <v>Bore Over size</v>
      </c>
      <c r="L432" s="62" t="s">
        <v>210</v>
      </c>
      <c r="M432" s="56">
        <v>46266</v>
      </c>
      <c r="N432" s="62">
        <v>2</v>
      </c>
      <c r="O432" s="62"/>
      <c r="P432" s="62"/>
      <c r="Q432" s="62"/>
      <c r="R432" s="62">
        <f>SUBTOTAL(9,Table2[[#This Row],[1st]:[FQC]])</f>
        <v>2</v>
      </c>
      <c r="S432" s="62">
        <f>IFERROR(VLOOKUP(Table2[[#This Row],[Part No.]],'[2]New Machine sheet'!$G$2:$I$90,3,0),0)</f>
        <v>335.39977528089889</v>
      </c>
      <c r="T432" s="62">
        <f>Table2[[#This Row],[cost per piece]]*Table2[[#This Row],[Total Rej. qty]]</f>
        <v>670.79955056179779</v>
      </c>
      <c r="U432" s="62">
        <f>IFERROR(VLOOKUP(Table2[[#This Row],[Non Conformance]],'[2]New defect code '!$B$2:$C$129,2,0),0)</f>
        <v>3243</v>
      </c>
      <c r="V432" s="62">
        <v>18</v>
      </c>
      <c r="W432" s="62" t="str">
        <f>IFERROR(VLOOKUP(Table2[[#This Row],[Code4]],'[2]New Reason code'!$A$2:$D$77,2,0),0)</f>
        <v>During insert change</v>
      </c>
      <c r="X432" s="62" t="str">
        <f>IFERROR(VLOOKUP(Table2[[#This Row],[Reason]],'[2]New Reason code'!$B$2:$D$77,2,0),0)</f>
        <v xml:space="preserve">Due to Settup  </v>
      </c>
      <c r="Y432" s="62" t="str">
        <f>IFERROR(VLOOKUP(Table2[[#This Row],[Rejection Identified at]],'[2]New Reason code'!$C$2:$D$77,2,0),0)</f>
        <v>skill</v>
      </c>
    </row>
    <row r="433" spans="1:25" ht="20.25" customHeight="1">
      <c r="A433" s="50">
        <v>429</v>
      </c>
      <c r="B433" s="62">
        <v>7</v>
      </c>
      <c r="C433" s="62" t="str">
        <f>IFERROR(VLOOKUP(Table2[[#This Row],[Code]],'[2]New Machine sheet'!$A$1:$D$101,2,0),0)</f>
        <v>282-07</v>
      </c>
      <c r="D433" s="62" t="str">
        <f>IFERROR(VLOOKUP(Table2[[#This Row],[M/c No]],'[2]New Machine sheet'!$B$1:$D$101,2,0),0)</f>
        <v>Mazak</v>
      </c>
      <c r="E433" s="62" t="str">
        <f>IFERROR(VLOOKUP(Table2[[#This Row],[M/c Name]],'[2]New Machine sheet'!$C$1:$D$101,2,0),0)</f>
        <v>Turning</v>
      </c>
      <c r="F433" s="62">
        <v>119</v>
      </c>
      <c r="G433" s="62">
        <f>IFERROR(VLOOKUP(Table2[[#This Row],[Code2]],'[2]New Machine sheet'!$F$2:$I$64,2,),0)</f>
        <v>24119</v>
      </c>
      <c r="H433" s="62" t="str">
        <f>IFERROR(VLOOKUP(Table2[[#This Row],[Code2]],'[2]New Machine sheet'!$F$2:$I$64,3,0),0)</f>
        <v>RE J1</v>
      </c>
      <c r="I433" s="62" t="s">
        <v>154</v>
      </c>
      <c r="J433" s="62">
        <v>5</v>
      </c>
      <c r="K433" s="62" t="str">
        <f>IFERROR(VLOOKUP(Table2[[#This Row],[Code3]],'[2]New defect code '!$A$2:$D$129,2,0),0)</f>
        <v>Bore Over size</v>
      </c>
      <c r="L433" s="62" t="s">
        <v>210</v>
      </c>
      <c r="M433" s="56">
        <v>46266</v>
      </c>
      <c r="N433" s="62">
        <v>2</v>
      </c>
      <c r="O433" s="62"/>
      <c r="P433" s="62"/>
      <c r="Q433" s="62"/>
      <c r="R433" s="62">
        <f>SUBTOTAL(9,Table2[[#This Row],[1st]:[FQC]])</f>
        <v>2</v>
      </c>
      <c r="S433" s="62">
        <f>IFERROR(VLOOKUP(Table2[[#This Row],[Part No.]],'[2]New Machine sheet'!$G$2:$I$90,3,0),0)</f>
        <v>103.2</v>
      </c>
      <c r="T433" s="62">
        <f>Table2[[#This Row],[cost per piece]]*Table2[[#This Row],[Total Rej. qty]]</f>
        <v>206.4</v>
      </c>
      <c r="U433" s="62">
        <f>IFERROR(VLOOKUP(Table2[[#This Row],[Non Conformance]],'[2]New defect code '!$B$2:$C$129,2,0),0)</f>
        <v>3243</v>
      </c>
      <c r="V433" s="62">
        <v>18</v>
      </c>
      <c r="W433" s="62" t="str">
        <f>IFERROR(VLOOKUP(Table2[[#This Row],[Code4]],'[2]New Reason code'!$A$2:$D$77,2,0),0)</f>
        <v>During insert change</v>
      </c>
      <c r="X433" s="62" t="str">
        <f>IFERROR(VLOOKUP(Table2[[#This Row],[Reason]],'[2]New Reason code'!$B$2:$D$77,2,0),0)</f>
        <v xml:space="preserve">Due to Settup  </v>
      </c>
      <c r="Y433" s="62" t="str">
        <f>IFERROR(VLOOKUP(Table2[[#This Row],[Rejection Identified at]],'[2]New Reason code'!$C$2:$D$77,2,0),0)</f>
        <v>skill</v>
      </c>
    </row>
    <row r="434" spans="1:25" ht="20.25" customHeight="1">
      <c r="A434" s="50">
        <v>430</v>
      </c>
      <c r="B434" s="62">
        <v>3</v>
      </c>
      <c r="C434" s="62" t="str">
        <f>IFERROR(VLOOKUP(Table2[[#This Row],[Code]],'[2]New Machine sheet'!$A$1:$D$101,2,0),0)</f>
        <v>282-03</v>
      </c>
      <c r="D434" s="62" t="str">
        <f>IFERROR(VLOOKUP(Table2[[#This Row],[M/c No]],'[2]New Machine sheet'!$B$1:$D$101,2,0),0)</f>
        <v>Mazak</v>
      </c>
      <c r="E434" s="62" t="str">
        <f>IFERROR(VLOOKUP(Table2[[#This Row],[M/c Name]],'[2]New Machine sheet'!$C$1:$D$101,2,0),0)</f>
        <v>Turning</v>
      </c>
      <c r="F434" s="62">
        <v>42</v>
      </c>
      <c r="G434" s="62">
        <f>IFERROR(VLOOKUP(Table2[[#This Row],[Code2]],'[2]New Machine sheet'!$F$2:$I$64,2,),0)</f>
        <v>2442</v>
      </c>
      <c r="H434" s="62" t="str">
        <f>IFERROR(VLOOKUP(Table2[[#This Row],[Code2]],'[2]New Machine sheet'!$F$2:$I$64,3,0),0)</f>
        <v>RE P1</v>
      </c>
      <c r="I434" s="62" t="s">
        <v>129</v>
      </c>
      <c r="J434" s="62">
        <v>93</v>
      </c>
      <c r="K434" s="62" t="str">
        <f>IFERROR(VLOOKUP(Table2[[#This Row],[Code3]],'[2]New defect code '!$A$2:$D$129,2,0),0)</f>
        <v>Thickness Under size</v>
      </c>
      <c r="L434" s="62" t="s">
        <v>210</v>
      </c>
      <c r="M434" s="56">
        <v>46266</v>
      </c>
      <c r="N434" s="62">
        <v>1</v>
      </c>
      <c r="O434" s="62"/>
      <c r="P434" s="62"/>
      <c r="Q434" s="62"/>
      <c r="R434" s="62">
        <f>SUBTOTAL(9,Table2[[#This Row],[1st]:[FQC]])</f>
        <v>1</v>
      </c>
      <c r="S434" s="62">
        <f>IFERROR(VLOOKUP(Table2[[#This Row],[Part No.]],'[2]New Machine sheet'!$G$2:$I$90,3,0),0)</f>
        <v>164.83</v>
      </c>
      <c r="T434" s="62">
        <f>Table2[[#This Row],[cost per piece]]*Table2[[#This Row],[Total Rej. qty]]</f>
        <v>164.83</v>
      </c>
      <c r="U434" s="62">
        <f>IFERROR(VLOOKUP(Table2[[#This Row],[Non Conformance]],'[2]New defect code '!$B$2:$C$129,2,0),0)</f>
        <v>3258</v>
      </c>
      <c r="V434" s="62">
        <v>21</v>
      </c>
      <c r="W434" s="62" t="str">
        <f>IFERROR(VLOOKUP(Table2[[#This Row],[Code4]],'[2]New Reason code'!$A$2:$D$77,2,0),0)</f>
        <v>During setup time</v>
      </c>
      <c r="X434" s="62" t="str">
        <f>IFERROR(VLOOKUP(Table2[[#This Row],[Reason]],'[2]New Reason code'!$B$2:$D$77,2,0),0)</f>
        <v xml:space="preserve">Due to Settup  </v>
      </c>
      <c r="Y434" s="62" t="str">
        <f>IFERROR(VLOOKUP(Table2[[#This Row],[Rejection Identified at]],'[2]New Reason code'!$C$2:$D$77,2,0),0)</f>
        <v>skill</v>
      </c>
    </row>
    <row r="435" spans="1:25" ht="20.25" customHeight="1">
      <c r="A435" s="60">
        <v>431</v>
      </c>
      <c r="B435" s="62">
        <v>41</v>
      </c>
      <c r="C435" s="62" t="str">
        <f>IFERROR(VLOOKUP(Table2[[#This Row],[Code]],'[2]New Machine sheet'!$A$1:$D$101,2,0),0)</f>
        <v>252-03</v>
      </c>
      <c r="D435" s="62" t="str">
        <f>IFERROR(VLOOKUP(Table2[[#This Row],[M/c No]],'[2]New Machine sheet'!$B$1:$D$101,2,0),0)</f>
        <v>VMC</v>
      </c>
      <c r="E435" s="62" t="str">
        <f>IFERROR(VLOOKUP(Table2[[#This Row],[M/c Name]],'[2]New Machine sheet'!$C$1:$D$101,2,0),0)</f>
        <v>VMC</v>
      </c>
      <c r="F435" s="62">
        <v>155</v>
      </c>
      <c r="G435" s="62">
        <f>IFERROR(VLOOKUP(Table2[[#This Row],[Code2]],'[2]New Machine sheet'!$F$2:$I$64,2,),0)</f>
        <v>24155</v>
      </c>
      <c r="H435" s="62" t="str">
        <f>IFERROR(VLOOKUP(Table2[[#This Row],[Code2]],'[2]New Machine sheet'!$F$2:$I$64,3,0),0)</f>
        <v>RE J1</v>
      </c>
      <c r="I435" s="62" t="s">
        <v>128</v>
      </c>
      <c r="J435" s="62">
        <v>113</v>
      </c>
      <c r="K435" s="62" t="str">
        <f>IFERROR(VLOOKUP(Table2[[#This Row],[Code3]],'[2]New defect code '!$A$2:$D$129,2,0),0)</f>
        <v>Wrong loading poka yoke not working</v>
      </c>
      <c r="L435" s="62" t="s">
        <v>210</v>
      </c>
      <c r="M435" s="56">
        <v>46266</v>
      </c>
      <c r="N435" s="62">
        <v>1</v>
      </c>
      <c r="O435" s="62"/>
      <c r="P435" s="62"/>
      <c r="Q435" s="62"/>
      <c r="R435" s="62">
        <f>SUBTOTAL(9,Table2[[#This Row],[1st]:[FQC]])</f>
        <v>1</v>
      </c>
      <c r="S435" s="62">
        <f>IFERROR(VLOOKUP(Table2[[#This Row],[Part No.]],'[2]New Machine sheet'!$G$2:$I$90,3,0),0)</f>
        <v>107.67</v>
      </c>
      <c r="T435" s="62">
        <f>Table2[[#This Row],[cost per piece]]*Table2[[#This Row],[Total Rej. qty]]</f>
        <v>107.67</v>
      </c>
      <c r="U435" s="62">
        <f>IFERROR(VLOOKUP(Table2[[#This Row],[Non Conformance]],'[2]New defect code '!$B$2:$C$129,2,0),0)</f>
        <v>0</v>
      </c>
      <c r="V435" s="62">
        <v>66</v>
      </c>
      <c r="W435" s="62" t="str">
        <f>IFERROR(VLOOKUP(Table2[[#This Row],[Code4]],'[2]New Reason code'!$A$2:$D$77,2,0),0)</f>
        <v>Wrong Loading</v>
      </c>
      <c r="X435" s="62" t="str">
        <f>IFERROR(VLOOKUP(Table2[[#This Row],[Reason]],'[2]New Reason code'!$B$2:$D$77,2,0),0)</f>
        <v>Due to operator</v>
      </c>
      <c r="Y435" s="62" t="str">
        <f>IFERROR(VLOOKUP(Table2[[#This Row],[Rejection Identified at]],'[2]New Reason code'!$C$2:$D$77,2,0),0)</f>
        <v xml:space="preserve">infrastructure </v>
      </c>
    </row>
    <row r="436" spans="1:25" ht="20.25" customHeight="1">
      <c r="A436" s="50">
        <v>432</v>
      </c>
      <c r="B436" s="62">
        <v>23</v>
      </c>
      <c r="C436" s="62" t="str">
        <f>IFERROR(VLOOKUP(Table2[[#This Row],[Code]],'[2]New Machine sheet'!$A$1:$D$101,2,0),0)</f>
        <v>ACE-03</v>
      </c>
      <c r="D436" s="62" t="str">
        <f>IFERROR(VLOOKUP(Table2[[#This Row],[M/c No]],'[2]New Machine sheet'!$B$1:$D$101,2,0),0)</f>
        <v>Micromatic</v>
      </c>
      <c r="E436" s="62" t="str">
        <f>IFERROR(VLOOKUP(Table2[[#This Row],[M/c Name]],'[2]New Machine sheet'!$C$1:$D$101,2,0),0)</f>
        <v>Turning</v>
      </c>
      <c r="F436" s="62">
        <v>83</v>
      </c>
      <c r="G436" s="62">
        <f>IFERROR(VLOOKUP(Table2[[#This Row],[Code2]],'[2]New Machine sheet'!$F$2:$I$64,2,),0)</f>
        <v>2483</v>
      </c>
      <c r="H436" s="62" t="str">
        <f>IFERROR(VLOOKUP(Table2[[#This Row],[Code2]],'[2]New Machine sheet'!$F$2:$I$64,3,0),0)</f>
        <v>RE P1</v>
      </c>
      <c r="I436" s="62" t="s">
        <v>125</v>
      </c>
      <c r="J436" s="62">
        <v>5</v>
      </c>
      <c r="K436" s="62" t="str">
        <f>IFERROR(VLOOKUP(Table2[[#This Row],[Code3]],'[2]New defect code '!$A$2:$D$129,2,0),0)</f>
        <v>Bore Over size</v>
      </c>
      <c r="L436" s="62" t="s">
        <v>210</v>
      </c>
      <c r="M436" s="56">
        <v>46266</v>
      </c>
      <c r="N436" s="62">
        <v>1</v>
      </c>
      <c r="O436" s="62"/>
      <c r="P436" s="62"/>
      <c r="Q436" s="62"/>
      <c r="R436" s="62">
        <f>SUBTOTAL(9,Table2[[#This Row],[1st]:[FQC]])</f>
        <v>1</v>
      </c>
      <c r="S436" s="62">
        <f>IFERROR(VLOOKUP(Table2[[#This Row],[Part No.]],'[2]New Machine sheet'!$G$2:$I$90,3,0),0)</f>
        <v>55.380800000000001</v>
      </c>
      <c r="T436" s="62">
        <f>Table2[[#This Row],[cost per piece]]*Table2[[#This Row],[Total Rej. qty]]</f>
        <v>55.380800000000001</v>
      </c>
      <c r="U436" s="62">
        <f>IFERROR(VLOOKUP(Table2[[#This Row],[Non Conformance]],'[2]New defect code '!$B$2:$C$129,2,0),0)</f>
        <v>3243</v>
      </c>
      <c r="V436" s="62">
        <v>18</v>
      </c>
      <c r="W436" s="62" t="str">
        <f>IFERROR(VLOOKUP(Table2[[#This Row],[Code4]],'[2]New Reason code'!$A$2:$D$77,2,0),0)</f>
        <v>During insert change</v>
      </c>
      <c r="X436" s="62" t="str">
        <f>IFERROR(VLOOKUP(Table2[[#This Row],[Reason]],'[2]New Reason code'!$B$2:$D$77,2,0),0)</f>
        <v xml:space="preserve">Due to Settup  </v>
      </c>
      <c r="Y436" s="62" t="str">
        <f>IFERROR(VLOOKUP(Table2[[#This Row],[Rejection Identified at]],'[2]New Reason code'!$C$2:$D$77,2,0),0)</f>
        <v>skill</v>
      </c>
    </row>
    <row r="437" spans="1:25" ht="20.25" customHeight="1">
      <c r="A437" s="50">
        <v>433</v>
      </c>
      <c r="B437" s="62">
        <v>44</v>
      </c>
      <c r="C437" s="62" t="str">
        <f>IFERROR(VLOOKUP(Table2[[#This Row],[Code]],'[2]New Machine sheet'!$A$1:$D$101,2,0),0)</f>
        <v>LT20-NEW</v>
      </c>
      <c r="D437" s="62" t="str">
        <f>IFERROR(VLOOKUP(Table2[[#This Row],[M/c No]],'[2]New Machine sheet'!$B$1:$D$101,2,0),0)</f>
        <v>ACE</v>
      </c>
      <c r="E437" s="62" t="str">
        <f>IFERROR(VLOOKUP(Table2[[#This Row],[M/c Name]],'[2]New Machine sheet'!$C$1:$D$101,2,0),0)</f>
        <v xml:space="preserve">turning </v>
      </c>
      <c r="F437" s="62">
        <v>78</v>
      </c>
      <c r="G437" s="62">
        <f>IFERROR(VLOOKUP(Table2[[#This Row],[Code2]],'[2]New Machine sheet'!$F$2:$I$64,2,),0)</f>
        <v>2478</v>
      </c>
      <c r="H437" s="62" t="str">
        <f>IFERROR(VLOOKUP(Table2[[#This Row],[Code2]],'[2]New Machine sheet'!$F$2:$I$64,3,0),0)</f>
        <v>RE P1</v>
      </c>
      <c r="I437" s="62" t="s">
        <v>141</v>
      </c>
      <c r="J437" s="62">
        <v>66</v>
      </c>
      <c r="K437" s="62" t="str">
        <f>IFERROR(VLOOKUP(Table2[[#This Row],[Code3]],'[2]New defect code '!$A$2:$D$129,2,0),0)</f>
        <v>OD Under Size</v>
      </c>
      <c r="L437" s="62" t="s">
        <v>210</v>
      </c>
      <c r="M437" s="56">
        <v>46266</v>
      </c>
      <c r="N437" s="62">
        <v>1</v>
      </c>
      <c r="O437" s="62"/>
      <c r="P437" s="62"/>
      <c r="Q437" s="62"/>
      <c r="R437" s="62">
        <f>SUBTOTAL(9,Table2[[#This Row],[1st]:[FQC]])</f>
        <v>1</v>
      </c>
      <c r="S437" s="62">
        <f>IFERROR(VLOOKUP(Table2[[#This Row],[Part No.]],'[2]New Machine sheet'!$G$2:$I$90,3,0),0)</f>
        <v>468.06</v>
      </c>
      <c r="T437" s="62">
        <f>Table2[[#This Row],[cost per piece]]*Table2[[#This Row],[Total Rej. qty]]</f>
        <v>468.06</v>
      </c>
      <c r="U437" s="62">
        <f>IFERROR(VLOOKUP(Table2[[#This Row],[Non Conformance]],'[2]New defect code '!$B$2:$C$129,2,0),0)</f>
        <v>3242</v>
      </c>
      <c r="V437" s="62">
        <v>21</v>
      </c>
      <c r="W437" s="62" t="str">
        <f>IFERROR(VLOOKUP(Table2[[#This Row],[Code4]],'[2]New Reason code'!$A$2:$D$77,2,0),0)</f>
        <v>During setup time</v>
      </c>
      <c r="X437" s="62" t="str">
        <f>IFERROR(VLOOKUP(Table2[[#This Row],[Reason]],'[2]New Reason code'!$B$2:$D$77,2,0),0)</f>
        <v xml:space="preserve">Due to Settup  </v>
      </c>
      <c r="Y437" s="62" t="str">
        <f>IFERROR(VLOOKUP(Table2[[#This Row],[Rejection Identified at]],'[2]New Reason code'!$C$2:$D$77,2,0),0)</f>
        <v>skill</v>
      </c>
    </row>
    <row r="438" spans="1:25" ht="20.25" customHeight="1">
      <c r="A438" s="60">
        <v>434</v>
      </c>
      <c r="B438" s="62">
        <v>62</v>
      </c>
      <c r="C438" s="62" t="str">
        <f>IFERROR(VLOOKUP(Table2[[#This Row],[Code]],'[2]New Machine sheet'!$A$1:$D$101,2,0),0)</f>
        <v>FQC</v>
      </c>
      <c r="D438" s="62" t="str">
        <f>IFERROR(VLOOKUP(Table2[[#This Row],[M/c No]],'[2]New Machine sheet'!$B$1:$D$101,2,0),0)</f>
        <v>FQC</v>
      </c>
      <c r="E438" s="62" t="str">
        <f>IFERROR(VLOOKUP(Table2[[#This Row],[M/c Name]],'[2]New Machine sheet'!$C$1:$D$101,2,0),0)</f>
        <v>fqc</v>
      </c>
      <c r="F438" s="62">
        <v>154</v>
      </c>
      <c r="G438" s="62">
        <f>IFERROR(VLOOKUP(Table2[[#This Row],[Code2]],'[2]New Machine sheet'!$F$2:$I$64,2,),0)</f>
        <v>24154</v>
      </c>
      <c r="H438" s="62" t="str">
        <f>IFERROR(VLOOKUP(Table2[[#This Row],[Code2]],'[2]New Machine sheet'!$F$2:$I$64,3,0),0)</f>
        <v>RE J1</v>
      </c>
      <c r="I438" s="62"/>
      <c r="J438" s="62">
        <v>32</v>
      </c>
      <c r="K438" s="62" t="str">
        <f>IFERROR(VLOOKUP(Table2[[#This Row],[Code3]],'[2]New defect code '!$A$2:$D$129,2,0),0)</f>
        <v>Double Dot Punching</v>
      </c>
      <c r="L438" s="62" t="s">
        <v>210</v>
      </c>
      <c r="M438" s="56">
        <v>46266</v>
      </c>
      <c r="N438" s="62"/>
      <c r="O438" s="62"/>
      <c r="P438" s="62"/>
      <c r="Q438" s="62">
        <v>2</v>
      </c>
      <c r="R438" s="62">
        <f>SUBTOTAL(9,Table2[[#This Row],[1st]:[FQC]])</f>
        <v>2</v>
      </c>
      <c r="S438" s="62">
        <f>IFERROR(VLOOKUP(Table2[[#This Row],[Part No.]],'[2]New Machine sheet'!$G$2:$I$90,3,0),0)</f>
        <v>82.64</v>
      </c>
      <c r="T438" s="62">
        <f>Table2[[#This Row],[cost per piece]]*Table2[[#This Row],[Total Rej. qty]]</f>
        <v>165.28</v>
      </c>
      <c r="U438" s="62">
        <f>IFERROR(VLOOKUP(Table2[[#This Row],[Non Conformance]],'[2]New defect code '!$B$2:$C$129,2,0),0)</f>
        <v>0</v>
      </c>
      <c r="V438" s="62">
        <v>24</v>
      </c>
      <c r="W438" s="62" t="str">
        <f>IFERROR(VLOOKUP(Table2[[#This Row],[Code4]],'[2]New Reason code'!$A$2:$D$77,2,0),0)</f>
        <v>FQC return</v>
      </c>
      <c r="X438" s="62" t="str">
        <f>IFERROR(VLOOKUP(Table2[[#This Row],[Reason]],'[2]New Reason code'!$B$2:$D$77,2,0),0)</f>
        <v>Due to operator</v>
      </c>
      <c r="Y438" s="62" t="str">
        <f>IFERROR(VLOOKUP(Table2[[#This Row],[Rejection Identified at]],'[2]New Reason code'!$C$2:$D$77,2,0),0)</f>
        <v xml:space="preserve">infrastructure </v>
      </c>
    </row>
    <row r="439" spans="1:25" ht="20.25" customHeight="1">
      <c r="A439" s="50">
        <v>435</v>
      </c>
      <c r="B439" s="62">
        <v>62</v>
      </c>
      <c r="C439" s="62" t="str">
        <f>IFERROR(VLOOKUP(Table2[[#This Row],[Code]],'[2]New Machine sheet'!$A$1:$D$101,2,0),0)</f>
        <v>FQC</v>
      </c>
      <c r="D439" s="62" t="str">
        <f>IFERROR(VLOOKUP(Table2[[#This Row],[M/c No]],'[2]New Machine sheet'!$B$1:$D$101,2,0),0)</f>
        <v>FQC</v>
      </c>
      <c r="E439" s="62" t="str">
        <f>IFERROR(VLOOKUP(Table2[[#This Row],[M/c Name]],'[2]New Machine sheet'!$C$1:$D$101,2,0),0)</f>
        <v>fqc</v>
      </c>
      <c r="F439" s="62">
        <v>155</v>
      </c>
      <c r="G439" s="62">
        <f>IFERROR(VLOOKUP(Table2[[#This Row],[Code2]],'[2]New Machine sheet'!$F$2:$I$64,2,),0)</f>
        <v>24155</v>
      </c>
      <c r="H439" s="62" t="str">
        <f>IFERROR(VLOOKUP(Table2[[#This Row],[Code2]],'[2]New Machine sheet'!$F$2:$I$64,3,0),0)</f>
        <v>RE J1</v>
      </c>
      <c r="I439" s="62"/>
      <c r="J439" s="62">
        <v>93</v>
      </c>
      <c r="K439" s="62" t="str">
        <f>IFERROR(VLOOKUP(Table2[[#This Row],[Code3]],'[2]New defect code '!$A$2:$D$129,2,0),0)</f>
        <v>Thickness Under size</v>
      </c>
      <c r="L439" s="62" t="s">
        <v>210</v>
      </c>
      <c r="M439" s="56">
        <v>46266</v>
      </c>
      <c r="N439" s="62"/>
      <c r="O439" s="62"/>
      <c r="P439" s="62"/>
      <c r="Q439" s="62">
        <v>5</v>
      </c>
      <c r="R439" s="62">
        <f>SUBTOTAL(9,Table2[[#This Row],[1st]:[FQC]])</f>
        <v>5</v>
      </c>
      <c r="S439" s="62">
        <f>IFERROR(VLOOKUP(Table2[[#This Row],[Part No.]],'[2]New Machine sheet'!$G$2:$I$90,3,0),0)</f>
        <v>107.67</v>
      </c>
      <c r="T439" s="62">
        <f>Table2[[#This Row],[cost per piece]]*Table2[[#This Row],[Total Rej. qty]]</f>
        <v>538.35</v>
      </c>
      <c r="U439" s="62">
        <f>IFERROR(VLOOKUP(Table2[[#This Row],[Non Conformance]],'[2]New defect code '!$B$2:$C$129,2,0),0)</f>
        <v>3258</v>
      </c>
      <c r="V439" s="62">
        <v>24</v>
      </c>
      <c r="W439" s="62" t="str">
        <f>IFERROR(VLOOKUP(Table2[[#This Row],[Code4]],'[2]New Reason code'!$A$2:$D$77,2,0),0)</f>
        <v>FQC return</v>
      </c>
      <c r="X439" s="62" t="str">
        <f>IFERROR(VLOOKUP(Table2[[#This Row],[Reason]],'[2]New Reason code'!$B$2:$D$77,2,0),0)</f>
        <v>Due to operator</v>
      </c>
      <c r="Y439" s="62" t="str">
        <f>IFERROR(VLOOKUP(Table2[[#This Row],[Rejection Identified at]],'[2]New Reason code'!$C$2:$D$77,2,0),0)</f>
        <v xml:space="preserve">infrastructure </v>
      </c>
    </row>
    <row r="440" spans="1:25" ht="20.25" customHeight="1">
      <c r="A440" s="50">
        <v>436</v>
      </c>
      <c r="B440" s="62"/>
      <c r="C440" s="61">
        <f>IFERROR(VLOOKUP(Table2[[#This Row],[Code]],'[2]New Machine sheet'!$A$1:$D$101,2,0),0)</f>
        <v>0</v>
      </c>
      <c r="D440" s="61">
        <f>IFERROR(VLOOKUP(Table2[[#This Row],[M/c No]],'[2]New Machine sheet'!$B$1:$D$101,2,0),0)</f>
        <v>0</v>
      </c>
      <c r="E440" s="61">
        <f>IFERROR(VLOOKUP(Table2[[#This Row],[M/c Name]],'[2]New Machine sheet'!$C$1:$D$101,2,0),0)</f>
        <v>0</v>
      </c>
      <c r="F440" s="61">
        <v>154</v>
      </c>
      <c r="G440" s="61">
        <f>IFERROR(VLOOKUP(Table2[[#This Row],[Code2]],'[2]New Machine sheet'!$F$2:$I$64,2,),0)</f>
        <v>24154</v>
      </c>
      <c r="H440" s="61" t="str">
        <f>IFERROR(VLOOKUP(Table2[[#This Row],[Code2]],'[2]New Machine sheet'!$F$2:$I$64,3,0),0)</f>
        <v>RE J1</v>
      </c>
      <c r="I440" s="61"/>
      <c r="J440" s="61">
        <v>80</v>
      </c>
      <c r="K440" s="61" t="str">
        <f>IFERROR(VLOOKUP(Table2[[#This Row],[Code3]],'[2]New defect code '!$A$2:$D$129,2,0),0)</f>
        <v xml:space="preserve">Rust </v>
      </c>
      <c r="L440" s="62" t="s">
        <v>210</v>
      </c>
      <c r="M440" s="56">
        <v>46266</v>
      </c>
      <c r="N440" s="61">
        <v>5</v>
      </c>
      <c r="O440" s="61"/>
      <c r="P440" s="61"/>
      <c r="Q440" s="61"/>
      <c r="R440" s="61">
        <f>SUBTOTAL(9,Table2[[#This Row],[1st]:[FQC]])</f>
        <v>5</v>
      </c>
      <c r="S440" s="61">
        <f>IFERROR(VLOOKUP(Table2[[#This Row],[Part No.]],'[2]New Machine sheet'!$G$2:$I$90,3,0),0)</f>
        <v>82.64</v>
      </c>
      <c r="T440" s="61">
        <f>Table2[[#This Row],[cost per piece]]*Table2[[#This Row],[Total Rej. qty]]</f>
        <v>413.2</v>
      </c>
      <c r="U440" s="61">
        <f>IFERROR(VLOOKUP(Table2[[#This Row],[Non Conformance]],'[2]New defect code '!$B$2:$C$129,2,0),0)</f>
        <v>0</v>
      </c>
      <c r="V440" s="61">
        <v>28</v>
      </c>
      <c r="W440" s="61" t="str">
        <f>IFERROR(VLOOKUP(Table2[[#This Row],[Code4]],'[2]New Reason code'!$A$2:$D$77,2,0),0)</f>
        <v>Kept inside on m/c</v>
      </c>
      <c r="X440" s="61" t="str">
        <f>IFERROR(VLOOKUP(Table2[[#This Row],[Reason]],'[2]New Reason code'!$B$2:$D$77,2,0),0)</f>
        <v>Due to operator</v>
      </c>
      <c r="Y440" s="61" t="str">
        <f>IFERROR(VLOOKUP(Table2[[#This Row],[Rejection Identified at]],'[2]New Reason code'!$C$2:$D$77,2,0),0)</f>
        <v xml:space="preserve">infrastructure </v>
      </c>
    </row>
    <row r="441" spans="1:25" ht="20.25" customHeight="1">
      <c r="A441" s="60">
        <v>437</v>
      </c>
      <c r="B441" s="61"/>
      <c r="C441" s="61">
        <f>IFERROR(VLOOKUP(Table2[[#This Row],[Code]],'[2]New Machine sheet'!$A$1:$D$101,2,0),0)</f>
        <v>0</v>
      </c>
      <c r="D441" s="61">
        <f>IFERROR(VLOOKUP(Table2[[#This Row],[M/c No]],'[2]New Machine sheet'!$B$1:$D$101,2,0),0)</f>
        <v>0</v>
      </c>
      <c r="E441" s="61">
        <f>IFERROR(VLOOKUP(Table2[[#This Row],[M/c Name]],'[2]New Machine sheet'!$C$1:$D$101,2,0),0)</f>
        <v>0</v>
      </c>
      <c r="F441" s="61">
        <v>155</v>
      </c>
      <c r="G441" s="61">
        <f>IFERROR(VLOOKUP(Table2[[#This Row],[Code2]],'[2]New Machine sheet'!$F$2:$I$64,2,),0)</f>
        <v>24155</v>
      </c>
      <c r="H441" s="61" t="str">
        <f>IFERROR(VLOOKUP(Table2[[#This Row],[Code2]],'[2]New Machine sheet'!$F$2:$I$64,3,0),0)</f>
        <v>RE J1</v>
      </c>
      <c r="I441" s="61"/>
      <c r="J441" s="61">
        <v>80</v>
      </c>
      <c r="K441" s="61" t="str">
        <f>IFERROR(VLOOKUP(Table2[[#This Row],[Code3]],'[2]New defect code '!$A$2:$D$129,2,0),0)</f>
        <v xml:space="preserve">Rust </v>
      </c>
      <c r="L441" s="62" t="s">
        <v>210</v>
      </c>
      <c r="M441" s="56">
        <v>46266</v>
      </c>
      <c r="N441" s="61">
        <v>5</v>
      </c>
      <c r="O441" s="61"/>
      <c r="P441" s="61"/>
      <c r="Q441" s="61"/>
      <c r="R441" s="61">
        <f>SUBTOTAL(9,Table2[[#This Row],[1st]:[FQC]])</f>
        <v>5</v>
      </c>
      <c r="S441" s="61">
        <f>IFERROR(VLOOKUP(Table2[[#This Row],[Part No.]],'[2]New Machine sheet'!$G$2:$I$90,3,0),0)</f>
        <v>107.67</v>
      </c>
      <c r="T441" s="61">
        <f>Table2[[#This Row],[cost per piece]]*Table2[[#This Row],[Total Rej. qty]]</f>
        <v>538.35</v>
      </c>
      <c r="U441" s="61">
        <f>IFERROR(VLOOKUP(Table2[[#This Row],[Non Conformance]],'[2]New defect code '!$B$2:$C$129,2,0),0)</f>
        <v>0</v>
      </c>
      <c r="V441" s="61">
        <v>15</v>
      </c>
      <c r="W441" s="61" t="str">
        <f>IFERROR(VLOOKUP(Table2[[#This Row],[Code4]],'[2]New Reason code'!$A$2:$D$77,2,0),0)</f>
        <v>During ACMA (5S) time</v>
      </c>
      <c r="X441" s="61" t="str">
        <f>IFERROR(VLOOKUP(Table2[[#This Row],[Reason]],'[2]New Reason code'!$B$2:$D$77,2,0),0)</f>
        <v>Prod Declared</v>
      </c>
      <c r="Y441" s="61" t="str">
        <f>IFERROR(VLOOKUP(Table2[[#This Row],[Rejection Identified at]],'[2]New Reason code'!$C$2:$D$77,2,0),0)</f>
        <v>Process Issue</v>
      </c>
    </row>
    <row r="442" spans="1:25" ht="20.25" customHeight="1">
      <c r="A442" s="50">
        <v>438</v>
      </c>
      <c r="B442" s="61"/>
      <c r="C442" s="61">
        <f>IFERROR(VLOOKUP(Table2[[#This Row],[Code]],'[2]New Machine sheet'!$A$1:$D$101,2,0),0)</f>
        <v>0</v>
      </c>
      <c r="D442" s="61">
        <f>IFERROR(VLOOKUP(Table2[[#This Row],[M/c No]],'[2]New Machine sheet'!$B$1:$D$101,2,0),0)</f>
        <v>0</v>
      </c>
      <c r="E442" s="61">
        <f>IFERROR(VLOOKUP(Table2[[#This Row],[M/c Name]],'[2]New Machine sheet'!$C$1:$D$101,2,0),0)</f>
        <v>0</v>
      </c>
      <c r="F442" s="61">
        <v>127</v>
      </c>
      <c r="G442" s="61">
        <f>IFERROR(VLOOKUP(Table2[[#This Row],[Code2]],'[2]New Machine sheet'!$F$2:$I$64,2,),0)</f>
        <v>24127</v>
      </c>
      <c r="H442" s="61" t="str">
        <f>IFERROR(VLOOKUP(Table2[[#This Row],[Code2]],'[2]New Machine sheet'!$F$2:$I$64,3,0),0)</f>
        <v>RE J1</v>
      </c>
      <c r="I442" s="61"/>
      <c r="J442" s="61">
        <v>80</v>
      </c>
      <c r="K442" s="61" t="str">
        <f>IFERROR(VLOOKUP(Table2[[#This Row],[Code3]],'[2]New defect code '!$A$2:$D$129,2,0),0)</f>
        <v xml:space="preserve">Rust </v>
      </c>
      <c r="L442" s="62" t="s">
        <v>210</v>
      </c>
      <c r="M442" s="56">
        <v>46266</v>
      </c>
      <c r="N442" s="61">
        <v>1</v>
      </c>
      <c r="O442" s="61"/>
      <c r="P442" s="61"/>
      <c r="Q442" s="61"/>
      <c r="R442" s="61">
        <f>SUBTOTAL(9,Table2[[#This Row],[1st]:[FQC]])</f>
        <v>1</v>
      </c>
      <c r="S442" s="61">
        <f>IFERROR(VLOOKUP(Table2[[#This Row],[Part No.]],'[2]New Machine sheet'!$G$2:$I$90,3,0),0)</f>
        <v>262.81200000000001</v>
      </c>
      <c r="T442" s="61">
        <f>Table2[[#This Row],[cost per piece]]*Table2[[#This Row],[Total Rej. qty]]</f>
        <v>262.81200000000001</v>
      </c>
      <c r="U442" s="61">
        <f>IFERROR(VLOOKUP(Table2[[#This Row],[Non Conformance]],'[2]New defect code '!$B$2:$C$129,2,0),0)</f>
        <v>0</v>
      </c>
      <c r="V442" s="61">
        <v>15</v>
      </c>
      <c r="W442" s="61" t="str">
        <f>IFERROR(VLOOKUP(Table2[[#This Row],[Code4]],'[2]New Reason code'!$A$2:$D$77,2,0),0)</f>
        <v>During ACMA (5S) time</v>
      </c>
      <c r="X442" s="61" t="str">
        <f>IFERROR(VLOOKUP(Table2[[#This Row],[Reason]],'[2]New Reason code'!$B$2:$D$77,2,0),0)</f>
        <v>Prod Declared</v>
      </c>
      <c r="Y442" s="61" t="str">
        <f>IFERROR(VLOOKUP(Table2[[#This Row],[Rejection Identified at]],'[2]New Reason code'!$C$2:$D$77,2,0),0)</f>
        <v>Process Issue</v>
      </c>
    </row>
    <row r="443" spans="1:25" ht="20.25" customHeight="1">
      <c r="A443" s="50">
        <v>439</v>
      </c>
      <c r="B443" s="61"/>
      <c r="C443" s="61">
        <f>IFERROR(VLOOKUP(Table2[[#This Row],[Code]],'[2]New Machine sheet'!$A$1:$D$101,2,0),0)</f>
        <v>0</v>
      </c>
      <c r="D443" s="61">
        <f>IFERROR(VLOOKUP(Table2[[#This Row],[M/c No]],'[2]New Machine sheet'!$B$1:$D$101,2,0),0)</f>
        <v>0</v>
      </c>
      <c r="E443" s="61">
        <f>IFERROR(VLOOKUP(Table2[[#This Row],[M/c Name]],'[2]New Machine sheet'!$C$1:$D$101,2,0),0)</f>
        <v>0</v>
      </c>
      <c r="F443" s="61">
        <v>28</v>
      </c>
      <c r="G443" s="61">
        <f>IFERROR(VLOOKUP(Table2[[#This Row],[Code2]],'[2]New Machine sheet'!$F$2:$I$64,2,),0)</f>
        <v>2428</v>
      </c>
      <c r="H443" s="61" t="str">
        <f>IFERROR(VLOOKUP(Table2[[#This Row],[Code2]],'[2]New Machine sheet'!$F$2:$I$64,3,0),0)</f>
        <v>RE P1</v>
      </c>
      <c r="I443" s="61"/>
      <c r="J443" s="61">
        <v>80</v>
      </c>
      <c r="K443" s="61" t="str">
        <f>IFERROR(VLOOKUP(Table2[[#This Row],[Code3]],'[2]New defect code '!$A$2:$D$129,2,0),0)</f>
        <v xml:space="preserve">Rust </v>
      </c>
      <c r="L443" s="62" t="s">
        <v>210</v>
      </c>
      <c r="M443" s="56">
        <v>46266</v>
      </c>
      <c r="N443" s="61">
        <v>1</v>
      </c>
      <c r="O443" s="61"/>
      <c r="P443" s="61"/>
      <c r="Q443" s="61"/>
      <c r="R443" s="61">
        <f>SUBTOTAL(9,Table2[[#This Row],[1st]:[FQC]])</f>
        <v>1</v>
      </c>
      <c r="S443" s="61">
        <f>IFERROR(VLOOKUP(Table2[[#This Row],[Part No.]],'[2]New Machine sheet'!$G$2:$I$90,3,0),0)</f>
        <v>124.07</v>
      </c>
      <c r="T443" s="61">
        <f>Table2[[#This Row],[cost per piece]]*Table2[[#This Row],[Total Rej. qty]]</f>
        <v>124.07</v>
      </c>
      <c r="U443" s="61">
        <f>IFERROR(VLOOKUP(Table2[[#This Row],[Non Conformance]],'[2]New defect code '!$B$2:$C$129,2,0),0)</f>
        <v>0</v>
      </c>
      <c r="V443" s="61">
        <v>15</v>
      </c>
      <c r="W443" s="61" t="str">
        <f>IFERROR(VLOOKUP(Table2[[#This Row],[Code4]],'[2]New Reason code'!$A$2:$D$77,2,0),0)</f>
        <v>During ACMA (5S) time</v>
      </c>
      <c r="X443" s="61" t="str">
        <f>IFERROR(VLOOKUP(Table2[[#This Row],[Reason]],'[2]New Reason code'!$B$2:$D$77,2,0),0)</f>
        <v>Prod Declared</v>
      </c>
      <c r="Y443" s="61" t="str">
        <f>IFERROR(VLOOKUP(Table2[[#This Row],[Rejection Identified at]],'[2]New Reason code'!$C$2:$D$77,2,0),0)</f>
        <v>Process Issue</v>
      </c>
    </row>
    <row r="444" spans="1:25" ht="20.25" customHeight="1">
      <c r="A444" s="60">
        <v>440</v>
      </c>
      <c r="B444" s="61"/>
      <c r="C444" s="61">
        <f>IFERROR(VLOOKUP(Table2[[#This Row],[Code]],'[2]New Machine sheet'!$A$1:$D$101,2,0),0)</f>
        <v>0</v>
      </c>
      <c r="D444" s="61">
        <f>IFERROR(VLOOKUP(Table2[[#This Row],[M/c No]],'[2]New Machine sheet'!$B$1:$D$101,2,0),0)</f>
        <v>0</v>
      </c>
      <c r="E444" s="61">
        <f>IFERROR(VLOOKUP(Table2[[#This Row],[M/c Name]],'[2]New Machine sheet'!$C$1:$D$101,2,0),0)</f>
        <v>0</v>
      </c>
      <c r="F444" s="61">
        <v>115</v>
      </c>
      <c r="G444" s="61">
        <f>IFERROR(VLOOKUP(Table2[[#This Row],[Code2]],'[2]New Machine sheet'!$F$2:$I$64,2,),0)</f>
        <v>24115</v>
      </c>
      <c r="H444" s="61" t="str">
        <f>IFERROR(VLOOKUP(Table2[[#This Row],[Code2]],'[2]New Machine sheet'!$F$2:$I$64,3,0),0)</f>
        <v>RE J1</v>
      </c>
      <c r="I444" s="61"/>
      <c r="J444" s="61">
        <v>80</v>
      </c>
      <c r="K444" s="61" t="str">
        <f>IFERROR(VLOOKUP(Table2[[#This Row],[Code3]],'[2]New defect code '!$A$2:$D$129,2,0),0)</f>
        <v xml:space="preserve">Rust </v>
      </c>
      <c r="L444" s="62" t="s">
        <v>210</v>
      </c>
      <c r="M444" s="56">
        <v>46266</v>
      </c>
      <c r="N444" s="61">
        <v>1</v>
      </c>
      <c r="O444" s="61"/>
      <c r="P444" s="61"/>
      <c r="Q444" s="61"/>
      <c r="R444" s="61">
        <f>SUBTOTAL(9,Table2[[#This Row],[1st]:[FQC]])</f>
        <v>1</v>
      </c>
      <c r="S444" s="61">
        <f>IFERROR(VLOOKUP(Table2[[#This Row],[Part No.]],'[2]New Machine sheet'!$G$2:$I$90,3,0),0)</f>
        <v>66.900000000000006</v>
      </c>
      <c r="T444" s="61">
        <f>Table2[[#This Row],[cost per piece]]*Table2[[#This Row],[Total Rej. qty]]</f>
        <v>66.900000000000006</v>
      </c>
      <c r="U444" s="61">
        <f>IFERROR(VLOOKUP(Table2[[#This Row],[Non Conformance]],'[2]New defect code '!$B$2:$C$129,2,0),0)</f>
        <v>0</v>
      </c>
      <c r="V444" s="61">
        <v>15</v>
      </c>
      <c r="W444" s="61" t="str">
        <f>IFERROR(VLOOKUP(Table2[[#This Row],[Code4]],'[2]New Reason code'!$A$2:$D$77,2,0),0)</f>
        <v>During ACMA (5S) time</v>
      </c>
      <c r="X444" s="61" t="str">
        <f>IFERROR(VLOOKUP(Table2[[#This Row],[Reason]],'[2]New Reason code'!$B$2:$D$77,2,0),0)</f>
        <v>Prod Declared</v>
      </c>
      <c r="Y444" s="61" t="str">
        <f>IFERROR(VLOOKUP(Table2[[#This Row],[Rejection Identified at]],'[2]New Reason code'!$C$2:$D$77,2,0),0)</f>
        <v>Process Issue</v>
      </c>
    </row>
    <row r="445" spans="1:25" ht="20.25" customHeight="1">
      <c r="A445" s="50">
        <v>441</v>
      </c>
      <c r="B445" s="61"/>
      <c r="C445" s="62">
        <f>IFERROR(VLOOKUP(Table2[[#This Row],[Code]],'[2]New Machine sheet'!$A$1:$D$101,2,0),0)</f>
        <v>0</v>
      </c>
      <c r="D445" s="62">
        <f>IFERROR(VLOOKUP(Table2[[#This Row],[M/c No]],'[2]New Machine sheet'!$B$1:$D$101,2,0),0)</f>
        <v>0</v>
      </c>
      <c r="E445" s="62">
        <f>IFERROR(VLOOKUP(Table2[[#This Row],[M/c Name]],'[2]New Machine sheet'!$C$1:$D$101,2,0),0)</f>
        <v>0</v>
      </c>
      <c r="F445" s="62">
        <v>125</v>
      </c>
      <c r="G445" s="62">
        <f>IFERROR(VLOOKUP(Table2[[#This Row],[Code2]],'[2]New Machine sheet'!$F$2:$I$64,2,),0)</f>
        <v>24125</v>
      </c>
      <c r="H445" s="62" t="str">
        <f>IFERROR(VLOOKUP(Table2[[#This Row],[Code2]],'[2]New Machine sheet'!$F$2:$I$64,3,0),0)</f>
        <v>RE J1</v>
      </c>
      <c r="I445" s="62"/>
      <c r="J445" s="61">
        <v>80</v>
      </c>
      <c r="K445" s="62" t="str">
        <f>IFERROR(VLOOKUP(Table2[[#This Row],[Code3]],'[2]New defect code '!$A$2:$D$129,2,0),0)</f>
        <v xml:space="preserve">Rust </v>
      </c>
      <c r="L445" s="62" t="s">
        <v>210</v>
      </c>
      <c r="M445" s="56">
        <v>46266</v>
      </c>
      <c r="N445" s="62">
        <v>1</v>
      </c>
      <c r="O445" s="62"/>
      <c r="P445" s="62"/>
      <c r="Q445" s="62"/>
      <c r="R445" s="62">
        <f>SUBTOTAL(9,Table2[[#This Row],[1st]:[FQC]])</f>
        <v>1</v>
      </c>
      <c r="S445" s="62">
        <f>IFERROR(VLOOKUP(Table2[[#This Row],[Part No.]],'[2]New Machine sheet'!$G$2:$I$90,3,0),0)</f>
        <v>65.17</v>
      </c>
      <c r="T445" s="62">
        <f>Table2[[#This Row],[cost per piece]]*Table2[[#This Row],[Total Rej. qty]]</f>
        <v>65.17</v>
      </c>
      <c r="U445" s="62">
        <f>IFERROR(VLOOKUP(Table2[[#This Row],[Non Conformance]],'[2]New defect code '!$B$2:$C$129,2,0),0)</f>
        <v>0</v>
      </c>
      <c r="V445" s="62">
        <v>15</v>
      </c>
      <c r="W445" s="62" t="str">
        <f>IFERROR(VLOOKUP(Table2[[#This Row],[Code4]],'[2]New Reason code'!$A$2:$D$77,2,0),0)</f>
        <v>During ACMA (5S) time</v>
      </c>
      <c r="X445" s="62" t="str">
        <f>IFERROR(VLOOKUP(Table2[[#This Row],[Reason]],'[2]New Reason code'!$B$2:$D$77,2,0),0)</f>
        <v>Prod Declared</v>
      </c>
      <c r="Y445" s="62" t="str">
        <f>IFERROR(VLOOKUP(Table2[[#This Row],[Rejection Identified at]],'[2]New Reason code'!$C$2:$D$77,2,0),0)</f>
        <v>Process Issue</v>
      </c>
    </row>
    <row r="446" spans="1:25" ht="20.25" customHeight="1">
      <c r="A446" s="50">
        <v>442</v>
      </c>
      <c r="B446" s="62">
        <v>15</v>
      </c>
      <c r="C446" s="62" t="str">
        <f>IFERROR(VLOOKUP(Table2[[#This Row],[Code]],'[2]New Machine sheet'!$A$1:$D$101,2,0),0)</f>
        <v>282-15</v>
      </c>
      <c r="D446" s="62" t="str">
        <f>IFERROR(VLOOKUP(Table2[[#This Row],[M/c No]],'[2]New Machine sheet'!$B$1:$D$101,2,0),0)</f>
        <v>Mazak</v>
      </c>
      <c r="E446" s="62" t="str">
        <f>IFERROR(VLOOKUP(Table2[[#This Row],[M/c Name]],'[2]New Machine sheet'!$C$1:$D$101,2,0),0)</f>
        <v>Turning</v>
      </c>
      <c r="F446" s="62">
        <v>82</v>
      </c>
      <c r="G446" s="62">
        <f>IFERROR(VLOOKUP(Table2[[#This Row],[Code2]],'[2]New Machine sheet'!$F$2:$I$64,2,),0)</f>
        <v>2482</v>
      </c>
      <c r="H446" s="62" t="str">
        <f>IFERROR(VLOOKUP(Table2[[#This Row],[Code2]],'[2]New Machine sheet'!$F$2:$I$64,3,0),0)</f>
        <v>RE P1</v>
      </c>
      <c r="I446" s="62" t="s">
        <v>211</v>
      </c>
      <c r="J446" s="62">
        <v>66</v>
      </c>
      <c r="K446" s="62" t="str">
        <f>IFERROR(VLOOKUP(Table2[[#This Row],[Code3]],'[2]New defect code '!$A$2:$D$129,2,0),0)</f>
        <v>OD Under Size</v>
      </c>
      <c r="L446" s="62" t="s">
        <v>210</v>
      </c>
      <c r="M446" s="56">
        <v>46266</v>
      </c>
      <c r="N446" s="62"/>
      <c r="O446" s="62">
        <v>3</v>
      </c>
      <c r="P446" s="62"/>
      <c r="Q446" s="62"/>
      <c r="R446" s="62">
        <f>SUBTOTAL(9,Table2[[#This Row],[1st]:[FQC]])</f>
        <v>3</v>
      </c>
      <c r="S446" s="62">
        <f>IFERROR(VLOOKUP(Table2[[#This Row],[Part No.]],'[2]New Machine sheet'!$G$2:$I$90,3,0),0)</f>
        <v>303.45333333333332</v>
      </c>
      <c r="T446" s="62">
        <f>Table2[[#This Row],[cost per piece]]*Table2[[#This Row],[Total Rej. qty]]</f>
        <v>910.3599999999999</v>
      </c>
      <c r="U446" s="62">
        <f>IFERROR(VLOOKUP(Table2[[#This Row],[Non Conformance]],'[2]New defect code '!$B$2:$C$129,2,0),0)</f>
        <v>3242</v>
      </c>
      <c r="V446" s="62">
        <v>18</v>
      </c>
      <c r="W446" s="62" t="str">
        <f>IFERROR(VLOOKUP(Table2[[#This Row],[Code4]],'[2]New Reason code'!$A$2:$D$77,2,0),0)</f>
        <v>During insert change</v>
      </c>
      <c r="X446" s="62" t="str">
        <f>IFERROR(VLOOKUP(Table2[[#This Row],[Reason]],'[2]New Reason code'!$B$2:$D$77,2,0),0)</f>
        <v xml:space="preserve">Due to Settup  </v>
      </c>
      <c r="Y446" s="62" t="str">
        <f>IFERROR(VLOOKUP(Table2[[#This Row],[Rejection Identified at]],'[2]New Reason code'!$C$2:$D$77,2,0),0)</f>
        <v>skill</v>
      </c>
    </row>
    <row r="447" spans="1:25" ht="20.25" customHeight="1">
      <c r="A447" s="60">
        <v>443</v>
      </c>
      <c r="B447" s="62">
        <v>23</v>
      </c>
      <c r="C447" s="62" t="str">
        <f>IFERROR(VLOOKUP(Table2[[#This Row],[Code]],'[2]New Machine sheet'!$A$1:$D$101,2,0),0)</f>
        <v>ACE-03</v>
      </c>
      <c r="D447" s="62" t="str">
        <f>IFERROR(VLOOKUP(Table2[[#This Row],[M/c No]],'[2]New Machine sheet'!$B$1:$D$101,2,0),0)</f>
        <v>Micromatic</v>
      </c>
      <c r="E447" s="62" t="str">
        <f>IFERROR(VLOOKUP(Table2[[#This Row],[M/c Name]],'[2]New Machine sheet'!$C$1:$D$101,2,0),0)</f>
        <v>Turning</v>
      </c>
      <c r="F447" s="62">
        <v>122</v>
      </c>
      <c r="G447" s="62">
        <f>IFERROR(VLOOKUP(Table2[[#This Row],[Code2]],'[2]New Machine sheet'!$F$2:$I$64,2,),0)</f>
        <v>24122</v>
      </c>
      <c r="H447" s="62" t="str">
        <f>IFERROR(VLOOKUP(Table2[[#This Row],[Code2]],'[2]New Machine sheet'!$F$2:$I$64,3,0),0)</f>
        <v>RE J1</v>
      </c>
      <c r="I447" s="62" t="s">
        <v>185</v>
      </c>
      <c r="J447" s="62">
        <v>5</v>
      </c>
      <c r="K447" s="62" t="str">
        <f>IFERROR(VLOOKUP(Table2[[#This Row],[Code3]],'[2]New defect code '!$A$2:$D$129,2,0),0)</f>
        <v>Bore Over size</v>
      </c>
      <c r="L447" s="62" t="s">
        <v>210</v>
      </c>
      <c r="M447" s="56">
        <v>46266</v>
      </c>
      <c r="N447" s="62"/>
      <c r="O447" s="62">
        <v>1</v>
      </c>
      <c r="P447" s="62"/>
      <c r="Q447" s="62"/>
      <c r="R447" s="62">
        <f>SUBTOTAL(9,Table2[[#This Row],[1st]:[FQC]])</f>
        <v>1</v>
      </c>
      <c r="S447" s="62">
        <f>IFERROR(VLOOKUP(Table2[[#This Row],[Part No.]],'[2]New Machine sheet'!$G$2:$I$90,3,0),0)</f>
        <v>335.39977528089889</v>
      </c>
      <c r="T447" s="62">
        <f>Table2[[#This Row],[cost per piece]]*Table2[[#This Row],[Total Rej. qty]]</f>
        <v>335.39977528089889</v>
      </c>
      <c r="U447" s="62">
        <f>IFERROR(VLOOKUP(Table2[[#This Row],[Non Conformance]],'[2]New defect code '!$B$2:$C$129,2,0),0)</f>
        <v>3243</v>
      </c>
      <c r="V447" s="62">
        <v>18</v>
      </c>
      <c r="W447" s="62" t="str">
        <f>IFERROR(VLOOKUP(Table2[[#This Row],[Code4]],'[2]New Reason code'!$A$2:$D$77,2,0),0)</f>
        <v>During insert change</v>
      </c>
      <c r="X447" s="62" t="str">
        <f>IFERROR(VLOOKUP(Table2[[#This Row],[Reason]],'[2]New Reason code'!$B$2:$D$77,2,0),0)</f>
        <v xml:space="preserve">Due to Settup  </v>
      </c>
      <c r="Y447" s="62" t="str">
        <f>IFERROR(VLOOKUP(Table2[[#This Row],[Rejection Identified at]],'[2]New Reason code'!$C$2:$D$77,2,0),0)</f>
        <v>skill</v>
      </c>
    </row>
    <row r="448" spans="1:25" ht="20.25" customHeight="1">
      <c r="A448" s="50">
        <v>444</v>
      </c>
      <c r="B448" s="62"/>
      <c r="C448" s="62" t="s">
        <v>118</v>
      </c>
      <c r="D448" s="62" t="s">
        <v>117</v>
      </c>
      <c r="E448" s="62" t="str">
        <f>IFERROR(VLOOKUP(Table2[[#This Row],[M/c Name]],'[2]New Machine sheet'!$C$1:$D$101,2,0),0)</f>
        <v>Turning</v>
      </c>
      <c r="F448" s="62">
        <v>127</v>
      </c>
      <c r="G448" s="62">
        <f>IFERROR(VLOOKUP(Table2[[#This Row],[Code2]],'[2]New Machine sheet'!$F$2:$I$64,2,),0)</f>
        <v>24127</v>
      </c>
      <c r="H448" s="62" t="str">
        <f>IFERROR(VLOOKUP(Table2[[#This Row],[Code2]],'[2]New Machine sheet'!$F$2:$I$64,3,0),0)</f>
        <v>RE J1</v>
      </c>
      <c r="I448" s="62" t="s">
        <v>191</v>
      </c>
      <c r="J448" s="62">
        <v>66</v>
      </c>
      <c r="K448" s="62" t="str">
        <f>IFERROR(VLOOKUP(Table2[[#This Row],[Code3]],'[2]New defect code '!$A$2:$D$129,2,0),0)</f>
        <v>OD Under Size</v>
      </c>
      <c r="L448" s="62" t="s">
        <v>210</v>
      </c>
      <c r="M448" s="56">
        <v>46266</v>
      </c>
      <c r="N448" s="62"/>
      <c r="O448" s="62">
        <v>1</v>
      </c>
      <c r="P448" s="62"/>
      <c r="Q448" s="62"/>
      <c r="R448" s="62">
        <f>SUBTOTAL(9,Table2[[#This Row],[1st]:[FQC]])</f>
        <v>1</v>
      </c>
      <c r="S448" s="62">
        <f>IFERROR(VLOOKUP(Table2[[#This Row],[Part No.]],'[2]New Machine sheet'!$G$2:$I$90,3,0),0)</f>
        <v>262.81200000000001</v>
      </c>
      <c r="T448" s="62">
        <f>Table2[[#This Row],[cost per piece]]*Table2[[#This Row],[Total Rej. qty]]</f>
        <v>262.81200000000001</v>
      </c>
      <c r="U448" s="62">
        <f>IFERROR(VLOOKUP(Table2[[#This Row],[Non Conformance]],'[2]New defect code '!$B$2:$C$129,2,0),0)</f>
        <v>3242</v>
      </c>
      <c r="V448" s="62">
        <v>18</v>
      </c>
      <c r="W448" s="62" t="str">
        <f>IFERROR(VLOOKUP(Table2[[#This Row],[Code4]],'[2]New Reason code'!$A$2:$D$77,2,0),0)</f>
        <v>During insert change</v>
      </c>
      <c r="X448" s="62" t="str">
        <f>IFERROR(VLOOKUP(Table2[[#This Row],[Reason]],'[2]New Reason code'!$B$2:$D$77,2,0),0)</f>
        <v xml:space="preserve">Due to Settup  </v>
      </c>
      <c r="Y448" s="62" t="str">
        <f>IFERROR(VLOOKUP(Table2[[#This Row],[Rejection Identified at]],'[2]New Reason code'!$C$2:$D$77,2,0),0)</f>
        <v>skill</v>
      </c>
    </row>
    <row r="449" spans="1:25" ht="20.25" customHeight="1">
      <c r="A449" s="50">
        <v>445</v>
      </c>
      <c r="B449" s="62">
        <v>10</v>
      </c>
      <c r="C449" s="62" t="str">
        <f>IFERROR(VLOOKUP(Table2[[#This Row],[Code]],'[2]New Machine sheet'!$A$1:$D$101,2,0),0)</f>
        <v>282-10</v>
      </c>
      <c r="D449" s="62" t="str">
        <f>IFERROR(VLOOKUP(Table2[[#This Row],[M/c No]],'[2]New Machine sheet'!$B$1:$D$101,2,0),0)</f>
        <v>Mazak</v>
      </c>
      <c r="E449" s="62" t="str">
        <f>IFERROR(VLOOKUP(Table2[[#This Row],[M/c Name]],'[2]New Machine sheet'!$C$1:$D$101,2,0),0)</f>
        <v>Turning</v>
      </c>
      <c r="F449" s="62">
        <v>155</v>
      </c>
      <c r="G449" s="62">
        <f>IFERROR(VLOOKUP(Table2[[#This Row],[Code2]],'[2]New Machine sheet'!$F$2:$I$64,2,),0)</f>
        <v>24155</v>
      </c>
      <c r="H449" s="62" t="str">
        <f>IFERROR(VLOOKUP(Table2[[#This Row],[Code2]],'[2]New Machine sheet'!$F$2:$I$64,3,0),0)</f>
        <v>RE J1</v>
      </c>
      <c r="I449" s="62" t="s">
        <v>205</v>
      </c>
      <c r="J449" s="62">
        <v>93</v>
      </c>
      <c r="K449" s="62" t="str">
        <f>IFERROR(VLOOKUP(Table2[[#This Row],[Code3]],'[2]New defect code '!$A$2:$D$129,2,0),0)</f>
        <v>Thickness Under size</v>
      </c>
      <c r="L449" s="62" t="s">
        <v>210</v>
      </c>
      <c r="M449" s="56">
        <v>46266</v>
      </c>
      <c r="N449" s="62"/>
      <c r="O449" s="62">
        <v>3</v>
      </c>
      <c r="P449" s="62"/>
      <c r="Q449" s="62"/>
      <c r="R449" s="62">
        <f>SUBTOTAL(9,Table2[[#This Row],[1st]:[FQC]])</f>
        <v>3</v>
      </c>
      <c r="S449" s="62">
        <f>IFERROR(VLOOKUP(Table2[[#This Row],[Part No.]],'[2]New Machine sheet'!$G$2:$I$90,3,0),0)</f>
        <v>107.67</v>
      </c>
      <c r="T449" s="62">
        <f>Table2[[#This Row],[cost per piece]]*Table2[[#This Row],[Total Rej. qty]]</f>
        <v>323.01</v>
      </c>
      <c r="U449" s="62">
        <f>IFERROR(VLOOKUP(Table2[[#This Row],[Non Conformance]],'[2]New defect code '!$B$2:$C$129,2,0),0)</f>
        <v>3258</v>
      </c>
      <c r="V449" s="62">
        <v>19</v>
      </c>
      <c r="W449" s="62" t="str">
        <f>IFERROR(VLOOKUP(Table2[[#This Row],[Code4]],'[2]New Reason code'!$A$2:$D$77,2,0),0)</f>
        <v>During Rework time</v>
      </c>
      <c r="X449" s="62" t="str">
        <f>IFERROR(VLOOKUP(Table2[[#This Row],[Reason]],'[2]New Reason code'!$B$2:$D$77,2,0),0)</f>
        <v>Due to operator</v>
      </c>
      <c r="Y449" s="62" t="str">
        <f>IFERROR(VLOOKUP(Table2[[#This Row],[Rejection Identified at]],'[2]New Reason code'!$C$2:$D$77,2,0),0)</f>
        <v xml:space="preserve">infrastructure </v>
      </c>
    </row>
    <row r="450" spans="1:25" ht="20.25" customHeight="1">
      <c r="A450" s="60">
        <v>446</v>
      </c>
      <c r="B450" s="62">
        <v>43</v>
      </c>
      <c r="C450" s="62" t="str">
        <f>IFERROR(VLOOKUP(Table2[[#This Row],[Code]],'[2]New Machine sheet'!$A$1:$D$101,2,0),0)</f>
        <v>252-05</v>
      </c>
      <c r="D450" s="62" t="str">
        <f>IFERROR(VLOOKUP(Table2[[#This Row],[M/c No]],'[2]New Machine sheet'!$B$1:$D$101,2,0),0)</f>
        <v>VMC</v>
      </c>
      <c r="E450" s="62" t="str">
        <f>IFERROR(VLOOKUP(Table2[[#This Row],[M/c Name]],'[2]New Machine sheet'!$C$1:$D$101,2,0),0)</f>
        <v>VMC</v>
      </c>
      <c r="F450" s="62">
        <v>155</v>
      </c>
      <c r="G450" s="62">
        <f>IFERROR(VLOOKUP(Table2[[#This Row],[Code2]],'[2]New Machine sheet'!$F$2:$I$64,2,),0)</f>
        <v>24155</v>
      </c>
      <c r="H450" s="62" t="str">
        <f>IFERROR(VLOOKUP(Table2[[#This Row],[Code2]],'[2]New Machine sheet'!$F$2:$I$64,3,0),0)</f>
        <v>RE J1</v>
      </c>
      <c r="I450" s="62" t="s">
        <v>147</v>
      </c>
      <c r="J450" s="62">
        <v>72</v>
      </c>
      <c r="K450" s="62" t="str">
        <f>IFERROR(VLOOKUP(Table2[[#This Row],[Code3]],'[2]New defect code '!$A$2:$D$129,2,0),0)</f>
        <v xml:space="preserve">PG No Go pass </v>
      </c>
      <c r="L450" s="62" t="s">
        <v>210</v>
      </c>
      <c r="M450" s="56">
        <v>46266</v>
      </c>
      <c r="N450" s="62"/>
      <c r="O450" s="62">
        <v>7</v>
      </c>
      <c r="P450" s="62"/>
      <c r="Q450" s="62"/>
      <c r="R450" s="62">
        <f>SUBTOTAL(9,Table2[[#This Row],[1st]:[FQC]])</f>
        <v>7</v>
      </c>
      <c r="S450" s="62">
        <f>IFERROR(VLOOKUP(Table2[[#This Row],[Part No.]],'[2]New Machine sheet'!$G$2:$I$90,3,0),0)</f>
        <v>107.67</v>
      </c>
      <c r="T450" s="62">
        <f>Table2[[#This Row],[cost per piece]]*Table2[[#This Row],[Total Rej. qty]]</f>
        <v>753.69</v>
      </c>
      <c r="U450" s="62">
        <f>IFERROR(VLOOKUP(Table2[[#This Row],[Non Conformance]],'[2]New defect code '!$B$2:$C$129,2,0),0)</f>
        <v>0</v>
      </c>
      <c r="V450" s="62">
        <v>19</v>
      </c>
      <c r="W450" s="62" t="str">
        <f>IFERROR(VLOOKUP(Table2[[#This Row],[Code4]],'[2]New Reason code'!$A$2:$D$77,2,0),0)</f>
        <v>During Rework time</v>
      </c>
      <c r="X450" s="62" t="str">
        <f>IFERROR(VLOOKUP(Table2[[#This Row],[Reason]],'[2]New Reason code'!$B$2:$D$77,2,0),0)</f>
        <v>Due to operator</v>
      </c>
      <c r="Y450" s="62" t="str">
        <f>IFERROR(VLOOKUP(Table2[[#This Row],[Rejection Identified at]],'[2]New Reason code'!$C$2:$D$77,2,0),0)</f>
        <v xml:space="preserve">infrastructure </v>
      </c>
    </row>
    <row r="451" spans="1:25" ht="20.25" customHeight="1">
      <c r="A451" s="50">
        <v>447</v>
      </c>
      <c r="B451" s="62">
        <v>10</v>
      </c>
      <c r="C451" s="62" t="str">
        <f>IFERROR(VLOOKUP(Table2[[#This Row],[Code]],'[2]New Machine sheet'!$A$1:$D$101,2,0),0)</f>
        <v>282-10</v>
      </c>
      <c r="D451" s="62" t="str">
        <f>IFERROR(VLOOKUP(Table2[[#This Row],[M/c No]],'[2]New Machine sheet'!$B$1:$D$101,2,0),0)</f>
        <v>Mazak</v>
      </c>
      <c r="E451" s="62" t="str">
        <f>IFERROR(VLOOKUP(Table2[[#This Row],[M/c Name]],'[2]New Machine sheet'!$C$1:$D$101,2,0),0)</f>
        <v>Turning</v>
      </c>
      <c r="F451" s="62">
        <v>155</v>
      </c>
      <c r="G451" s="62">
        <f>IFERROR(VLOOKUP(Table2[[#This Row],[Code2]],'[2]New Machine sheet'!$F$2:$I$64,2,),0)</f>
        <v>24155</v>
      </c>
      <c r="H451" s="62" t="str">
        <f>IFERROR(VLOOKUP(Table2[[#This Row],[Code2]],'[2]New Machine sheet'!$F$2:$I$64,3,0),0)</f>
        <v>RE J1</v>
      </c>
      <c r="I451" s="62" t="s">
        <v>205</v>
      </c>
      <c r="J451" s="62">
        <v>5</v>
      </c>
      <c r="K451" s="62" t="str">
        <f>IFERROR(VLOOKUP(Table2[[#This Row],[Code3]],'[2]New defect code '!$A$2:$D$129,2,0),0)</f>
        <v>Bore Over size</v>
      </c>
      <c r="L451" s="62" t="s">
        <v>210</v>
      </c>
      <c r="M451" s="56">
        <v>46266</v>
      </c>
      <c r="N451" s="62"/>
      <c r="O451" s="62">
        <v>6</v>
      </c>
      <c r="P451" s="62"/>
      <c r="Q451" s="62"/>
      <c r="R451" s="62">
        <f>SUBTOTAL(9,Table2[[#This Row],[1st]:[FQC]])</f>
        <v>6</v>
      </c>
      <c r="S451" s="62">
        <f>IFERROR(VLOOKUP(Table2[[#This Row],[Part No.]],'[2]New Machine sheet'!$G$2:$I$90,3,0),0)</f>
        <v>107.67</v>
      </c>
      <c r="T451" s="62">
        <f>Table2[[#This Row],[cost per piece]]*Table2[[#This Row],[Total Rej. qty]]</f>
        <v>646.02</v>
      </c>
      <c r="U451" s="62">
        <f>IFERROR(VLOOKUP(Table2[[#This Row],[Non Conformance]],'[2]New defect code '!$B$2:$C$129,2,0),0)</f>
        <v>3243</v>
      </c>
      <c r="V451" s="62">
        <v>19</v>
      </c>
      <c r="W451" s="62" t="str">
        <f>IFERROR(VLOOKUP(Table2[[#This Row],[Code4]],'[2]New Reason code'!$A$2:$D$77,2,0),0)</f>
        <v>During Rework time</v>
      </c>
      <c r="X451" s="62" t="str">
        <f>IFERROR(VLOOKUP(Table2[[#This Row],[Reason]],'[2]New Reason code'!$B$2:$D$77,2,0),0)</f>
        <v>Due to operator</v>
      </c>
      <c r="Y451" s="62" t="str">
        <f>IFERROR(VLOOKUP(Table2[[#This Row],[Rejection Identified at]],'[2]New Reason code'!$C$2:$D$77,2,0),0)</f>
        <v xml:space="preserve">infrastructure </v>
      </c>
    </row>
    <row r="452" spans="1:25" ht="20.25" customHeight="1">
      <c r="A452" s="50">
        <v>448</v>
      </c>
      <c r="B452" s="62">
        <v>42</v>
      </c>
      <c r="C452" s="62" t="str">
        <f>IFERROR(VLOOKUP(Table2[[#This Row],[Code]],'[2]New Machine sheet'!$A$1:$D$101,2,0),0)</f>
        <v>252-04</v>
      </c>
      <c r="D452" s="62" t="str">
        <f>IFERROR(VLOOKUP(Table2[[#This Row],[M/c No]],'[2]New Machine sheet'!$B$1:$D$101,2,0),0)</f>
        <v>VMC</v>
      </c>
      <c r="E452" s="62" t="str">
        <f>IFERROR(VLOOKUP(Table2[[#This Row],[M/c Name]],'[2]New Machine sheet'!$C$1:$D$101,2,0),0)</f>
        <v>VMC</v>
      </c>
      <c r="F452" s="62">
        <v>154</v>
      </c>
      <c r="G452" s="62">
        <f>IFERROR(VLOOKUP(Table2[[#This Row],[Code2]],'[2]New Machine sheet'!$F$2:$I$64,2,),0)</f>
        <v>24154</v>
      </c>
      <c r="H452" s="62" t="str">
        <f>IFERROR(VLOOKUP(Table2[[#This Row],[Code2]],'[2]New Machine sheet'!$F$2:$I$64,3,0),0)</f>
        <v>RE J1</v>
      </c>
      <c r="I452" s="62"/>
      <c r="J452" s="62">
        <v>32</v>
      </c>
      <c r="K452" s="62" t="str">
        <f>IFERROR(VLOOKUP(Table2[[#This Row],[Code3]],'[2]New defect code '!$A$2:$D$129,2,0),0)</f>
        <v>Double Dot Punching</v>
      </c>
      <c r="L452" s="62" t="s">
        <v>210</v>
      </c>
      <c r="M452" s="56">
        <v>46266</v>
      </c>
      <c r="N452" s="62"/>
      <c r="O452" s="62">
        <v>2</v>
      </c>
      <c r="P452" s="62"/>
      <c r="Q452" s="62"/>
      <c r="R452" s="62">
        <f>SUBTOTAL(9,Table2[[#This Row],[1st]:[FQC]])</f>
        <v>2</v>
      </c>
      <c r="S452" s="62">
        <f>IFERROR(VLOOKUP(Table2[[#This Row],[Part No.]],'[2]New Machine sheet'!$G$2:$I$90,3,0),0)</f>
        <v>82.64</v>
      </c>
      <c r="T452" s="62">
        <f>Table2[[#This Row],[cost per piece]]*Table2[[#This Row],[Total Rej. qty]]</f>
        <v>165.28</v>
      </c>
      <c r="U452" s="62">
        <f>IFERROR(VLOOKUP(Table2[[#This Row],[Non Conformance]],'[2]New defect code '!$B$2:$C$129,2,0),0)</f>
        <v>0</v>
      </c>
      <c r="V452" s="62">
        <v>12</v>
      </c>
      <c r="W452" s="62" t="str">
        <f>IFERROR(VLOOKUP(Table2[[#This Row],[Code4]],'[2]New Reason code'!$A$2:$D$77,2,0),0)</f>
        <v>Double loading</v>
      </c>
      <c r="X452" s="62" t="str">
        <f>IFERROR(VLOOKUP(Table2[[#This Row],[Reason]],'[2]New Reason code'!$B$2:$D$77,2,0),0)</f>
        <v>Due to operator</v>
      </c>
      <c r="Y452" s="62" t="str">
        <f>IFERROR(VLOOKUP(Table2[[#This Row],[Rejection Identified at]],'[2]New Reason code'!$C$2:$D$77,2,0),0)</f>
        <v xml:space="preserve">infrastructure </v>
      </c>
    </row>
    <row r="453" spans="1:25" ht="20.25" customHeight="1">
      <c r="A453" s="60">
        <v>449</v>
      </c>
      <c r="B453" s="62">
        <v>18</v>
      </c>
      <c r="C453" s="62" t="str">
        <f>IFERROR(VLOOKUP(Table2[[#This Row],[Code]],'[2]New Machine sheet'!$A$1:$D$101,2,0),0)</f>
        <v>282-18</v>
      </c>
      <c r="D453" s="62" t="str">
        <f>IFERROR(VLOOKUP(Table2[[#This Row],[M/c No]],'[2]New Machine sheet'!$B$1:$D$101,2,0),0)</f>
        <v>Mazak</v>
      </c>
      <c r="E453" s="62" t="str">
        <f>IFERROR(VLOOKUP(Table2[[#This Row],[M/c Name]],'[2]New Machine sheet'!$C$1:$D$101,2,0),0)</f>
        <v>Turning</v>
      </c>
      <c r="F453" s="62">
        <v>178</v>
      </c>
      <c r="G453" s="62">
        <f>IFERROR(VLOOKUP(Table2[[#This Row],[Code2]],'[2]New Machine sheet'!$F$2:$I$64,2,),0)</f>
        <v>24178</v>
      </c>
      <c r="H453" s="62" t="str">
        <f>IFERROR(VLOOKUP(Table2[[#This Row],[Code2]],'[2]New Machine sheet'!$F$2:$I$64,3,0),0)</f>
        <v>RE J1</v>
      </c>
      <c r="I453" s="62" t="s">
        <v>176</v>
      </c>
      <c r="J453" s="62">
        <v>5</v>
      </c>
      <c r="K453" s="62" t="str">
        <f>IFERROR(VLOOKUP(Table2[[#This Row],[Code3]],'[2]New defect code '!$A$2:$D$129,2,0),0)</f>
        <v>Bore Over size</v>
      </c>
      <c r="L453" s="62" t="s">
        <v>210</v>
      </c>
      <c r="M453" s="56">
        <v>46266</v>
      </c>
      <c r="N453" s="62"/>
      <c r="O453" s="62">
        <v>3</v>
      </c>
      <c r="P453" s="62"/>
      <c r="Q453" s="62"/>
      <c r="R453" s="62">
        <f>SUBTOTAL(9,Table2[[#This Row],[1st]:[FQC]])</f>
        <v>3</v>
      </c>
      <c r="S453" s="62">
        <f>IFERROR(VLOOKUP(Table2[[#This Row],[Part No.]],'[2]New Machine sheet'!$G$2:$I$90,3,0),0)</f>
        <v>70.62</v>
      </c>
      <c r="T453" s="62">
        <f>Table2[[#This Row],[cost per piece]]*Table2[[#This Row],[Total Rej. qty]]</f>
        <v>211.86</v>
      </c>
      <c r="U453" s="62">
        <f>IFERROR(VLOOKUP(Table2[[#This Row],[Non Conformance]],'[2]New defect code '!$B$2:$C$129,2,0),0)</f>
        <v>3243</v>
      </c>
      <c r="V453" s="62">
        <v>18</v>
      </c>
      <c r="W453" s="62" t="str">
        <f>IFERROR(VLOOKUP(Table2[[#This Row],[Code4]],'[2]New Reason code'!$A$2:$D$77,2,0),0)</f>
        <v>During insert change</v>
      </c>
      <c r="X453" s="62" t="str">
        <f>IFERROR(VLOOKUP(Table2[[#This Row],[Reason]],'[2]New Reason code'!$B$2:$D$77,2,0),0)</f>
        <v xml:space="preserve">Due to Settup  </v>
      </c>
      <c r="Y453" s="62" t="str">
        <f>IFERROR(VLOOKUP(Table2[[#This Row],[Rejection Identified at]],'[2]New Reason code'!$C$2:$D$77,2,0),0)</f>
        <v>skill</v>
      </c>
    </row>
    <row r="454" spans="1:25" ht="20.25" customHeight="1">
      <c r="A454" s="50">
        <v>450</v>
      </c>
      <c r="B454" s="62">
        <v>1</v>
      </c>
      <c r="C454" s="62" t="str">
        <f>IFERROR(VLOOKUP(Table2[[#This Row],[Code]],'[2]New Machine sheet'!$A$1:$D$101,2,0),0)</f>
        <v>282-01</v>
      </c>
      <c r="D454" s="62" t="str">
        <f>IFERROR(VLOOKUP(Table2[[#This Row],[M/c No]],'[2]New Machine sheet'!$B$1:$D$101,2,0),0)</f>
        <v>Mazak</v>
      </c>
      <c r="E454" s="62" t="str">
        <f>IFERROR(VLOOKUP(Table2[[#This Row],[M/c Name]],'[2]New Machine sheet'!$C$1:$D$101,2,0),0)</f>
        <v>Turning</v>
      </c>
      <c r="F454" s="62">
        <v>52</v>
      </c>
      <c r="G454" s="62">
        <f>IFERROR(VLOOKUP(Table2[[#This Row],[Code2]],'[2]New Machine sheet'!$F$2:$I$64,2,),0)</f>
        <v>2452</v>
      </c>
      <c r="H454" s="62" t="str">
        <f>IFERROR(VLOOKUP(Table2[[#This Row],[Code2]],'[2]New Machine sheet'!$F$2:$I$64,3,0),0)</f>
        <v>RE P1</v>
      </c>
      <c r="I454" s="62" t="s">
        <v>129</v>
      </c>
      <c r="J454" s="62">
        <v>5</v>
      </c>
      <c r="K454" s="62" t="str">
        <f>IFERROR(VLOOKUP(Table2[[#This Row],[Code3]],'[2]New defect code '!$A$2:$D$129,2,0),0)</f>
        <v>Bore Over size</v>
      </c>
      <c r="L454" s="62" t="s">
        <v>210</v>
      </c>
      <c r="M454" s="56">
        <v>46266</v>
      </c>
      <c r="N454" s="62"/>
      <c r="O454" s="62">
        <v>1</v>
      </c>
      <c r="P454" s="62"/>
      <c r="Q454" s="62"/>
      <c r="R454" s="62">
        <f>SUBTOTAL(9,Table2[[#This Row],[1st]:[FQC]])</f>
        <v>1</v>
      </c>
      <c r="S454" s="62">
        <f>IFERROR(VLOOKUP(Table2[[#This Row],[Part No.]],'[2]New Machine sheet'!$G$2:$I$90,3,0),0)</f>
        <v>400</v>
      </c>
      <c r="T454" s="62">
        <f>Table2[[#This Row],[cost per piece]]*Table2[[#This Row],[Total Rej. qty]]</f>
        <v>400</v>
      </c>
      <c r="U454" s="62">
        <f>IFERROR(VLOOKUP(Table2[[#This Row],[Non Conformance]],'[2]New defect code '!$B$2:$C$129,2,0),0)</f>
        <v>3243</v>
      </c>
      <c r="V454" s="62">
        <v>18</v>
      </c>
      <c r="W454" s="62" t="str">
        <f>IFERROR(VLOOKUP(Table2[[#This Row],[Code4]],'[2]New Reason code'!$A$2:$D$77,2,0),0)</f>
        <v>During insert change</v>
      </c>
      <c r="X454" s="62" t="str">
        <f>IFERROR(VLOOKUP(Table2[[#This Row],[Reason]],'[2]New Reason code'!$B$2:$D$77,2,0),0)</f>
        <v xml:space="preserve">Due to Settup  </v>
      </c>
      <c r="Y454" s="62" t="str">
        <f>IFERROR(VLOOKUP(Table2[[#This Row],[Rejection Identified at]],'[2]New Reason code'!$C$2:$D$77,2,0),0)</f>
        <v>skill</v>
      </c>
    </row>
    <row r="455" spans="1:25" ht="20.25" customHeight="1">
      <c r="A455" s="50">
        <v>451</v>
      </c>
      <c r="B455" s="62">
        <v>13</v>
      </c>
      <c r="C455" s="62" t="str">
        <f>IFERROR(VLOOKUP(Table2[[#This Row],[Code]],'[2]New Machine sheet'!$A$1:$D$101,2,0),0)</f>
        <v>282-13</v>
      </c>
      <c r="D455" s="62" t="str">
        <f>IFERROR(VLOOKUP(Table2[[#This Row],[M/c No]],'[2]New Machine sheet'!$B$1:$D$101,2,0),0)</f>
        <v>Mazak</v>
      </c>
      <c r="E455" s="62" t="str">
        <f>IFERROR(VLOOKUP(Table2[[#This Row],[M/c Name]],'[2]New Machine sheet'!$C$1:$D$101,2,0),0)</f>
        <v>Turning</v>
      </c>
      <c r="F455" s="62">
        <v>102</v>
      </c>
      <c r="G455" s="62">
        <f>IFERROR(VLOOKUP(Table2[[#This Row],[Code2]],'[2]New Machine sheet'!$F$2:$I$64,2,),0)</f>
        <v>24102</v>
      </c>
      <c r="H455" s="62" t="str">
        <f>IFERROR(VLOOKUP(Table2[[#This Row],[Code2]],'[2]New Machine sheet'!$F$2:$I$64,3,0),0)</f>
        <v>RE J1</v>
      </c>
      <c r="I455" s="62" t="s">
        <v>134</v>
      </c>
      <c r="J455" s="62">
        <v>93</v>
      </c>
      <c r="K455" s="62" t="str">
        <f>IFERROR(VLOOKUP(Table2[[#This Row],[Code3]],'[2]New defect code '!$A$2:$D$129,2,0),0)</f>
        <v>Thickness Under size</v>
      </c>
      <c r="L455" s="62" t="s">
        <v>210</v>
      </c>
      <c r="M455" s="56">
        <v>46266</v>
      </c>
      <c r="N455" s="62"/>
      <c r="O455" s="62">
        <v>7</v>
      </c>
      <c r="P455" s="62"/>
      <c r="Q455" s="62"/>
      <c r="R455" s="62">
        <f>SUBTOTAL(9,Table2[[#This Row],[1st]:[FQC]])</f>
        <v>7</v>
      </c>
      <c r="S455" s="62">
        <f>IFERROR(VLOOKUP(Table2[[#This Row],[Part No.]],'[2]New Machine sheet'!$G$2:$I$90,3,0),0)</f>
        <v>93</v>
      </c>
      <c r="T455" s="62">
        <f>Table2[[#This Row],[cost per piece]]*Table2[[#This Row],[Total Rej. qty]]</f>
        <v>651</v>
      </c>
      <c r="U455" s="62">
        <f>IFERROR(VLOOKUP(Table2[[#This Row],[Non Conformance]],'[2]New defect code '!$B$2:$C$129,2,0),0)</f>
        <v>3258</v>
      </c>
      <c r="V455" s="62">
        <v>19</v>
      </c>
      <c r="W455" s="62" t="str">
        <f>IFERROR(VLOOKUP(Table2[[#This Row],[Code4]],'[2]New Reason code'!$A$2:$D$77,2,0),0)</f>
        <v>During Rework time</v>
      </c>
      <c r="X455" s="62" t="str">
        <f>IFERROR(VLOOKUP(Table2[[#This Row],[Reason]],'[2]New Reason code'!$B$2:$D$77,2,0),0)</f>
        <v>Due to operator</v>
      </c>
      <c r="Y455" s="62" t="str">
        <f>IFERROR(VLOOKUP(Table2[[#This Row],[Rejection Identified at]],'[2]New Reason code'!$C$2:$D$77,2,0),0)</f>
        <v xml:space="preserve">infrastructure </v>
      </c>
    </row>
    <row r="456" spans="1:25" ht="20.25" customHeight="1">
      <c r="A456" s="60">
        <v>452</v>
      </c>
      <c r="B456" s="62">
        <v>13</v>
      </c>
      <c r="C456" s="61" t="str">
        <f>IFERROR(VLOOKUP(Table2[[#This Row],[Code]],'[2]New Machine sheet'!$A$1:$D$101,2,0),0)</f>
        <v>282-13</v>
      </c>
      <c r="D456" s="61" t="str">
        <f>IFERROR(VLOOKUP(Table2[[#This Row],[M/c No]],'[2]New Machine sheet'!$B$1:$D$101,2,0),0)</f>
        <v>Mazak</v>
      </c>
      <c r="E456" s="61" t="str">
        <f>IFERROR(VLOOKUP(Table2[[#This Row],[M/c Name]],'[2]New Machine sheet'!$C$1:$D$101,2,0),0)</f>
        <v>Turning</v>
      </c>
      <c r="F456" s="61">
        <v>102</v>
      </c>
      <c r="G456" s="61">
        <f>IFERROR(VLOOKUP(Table2[[#This Row],[Code2]],'[2]New Machine sheet'!$F$2:$I$64,2,),0)</f>
        <v>24102</v>
      </c>
      <c r="H456" s="61" t="str">
        <f>IFERROR(VLOOKUP(Table2[[#This Row],[Code2]],'[2]New Machine sheet'!$F$2:$I$64,3,0),0)</f>
        <v>RE J1</v>
      </c>
      <c r="I456" s="61" t="s">
        <v>134</v>
      </c>
      <c r="J456" s="61">
        <v>80</v>
      </c>
      <c r="K456" s="61" t="str">
        <f>IFERROR(VLOOKUP(Table2[[#This Row],[Code3]],'[2]New defect code '!$A$2:$D$129,2,0),0)</f>
        <v xml:space="preserve">Rust </v>
      </c>
      <c r="L456" s="62" t="s">
        <v>210</v>
      </c>
      <c r="M456" s="56">
        <v>46266</v>
      </c>
      <c r="N456" s="61"/>
      <c r="O456" s="61">
        <v>7</v>
      </c>
      <c r="P456" s="61"/>
      <c r="Q456" s="61"/>
      <c r="R456" s="61">
        <f>SUBTOTAL(9,Table2[[#This Row],[1st]:[FQC]])</f>
        <v>7</v>
      </c>
      <c r="S456" s="61">
        <f>IFERROR(VLOOKUP(Table2[[#This Row],[Part No.]],'[2]New Machine sheet'!$G$2:$I$90,3,0),0)</f>
        <v>93</v>
      </c>
      <c r="T456" s="61">
        <f>Table2[[#This Row],[cost per piece]]*Table2[[#This Row],[Total Rej. qty]]</f>
        <v>651</v>
      </c>
      <c r="U456" s="61">
        <f>IFERROR(VLOOKUP(Table2[[#This Row],[Non Conformance]],'[2]New defect code '!$B$2:$C$129,2,0),0)</f>
        <v>0</v>
      </c>
      <c r="V456" s="61">
        <v>28</v>
      </c>
      <c r="W456" s="61" t="str">
        <f>IFERROR(VLOOKUP(Table2[[#This Row],[Code4]],'[2]New Reason code'!$A$2:$D$77,2,0),0)</f>
        <v>Kept inside on m/c</v>
      </c>
      <c r="X456" s="61" t="str">
        <f>IFERROR(VLOOKUP(Table2[[#This Row],[Reason]],'[2]New Reason code'!$B$2:$D$77,2,0),0)</f>
        <v>Due to operator</v>
      </c>
      <c r="Y456" s="61" t="str">
        <f>IFERROR(VLOOKUP(Table2[[#This Row],[Rejection Identified at]],'[2]New Reason code'!$C$2:$D$77,2,0),0)</f>
        <v xml:space="preserve">infrastructure </v>
      </c>
    </row>
    <row r="457" spans="1:25" ht="20.25" customHeight="1">
      <c r="A457" s="50">
        <v>453</v>
      </c>
      <c r="B457" s="62">
        <v>21</v>
      </c>
      <c r="C457" s="62" t="str">
        <f>IFERROR(VLOOKUP(Table2[[#This Row],[Code]],'[2]New Machine sheet'!$A$1:$D$101,2,0),0)</f>
        <v>ACE-01</v>
      </c>
      <c r="D457" s="62" t="str">
        <f>IFERROR(VLOOKUP(Table2[[#This Row],[M/c No]],'[2]New Machine sheet'!$B$1:$D$101,2,0),0)</f>
        <v>Micromatic</v>
      </c>
      <c r="E457" s="62" t="str">
        <f>IFERROR(VLOOKUP(Table2[[#This Row],[M/c Name]],'[2]New Machine sheet'!$C$1:$D$101,2,0),0)</f>
        <v>Turning</v>
      </c>
      <c r="F457" s="62">
        <v>121</v>
      </c>
      <c r="G457" s="62">
        <f>IFERROR(VLOOKUP(Table2[[#This Row],[Code2]],'[2]New Machine sheet'!$F$2:$I$64,2,),0)</f>
        <v>24121</v>
      </c>
      <c r="H457" s="62" t="str">
        <f>IFERROR(VLOOKUP(Table2[[#This Row],[Code2]],'[2]New Machine sheet'!$F$2:$I$64,3,0),0)</f>
        <v>RE J1</v>
      </c>
      <c r="I457" s="62" t="s">
        <v>133</v>
      </c>
      <c r="J457" s="62">
        <v>5</v>
      </c>
      <c r="K457" s="62" t="str">
        <f>IFERROR(VLOOKUP(Table2[[#This Row],[Code3]],'[2]New defect code '!$A$2:$D$129,2,0),0)</f>
        <v>Bore Over size</v>
      </c>
      <c r="L457" s="62" t="s">
        <v>210</v>
      </c>
      <c r="M457" s="56">
        <v>46266</v>
      </c>
      <c r="N457" s="62"/>
      <c r="O457" s="62"/>
      <c r="P457" s="62">
        <v>8</v>
      </c>
      <c r="Q457" s="62"/>
      <c r="R457" s="62">
        <f>SUBTOTAL(9,Table2[[#This Row],[1st]:[FQC]])</f>
        <v>8</v>
      </c>
      <c r="S457" s="62">
        <f>IFERROR(VLOOKUP(Table2[[#This Row],[Part No.]],'[2]New Machine sheet'!$G$2:$I$90,3,0),0)</f>
        <v>135.66999999999999</v>
      </c>
      <c r="T457" s="62">
        <f>Table2[[#This Row],[cost per piece]]*Table2[[#This Row],[Total Rej. qty]]</f>
        <v>1085.3599999999999</v>
      </c>
      <c r="U457" s="62">
        <f>IFERROR(VLOOKUP(Table2[[#This Row],[Non Conformance]],'[2]New defect code '!$B$2:$C$129,2,0),0)</f>
        <v>3243</v>
      </c>
      <c r="V457" s="62">
        <v>19</v>
      </c>
      <c r="W457" s="62" t="str">
        <f>IFERROR(VLOOKUP(Table2[[#This Row],[Code4]],'[2]New Reason code'!$A$2:$D$77,2,0),0)</f>
        <v>During Rework time</v>
      </c>
      <c r="X457" s="62" t="str">
        <f>IFERROR(VLOOKUP(Table2[[#This Row],[Reason]],'[2]New Reason code'!$B$2:$D$77,2,0),0)</f>
        <v>Due to operator</v>
      </c>
      <c r="Y457" s="62" t="str">
        <f>IFERROR(VLOOKUP(Table2[[#This Row],[Rejection Identified at]],'[2]New Reason code'!$C$2:$D$77,2,0),0)</f>
        <v xml:space="preserve">infrastructure </v>
      </c>
    </row>
    <row r="458" spans="1:25" ht="20.25" customHeight="1">
      <c r="A458" s="50">
        <v>454</v>
      </c>
      <c r="B458" s="62">
        <v>40</v>
      </c>
      <c r="C458" s="62" t="str">
        <f>IFERROR(VLOOKUP(Table2[[#This Row],[Code]],'[2]New Machine sheet'!$A$1:$D$101,2,0),0)</f>
        <v>ACE-20</v>
      </c>
      <c r="D458" s="62" t="str">
        <f>IFERROR(VLOOKUP(Table2[[#This Row],[M/c No]],'[2]New Machine sheet'!$B$1:$D$101,2,0),0)</f>
        <v>Micromatic</v>
      </c>
      <c r="E458" s="62" t="str">
        <f>IFERROR(VLOOKUP(Table2[[#This Row],[M/c Name]],'[2]New Machine sheet'!$C$1:$D$101,2,0),0)</f>
        <v>Turning</v>
      </c>
      <c r="F458" s="62">
        <v>122</v>
      </c>
      <c r="G458" s="62">
        <f>IFERROR(VLOOKUP(Table2[[#This Row],[Code2]],'[2]New Machine sheet'!$F$2:$I$64,2,),0)</f>
        <v>24122</v>
      </c>
      <c r="H458" s="62" t="str">
        <f>IFERROR(VLOOKUP(Table2[[#This Row],[Code2]],'[2]New Machine sheet'!$F$2:$I$64,3,0),0)</f>
        <v>RE J1</v>
      </c>
      <c r="I458" s="62" t="s">
        <v>176</v>
      </c>
      <c r="J458" s="62">
        <v>5</v>
      </c>
      <c r="K458" s="62" t="str">
        <f>IFERROR(VLOOKUP(Table2[[#This Row],[Code3]],'[2]New defect code '!$A$2:$D$129,2,0),0)</f>
        <v>Bore Over size</v>
      </c>
      <c r="L458" s="62" t="s">
        <v>210</v>
      </c>
      <c r="M458" s="56">
        <v>46266</v>
      </c>
      <c r="N458" s="62"/>
      <c r="O458" s="62"/>
      <c r="P458" s="62">
        <v>1</v>
      </c>
      <c r="Q458" s="62"/>
      <c r="R458" s="62">
        <f>SUBTOTAL(9,Table2[[#This Row],[1st]:[FQC]])</f>
        <v>1</v>
      </c>
      <c r="S458" s="62">
        <f>IFERROR(VLOOKUP(Table2[[#This Row],[Part No.]],'[2]New Machine sheet'!$G$2:$I$90,3,0),0)</f>
        <v>335.39977528089889</v>
      </c>
      <c r="T458" s="62">
        <f>Table2[[#This Row],[cost per piece]]*Table2[[#This Row],[Total Rej. qty]]</f>
        <v>335.39977528089889</v>
      </c>
      <c r="U458" s="62">
        <f>IFERROR(VLOOKUP(Table2[[#This Row],[Non Conformance]],'[2]New defect code '!$B$2:$C$129,2,0),0)</f>
        <v>3243</v>
      </c>
      <c r="V458" s="62">
        <v>18</v>
      </c>
      <c r="W458" s="62" t="str">
        <f>IFERROR(VLOOKUP(Table2[[#This Row],[Code4]],'[2]New Reason code'!$A$2:$D$77,2,0),0)</f>
        <v>During insert change</v>
      </c>
      <c r="X458" s="62" t="str">
        <f>IFERROR(VLOOKUP(Table2[[#This Row],[Reason]],'[2]New Reason code'!$B$2:$D$77,2,0),0)</f>
        <v xml:space="preserve">Due to Settup  </v>
      </c>
      <c r="Y458" s="62" t="str">
        <f>IFERROR(VLOOKUP(Table2[[#This Row],[Rejection Identified at]],'[2]New Reason code'!$C$2:$D$77,2,0),0)</f>
        <v>skill</v>
      </c>
    </row>
    <row r="459" spans="1:25" ht="20.25" customHeight="1">
      <c r="A459" s="60">
        <v>455</v>
      </c>
      <c r="B459" s="62">
        <v>62</v>
      </c>
      <c r="C459" s="62" t="str">
        <f>IFERROR(VLOOKUP(Table2[[#This Row],[Code]],'[2]New Machine sheet'!$A$1:$D$101,2,0),0)</f>
        <v>FQC</v>
      </c>
      <c r="D459" s="62" t="str">
        <f>IFERROR(VLOOKUP(Table2[[#This Row],[M/c No]],'[2]New Machine sheet'!$B$1:$D$101,2,0),0)</f>
        <v>FQC</v>
      </c>
      <c r="E459" s="62" t="str">
        <f>IFERROR(VLOOKUP(Table2[[#This Row],[M/c Name]],'[2]New Machine sheet'!$C$1:$D$101,2,0),0)</f>
        <v>fqc</v>
      </c>
      <c r="F459" s="62">
        <v>78</v>
      </c>
      <c r="G459" s="62">
        <f>IFERROR(VLOOKUP(Table2[[#This Row],[Code2]],'[2]New Machine sheet'!$F$2:$I$64,2,),0)</f>
        <v>2478</v>
      </c>
      <c r="H459" s="62" t="str">
        <f>IFERROR(VLOOKUP(Table2[[#This Row],[Code2]],'[2]New Machine sheet'!$F$2:$I$64,3,0),0)</f>
        <v>RE P1</v>
      </c>
      <c r="I459" s="62"/>
      <c r="J459" s="62">
        <v>5</v>
      </c>
      <c r="K459" s="62" t="str">
        <f>IFERROR(VLOOKUP(Table2[[#This Row],[Code3]],'[2]New defect code '!$A$2:$D$129,2,0),0)</f>
        <v>Bore Over size</v>
      </c>
      <c r="L459" s="62" t="s">
        <v>210</v>
      </c>
      <c r="M459" s="56">
        <v>46266</v>
      </c>
      <c r="N459" s="62"/>
      <c r="O459" s="62"/>
      <c r="P459" s="62"/>
      <c r="Q459" s="62">
        <v>1</v>
      </c>
      <c r="R459" s="62">
        <f>SUBTOTAL(9,Table2[[#This Row],[1st]:[FQC]])</f>
        <v>1</v>
      </c>
      <c r="S459" s="62">
        <f>IFERROR(VLOOKUP(Table2[[#This Row],[Part No.]],'[2]New Machine sheet'!$G$2:$I$90,3,0),0)</f>
        <v>468.06</v>
      </c>
      <c r="T459" s="62">
        <f>Table2[[#This Row],[cost per piece]]*Table2[[#This Row],[Total Rej. qty]]</f>
        <v>468.06</v>
      </c>
      <c r="U459" s="62">
        <f>IFERROR(VLOOKUP(Table2[[#This Row],[Non Conformance]],'[2]New defect code '!$B$2:$C$129,2,0),0)</f>
        <v>3243</v>
      </c>
      <c r="V459" s="62">
        <v>24</v>
      </c>
      <c r="W459" s="62" t="str">
        <f>IFERROR(VLOOKUP(Table2[[#This Row],[Code4]],'[2]New Reason code'!$A$2:$D$77,2,0),0)</f>
        <v>FQC return</v>
      </c>
      <c r="X459" s="62" t="str">
        <f>IFERROR(VLOOKUP(Table2[[#This Row],[Reason]],'[2]New Reason code'!$B$2:$D$77,2,0),0)</f>
        <v>Due to operator</v>
      </c>
      <c r="Y459" s="62" t="str">
        <f>IFERROR(VLOOKUP(Table2[[#This Row],[Rejection Identified at]],'[2]New Reason code'!$C$2:$D$77,2,0),0)</f>
        <v xml:space="preserve">infrastructure </v>
      </c>
    </row>
    <row r="460" spans="1:25" ht="20.25" customHeight="1">
      <c r="A460" s="50">
        <v>456</v>
      </c>
      <c r="B460" s="62">
        <v>19</v>
      </c>
      <c r="C460" s="62" t="str">
        <f>IFERROR(VLOOKUP(Table2[[#This Row],[Code]],'[2]New Machine sheet'!$A$1:$D$101,2,0),0)</f>
        <v>282-19</v>
      </c>
      <c r="D460" s="62" t="str">
        <f>IFERROR(VLOOKUP(Table2[[#This Row],[M/c No]],'[2]New Machine sheet'!$B$1:$D$101,2,0),0)</f>
        <v>Mazak</v>
      </c>
      <c r="E460" s="62" t="str">
        <f>IFERROR(VLOOKUP(Table2[[#This Row],[M/c Name]],'[2]New Machine sheet'!$C$1:$D$101,2,0),0)</f>
        <v>Turning</v>
      </c>
      <c r="F460" s="62">
        <v>65</v>
      </c>
      <c r="G460" s="62">
        <f>IFERROR(VLOOKUP(Table2[[#This Row],[Code2]],'[2]New Machine sheet'!$F$2:$I$64,2,),0)</f>
        <v>2465</v>
      </c>
      <c r="H460" s="62" t="str">
        <f>IFERROR(VLOOKUP(Table2[[#This Row],[Code2]],'[2]New Machine sheet'!$F$2:$I$64,3,0),0)</f>
        <v>RE D1</v>
      </c>
      <c r="I460" s="62" t="s">
        <v>137</v>
      </c>
      <c r="J460" s="62">
        <v>66</v>
      </c>
      <c r="K460" s="62" t="str">
        <f>IFERROR(VLOOKUP(Table2[[#This Row],[Code3]],'[2]New defect code '!$A$2:$D$129,2,0),0)</f>
        <v>OD Under Size</v>
      </c>
      <c r="L460" s="62" t="s">
        <v>210</v>
      </c>
      <c r="M460" s="56">
        <v>46266</v>
      </c>
      <c r="N460" s="62"/>
      <c r="O460" s="62"/>
      <c r="P460" s="62">
        <v>1</v>
      </c>
      <c r="Q460" s="62"/>
      <c r="R460" s="62">
        <f>SUBTOTAL(9,Table2[[#This Row],[1st]:[FQC]])</f>
        <v>1</v>
      </c>
      <c r="S460" s="62">
        <f>IFERROR(VLOOKUP(Table2[[#This Row],[Part No.]],'[2]New Machine sheet'!$G$2:$I$90,3,0),0)</f>
        <v>245.64500000000001</v>
      </c>
      <c r="T460" s="62">
        <f>Table2[[#This Row],[cost per piece]]*Table2[[#This Row],[Total Rej. qty]]</f>
        <v>245.64500000000001</v>
      </c>
      <c r="U460" s="62">
        <f>IFERROR(VLOOKUP(Table2[[#This Row],[Non Conformance]],'[2]New defect code '!$B$2:$C$129,2,0),0)</f>
        <v>3242</v>
      </c>
      <c r="V460" s="62">
        <v>18</v>
      </c>
      <c r="W460" s="62" t="str">
        <f>IFERROR(VLOOKUP(Table2[[#This Row],[Code4]],'[2]New Reason code'!$A$2:$D$77,2,0),0)</f>
        <v>During insert change</v>
      </c>
      <c r="X460" s="62" t="str">
        <f>IFERROR(VLOOKUP(Table2[[#This Row],[Reason]],'[2]New Reason code'!$B$2:$D$77,2,0),0)</f>
        <v xml:space="preserve">Due to Settup  </v>
      </c>
      <c r="Y460" s="62" t="str">
        <f>IFERROR(VLOOKUP(Table2[[#This Row],[Rejection Identified at]],'[2]New Reason code'!$C$2:$D$77,2,0),0)</f>
        <v>skill</v>
      </c>
    </row>
    <row r="461" spans="1:25" ht="20.25" customHeight="1">
      <c r="A461" s="50">
        <v>457</v>
      </c>
      <c r="B461" s="62">
        <v>46</v>
      </c>
      <c r="C461" s="62" t="str">
        <f>IFERROR(VLOOKUP(Table2[[#This Row],[Code]],'[2]New Machine sheet'!$A$1:$D$101,2,0),0)</f>
        <v>MURATEC-02</v>
      </c>
      <c r="D461" s="62" t="str">
        <f>IFERROR(VLOOKUP(Table2[[#This Row],[M/c No]],'[2]New Machine sheet'!$B$1:$D$101,2,0),0)</f>
        <v>MURATEC</v>
      </c>
      <c r="E461" s="62" t="str">
        <f>IFERROR(VLOOKUP(Table2[[#This Row],[M/c Name]],'[2]New Machine sheet'!$C$1:$D$101,2,0),0)</f>
        <v xml:space="preserve">turning </v>
      </c>
      <c r="F461" s="62">
        <v>127</v>
      </c>
      <c r="G461" s="62">
        <f>IFERROR(VLOOKUP(Table2[[#This Row],[Code2]],'[2]New Machine sheet'!$F$2:$I$64,2,),0)</f>
        <v>24127</v>
      </c>
      <c r="H461" s="62" t="str">
        <f>IFERROR(VLOOKUP(Table2[[#This Row],[Code2]],'[2]New Machine sheet'!$F$2:$I$64,3,0),0)</f>
        <v>RE J1</v>
      </c>
      <c r="I461" s="62" t="s">
        <v>170</v>
      </c>
      <c r="J461" s="62">
        <v>5</v>
      </c>
      <c r="K461" s="62" t="str">
        <f>IFERROR(VLOOKUP(Table2[[#This Row],[Code3]],'[2]New defect code '!$A$2:$D$129,2,0),0)</f>
        <v>Bore Over size</v>
      </c>
      <c r="L461" s="62" t="s">
        <v>210</v>
      </c>
      <c r="M461" s="56">
        <v>46266</v>
      </c>
      <c r="N461" s="62"/>
      <c r="O461" s="62"/>
      <c r="P461" s="62">
        <v>1</v>
      </c>
      <c r="Q461" s="62"/>
      <c r="R461" s="62">
        <f>SUBTOTAL(9,Table2[[#This Row],[1st]:[FQC]])</f>
        <v>1</v>
      </c>
      <c r="S461" s="62">
        <f>IFERROR(VLOOKUP(Table2[[#This Row],[Part No.]],'[2]New Machine sheet'!$G$2:$I$90,3,0),0)</f>
        <v>262.81200000000001</v>
      </c>
      <c r="T461" s="62">
        <f>Table2[[#This Row],[cost per piece]]*Table2[[#This Row],[Total Rej. qty]]</f>
        <v>262.81200000000001</v>
      </c>
      <c r="U461" s="62">
        <f>IFERROR(VLOOKUP(Table2[[#This Row],[Non Conformance]],'[2]New defect code '!$B$2:$C$129,2,0),0)</f>
        <v>3243</v>
      </c>
      <c r="V461" s="62">
        <v>18</v>
      </c>
      <c r="W461" s="62" t="str">
        <f>IFERROR(VLOOKUP(Table2[[#This Row],[Code4]],'[2]New Reason code'!$A$2:$D$77,2,0),0)</f>
        <v>During insert change</v>
      </c>
      <c r="X461" s="62" t="str">
        <f>IFERROR(VLOOKUP(Table2[[#This Row],[Reason]],'[2]New Reason code'!$B$2:$D$77,2,0),0)</f>
        <v xml:space="preserve">Due to Settup  </v>
      </c>
      <c r="Y461" s="62" t="str">
        <f>IFERROR(VLOOKUP(Table2[[#This Row],[Rejection Identified at]],'[2]New Reason code'!$C$2:$D$77,2,0),0)</f>
        <v>skill</v>
      </c>
    </row>
    <row r="462" spans="1:25" ht="20.25" customHeight="1">
      <c r="A462" s="60">
        <v>458</v>
      </c>
      <c r="B462" s="62">
        <v>4</v>
      </c>
      <c r="C462" s="62" t="str">
        <f>IFERROR(VLOOKUP(Table2[[#This Row],[Code]],'[2]New Machine sheet'!$A$1:$D$101,2,0),0)</f>
        <v>282-04</v>
      </c>
      <c r="D462" s="62" t="str">
        <f>IFERROR(VLOOKUP(Table2[[#This Row],[M/c No]],'[2]New Machine sheet'!$B$1:$D$101,2,0),0)</f>
        <v>Mazak</v>
      </c>
      <c r="E462" s="62" t="str">
        <f>IFERROR(VLOOKUP(Table2[[#This Row],[M/c Name]],'[2]New Machine sheet'!$C$1:$D$101,2,0),0)</f>
        <v>Turning</v>
      </c>
      <c r="F462" s="62">
        <v>28</v>
      </c>
      <c r="G462" s="62">
        <f>IFERROR(VLOOKUP(Table2[[#This Row],[Code2]],'[2]New Machine sheet'!$F$2:$I$64,2,),0)</f>
        <v>2428</v>
      </c>
      <c r="H462" s="62" t="str">
        <f>IFERROR(VLOOKUP(Table2[[#This Row],[Code2]],'[2]New Machine sheet'!$F$2:$I$64,3,0),0)</f>
        <v>RE P1</v>
      </c>
      <c r="I462" s="62" t="s">
        <v>171</v>
      </c>
      <c r="J462" s="62">
        <v>93</v>
      </c>
      <c r="K462" s="62" t="str">
        <f>IFERROR(VLOOKUP(Table2[[#This Row],[Code3]],'[2]New defect code '!$A$2:$D$129,2,0),0)</f>
        <v>Thickness Under size</v>
      </c>
      <c r="L462" s="62" t="s">
        <v>210</v>
      </c>
      <c r="M462" s="56">
        <v>46266</v>
      </c>
      <c r="N462" s="62"/>
      <c r="O462" s="62"/>
      <c r="P462" s="62">
        <v>6</v>
      </c>
      <c r="Q462" s="62"/>
      <c r="R462" s="62">
        <f>SUBTOTAL(9,Table2[[#This Row],[1st]:[FQC]])</f>
        <v>6</v>
      </c>
      <c r="S462" s="62">
        <f>IFERROR(VLOOKUP(Table2[[#This Row],[Part No.]],'[2]New Machine sheet'!$G$2:$I$90,3,0),0)</f>
        <v>124.07</v>
      </c>
      <c r="T462" s="62">
        <f>Table2[[#This Row],[cost per piece]]*Table2[[#This Row],[Total Rej. qty]]</f>
        <v>744.42</v>
      </c>
      <c r="U462" s="62">
        <f>IFERROR(VLOOKUP(Table2[[#This Row],[Non Conformance]],'[2]New defect code '!$B$2:$C$129,2,0),0)</f>
        <v>3258</v>
      </c>
      <c r="V462" s="62">
        <v>19</v>
      </c>
      <c r="W462" s="62" t="str">
        <f>IFERROR(VLOOKUP(Table2[[#This Row],[Code4]],'[2]New Reason code'!$A$2:$D$77,2,0),0)</f>
        <v>During Rework time</v>
      </c>
      <c r="X462" s="62" t="str">
        <f>IFERROR(VLOOKUP(Table2[[#This Row],[Reason]],'[2]New Reason code'!$B$2:$D$77,2,0),0)</f>
        <v>Due to operator</v>
      </c>
      <c r="Y462" s="62" t="str">
        <f>IFERROR(VLOOKUP(Table2[[#This Row],[Rejection Identified at]],'[2]New Reason code'!$C$2:$D$77,2,0),0)</f>
        <v xml:space="preserve">infrastructure </v>
      </c>
    </row>
    <row r="463" spans="1:25" ht="20.25" customHeight="1">
      <c r="A463" s="50">
        <v>459</v>
      </c>
      <c r="B463" s="62">
        <v>8</v>
      </c>
      <c r="C463" s="62" t="str">
        <f>IFERROR(VLOOKUP(Table2[[#This Row],[Code]],'[2]New Machine sheet'!$A$1:$D$101,2,0),0)</f>
        <v>282-08</v>
      </c>
      <c r="D463" s="62" t="str">
        <f>IFERROR(VLOOKUP(Table2[[#This Row],[M/c No]],'[2]New Machine sheet'!$B$1:$D$101,2,0),0)</f>
        <v>Mazak</v>
      </c>
      <c r="E463" s="62" t="str">
        <f>IFERROR(VLOOKUP(Table2[[#This Row],[M/c Name]],'[2]New Machine sheet'!$C$1:$D$101,2,0),0)</f>
        <v>Turning</v>
      </c>
      <c r="F463" s="62">
        <v>117</v>
      </c>
      <c r="G463" s="62">
        <f>IFERROR(VLOOKUP(Table2[[#This Row],[Code2]],'[2]New Machine sheet'!$F$2:$I$64,2,),0)</f>
        <v>24117</v>
      </c>
      <c r="H463" s="62" t="str">
        <f>IFERROR(VLOOKUP(Table2[[#This Row],[Code2]],'[2]New Machine sheet'!$F$2:$I$64,3,0),0)</f>
        <v>RE J1</v>
      </c>
      <c r="I463" s="62" t="s">
        <v>113</v>
      </c>
      <c r="J463" s="62">
        <v>5</v>
      </c>
      <c r="K463" s="62" t="str">
        <f>IFERROR(VLOOKUP(Table2[[#This Row],[Code3]],'[2]New defect code '!$A$2:$D$129,2,0),0)</f>
        <v>Bore Over size</v>
      </c>
      <c r="L463" s="62" t="s">
        <v>210</v>
      </c>
      <c r="M463" s="56">
        <v>46266</v>
      </c>
      <c r="N463" s="62"/>
      <c r="O463" s="62"/>
      <c r="P463" s="62">
        <v>2</v>
      </c>
      <c r="Q463" s="62"/>
      <c r="R463" s="62">
        <f>SUBTOTAL(9,Table2[[#This Row],[1st]:[FQC]])</f>
        <v>2</v>
      </c>
      <c r="S463" s="62">
        <f>IFERROR(VLOOKUP(Table2[[#This Row],[Part No.]],'[2]New Machine sheet'!$G$2:$I$90,3,0),0)</f>
        <v>111.97</v>
      </c>
      <c r="T463" s="62">
        <f>Table2[[#This Row],[cost per piece]]*Table2[[#This Row],[Total Rej. qty]]</f>
        <v>223.94</v>
      </c>
      <c r="U463" s="62">
        <f>IFERROR(VLOOKUP(Table2[[#This Row],[Non Conformance]],'[2]New defect code '!$B$2:$C$129,2,0),0)</f>
        <v>3243</v>
      </c>
      <c r="V463" s="62">
        <v>19</v>
      </c>
      <c r="W463" s="62" t="str">
        <f>IFERROR(VLOOKUP(Table2[[#This Row],[Code4]],'[2]New Reason code'!$A$2:$D$77,2,0),0)</f>
        <v>During Rework time</v>
      </c>
      <c r="X463" s="62" t="str">
        <f>IFERROR(VLOOKUP(Table2[[#This Row],[Reason]],'[2]New Reason code'!$B$2:$D$77,2,0),0)</f>
        <v>Due to operator</v>
      </c>
      <c r="Y463" s="62" t="str">
        <f>IFERROR(VLOOKUP(Table2[[#This Row],[Rejection Identified at]],'[2]New Reason code'!$C$2:$D$77,2,0),0)</f>
        <v xml:space="preserve">infrastructure </v>
      </c>
    </row>
    <row r="464" spans="1:25" ht="20.25" customHeight="1">
      <c r="A464" s="50">
        <v>460</v>
      </c>
      <c r="B464" s="62">
        <v>8</v>
      </c>
      <c r="C464" s="62" t="str">
        <f>IFERROR(VLOOKUP(Table2[[#This Row],[Code]],'[2]New Machine sheet'!$A$1:$D$101,2,0),0)</f>
        <v>282-08</v>
      </c>
      <c r="D464" s="62" t="str">
        <f>IFERROR(VLOOKUP(Table2[[#This Row],[M/c No]],'[2]New Machine sheet'!$B$1:$D$101,2,0),0)</f>
        <v>Mazak</v>
      </c>
      <c r="E464" s="62" t="str">
        <f>IFERROR(VLOOKUP(Table2[[#This Row],[M/c Name]],'[2]New Machine sheet'!$C$1:$D$101,2,0),0)</f>
        <v>Turning</v>
      </c>
      <c r="F464" s="62">
        <v>117</v>
      </c>
      <c r="G464" s="62">
        <f>IFERROR(VLOOKUP(Table2[[#This Row],[Code2]],'[2]New Machine sheet'!$F$2:$I$64,2,),0)</f>
        <v>24117</v>
      </c>
      <c r="H464" s="62" t="str">
        <f>IFERROR(VLOOKUP(Table2[[#This Row],[Code2]],'[2]New Machine sheet'!$F$2:$I$64,3,0),0)</f>
        <v>RE J1</v>
      </c>
      <c r="I464" s="62" t="s">
        <v>113</v>
      </c>
      <c r="J464" s="62">
        <v>93</v>
      </c>
      <c r="K464" s="62" t="str">
        <f>IFERROR(VLOOKUP(Table2[[#This Row],[Code3]],'[2]New defect code '!$A$2:$D$129,2,0),0)</f>
        <v>Thickness Under size</v>
      </c>
      <c r="L464" s="62" t="s">
        <v>210</v>
      </c>
      <c r="M464" s="56">
        <v>46266</v>
      </c>
      <c r="N464" s="62"/>
      <c r="O464" s="62"/>
      <c r="P464" s="62">
        <v>3</v>
      </c>
      <c r="Q464" s="62"/>
      <c r="R464" s="62">
        <f>SUBTOTAL(9,Table2[[#This Row],[1st]:[FQC]])</f>
        <v>3</v>
      </c>
      <c r="S464" s="62">
        <f>IFERROR(VLOOKUP(Table2[[#This Row],[Part No.]],'[2]New Machine sheet'!$G$2:$I$90,3,0),0)</f>
        <v>111.97</v>
      </c>
      <c r="T464" s="62">
        <f>Table2[[#This Row],[cost per piece]]*Table2[[#This Row],[Total Rej. qty]]</f>
        <v>335.90999999999997</v>
      </c>
      <c r="U464" s="62">
        <f>IFERROR(VLOOKUP(Table2[[#This Row],[Non Conformance]],'[2]New defect code '!$B$2:$C$129,2,0),0)</f>
        <v>3258</v>
      </c>
      <c r="V464" s="62">
        <v>19</v>
      </c>
      <c r="W464" s="62" t="str">
        <f>IFERROR(VLOOKUP(Table2[[#This Row],[Code4]],'[2]New Reason code'!$A$2:$D$77,2,0),0)</f>
        <v>During Rework time</v>
      </c>
      <c r="X464" s="62" t="str">
        <f>IFERROR(VLOOKUP(Table2[[#This Row],[Reason]],'[2]New Reason code'!$B$2:$D$77,2,0),0)</f>
        <v>Due to operator</v>
      </c>
      <c r="Y464" s="62" t="str">
        <f>IFERROR(VLOOKUP(Table2[[#This Row],[Rejection Identified at]],'[2]New Reason code'!$C$2:$D$77,2,0),0)</f>
        <v xml:space="preserve">infrastructure </v>
      </c>
    </row>
    <row r="465" spans="1:25" ht="20.25" customHeight="1">
      <c r="A465" s="60">
        <v>461</v>
      </c>
      <c r="B465" s="62">
        <v>14</v>
      </c>
      <c r="C465" s="62" t="str">
        <f>IFERROR(VLOOKUP(Table2[[#This Row],[Code]],'[2]New Machine sheet'!$A$1:$D$101,2,0),0)</f>
        <v>282-14</v>
      </c>
      <c r="D465" s="62" t="str">
        <f>IFERROR(VLOOKUP(Table2[[#This Row],[M/c No]],'[2]New Machine sheet'!$B$1:$D$101,2,0),0)</f>
        <v>Mazak</v>
      </c>
      <c r="E465" s="62" t="str">
        <f>IFERROR(VLOOKUP(Table2[[#This Row],[M/c Name]],'[2]New Machine sheet'!$C$1:$D$101,2,0),0)</f>
        <v>Turning</v>
      </c>
      <c r="F465" s="62">
        <v>42</v>
      </c>
      <c r="G465" s="62">
        <f>IFERROR(VLOOKUP(Table2[[#This Row],[Code2]],'[2]New Machine sheet'!$F$2:$I$64,2,),0)</f>
        <v>2442</v>
      </c>
      <c r="H465" s="62" t="str">
        <f>IFERROR(VLOOKUP(Table2[[#This Row],[Code2]],'[2]New Machine sheet'!$F$2:$I$64,3,0),0)</f>
        <v>RE P1</v>
      </c>
      <c r="I465" s="62" t="s">
        <v>133</v>
      </c>
      <c r="J465" s="62">
        <v>5</v>
      </c>
      <c r="K465" s="62" t="str">
        <f>IFERROR(VLOOKUP(Table2[[#This Row],[Code3]],'[2]New defect code '!$A$2:$D$129,2,0),0)</f>
        <v>Bore Over size</v>
      </c>
      <c r="L465" s="62" t="s">
        <v>210</v>
      </c>
      <c r="M465" s="56">
        <v>46266</v>
      </c>
      <c r="N465" s="62"/>
      <c r="O465" s="62"/>
      <c r="P465" s="62">
        <v>2</v>
      </c>
      <c r="Q465" s="62"/>
      <c r="R465" s="62">
        <f>SUBTOTAL(9,Table2[[#This Row],[1st]:[FQC]])</f>
        <v>2</v>
      </c>
      <c r="S465" s="62">
        <f>IFERROR(VLOOKUP(Table2[[#This Row],[Part No.]],'[2]New Machine sheet'!$G$2:$I$90,3,0),0)</f>
        <v>164.83</v>
      </c>
      <c r="T465" s="62">
        <f>Table2[[#This Row],[cost per piece]]*Table2[[#This Row],[Total Rej. qty]]</f>
        <v>329.66</v>
      </c>
      <c r="U465" s="62">
        <f>IFERROR(VLOOKUP(Table2[[#This Row],[Non Conformance]],'[2]New defect code '!$B$2:$C$129,2,0),0)</f>
        <v>3243</v>
      </c>
      <c r="V465" s="62">
        <v>64</v>
      </c>
      <c r="W465" s="62" t="str">
        <f>IFERROR(VLOOKUP(Table2[[#This Row],[Code4]],'[2]New Reason code'!$A$2:$D$77,2,0),0)</f>
        <v>Wrong correction</v>
      </c>
      <c r="X465" s="62" t="str">
        <f>IFERROR(VLOOKUP(Table2[[#This Row],[Reason]],'[2]New Reason code'!$B$2:$D$77,2,0),0)</f>
        <v>Due to operator</v>
      </c>
      <c r="Y465" s="62" t="str">
        <f>IFERROR(VLOOKUP(Table2[[#This Row],[Rejection Identified at]],'[2]New Reason code'!$C$2:$D$77,2,0),0)</f>
        <v xml:space="preserve">infrastructure </v>
      </c>
    </row>
    <row r="466" spans="1:25" ht="20.25" customHeight="1">
      <c r="A466" s="50">
        <v>462</v>
      </c>
      <c r="B466" s="62">
        <v>15</v>
      </c>
      <c r="C466" s="62" t="str">
        <f>IFERROR(VLOOKUP(Table2[[#This Row],[Code]],'[2]New Machine sheet'!$A$1:$D$101,2,0),0)</f>
        <v>282-15</v>
      </c>
      <c r="D466" s="62" t="str">
        <f>IFERROR(VLOOKUP(Table2[[#This Row],[M/c No]],'[2]New Machine sheet'!$B$1:$D$101,2,0),0)</f>
        <v>Mazak</v>
      </c>
      <c r="E466" s="62" t="str">
        <f>IFERROR(VLOOKUP(Table2[[#This Row],[M/c Name]],'[2]New Machine sheet'!$C$1:$D$101,2,0),0)</f>
        <v>Turning</v>
      </c>
      <c r="F466" s="62">
        <v>82</v>
      </c>
      <c r="G466" s="62">
        <f>IFERROR(VLOOKUP(Table2[[#This Row],[Code2]],'[2]New Machine sheet'!$F$2:$I$64,2,),0)</f>
        <v>2482</v>
      </c>
      <c r="H466" s="62" t="str">
        <f>IFERROR(VLOOKUP(Table2[[#This Row],[Code2]],'[2]New Machine sheet'!$F$2:$I$64,3,0),0)</f>
        <v>RE P1</v>
      </c>
      <c r="I466" s="62" t="s">
        <v>175</v>
      </c>
      <c r="J466" s="62">
        <v>66</v>
      </c>
      <c r="K466" s="62" t="str">
        <f>IFERROR(VLOOKUP(Table2[[#This Row],[Code3]],'[2]New defect code '!$A$2:$D$129,2,0),0)</f>
        <v>OD Under Size</v>
      </c>
      <c r="L466" s="62" t="s">
        <v>210</v>
      </c>
      <c r="M466" s="56">
        <v>46266</v>
      </c>
      <c r="N466" s="62"/>
      <c r="O466" s="62"/>
      <c r="P466" s="62">
        <v>7</v>
      </c>
      <c r="Q466" s="62"/>
      <c r="R466" s="62">
        <f>SUBTOTAL(9,Table2[[#This Row],[1st]:[FQC]])</f>
        <v>7</v>
      </c>
      <c r="S466" s="62">
        <f>IFERROR(VLOOKUP(Table2[[#This Row],[Part No.]],'[2]New Machine sheet'!$G$2:$I$90,3,0),0)</f>
        <v>303.45333333333332</v>
      </c>
      <c r="T466" s="62">
        <f>Table2[[#This Row],[cost per piece]]*Table2[[#This Row],[Total Rej. qty]]</f>
        <v>2124.1733333333332</v>
      </c>
      <c r="U466" s="62">
        <f>IFERROR(VLOOKUP(Table2[[#This Row],[Non Conformance]],'[2]New defect code '!$B$2:$C$129,2,0),0)</f>
        <v>3242</v>
      </c>
      <c r="V466" s="62">
        <v>19</v>
      </c>
      <c r="W466" s="62" t="str">
        <f>IFERROR(VLOOKUP(Table2[[#This Row],[Code4]],'[2]New Reason code'!$A$2:$D$77,2,0),0)</f>
        <v>During Rework time</v>
      </c>
      <c r="X466" s="62" t="str">
        <f>IFERROR(VLOOKUP(Table2[[#This Row],[Reason]],'[2]New Reason code'!$B$2:$D$77,2,0),0)</f>
        <v>Due to operator</v>
      </c>
      <c r="Y466" s="62" t="str">
        <f>IFERROR(VLOOKUP(Table2[[#This Row],[Rejection Identified at]],'[2]New Reason code'!$C$2:$D$77,2,0),0)</f>
        <v xml:space="preserve">infrastructure </v>
      </c>
    </row>
    <row r="467" spans="1:25" ht="20.25" customHeight="1">
      <c r="A467" s="50">
        <v>463</v>
      </c>
      <c r="B467" s="62">
        <v>15</v>
      </c>
      <c r="C467" s="62" t="str">
        <f>IFERROR(VLOOKUP(Table2[[#This Row],[Code]],'[2]New Machine sheet'!$A$1:$D$101,2,0),0)</f>
        <v>282-15</v>
      </c>
      <c r="D467" s="62" t="str">
        <f>IFERROR(VLOOKUP(Table2[[#This Row],[M/c No]],'[2]New Machine sheet'!$B$1:$D$101,2,0),0)</f>
        <v>Mazak</v>
      </c>
      <c r="E467" s="62" t="str">
        <f>IFERROR(VLOOKUP(Table2[[#This Row],[M/c Name]],'[2]New Machine sheet'!$C$1:$D$101,2,0),0)</f>
        <v>Turning</v>
      </c>
      <c r="F467" s="62">
        <v>82</v>
      </c>
      <c r="G467" s="62">
        <f>IFERROR(VLOOKUP(Table2[[#This Row],[Code2]],'[2]New Machine sheet'!$F$2:$I$64,2,),0)</f>
        <v>2482</v>
      </c>
      <c r="H467" s="62" t="str">
        <f>IFERROR(VLOOKUP(Table2[[#This Row],[Code2]],'[2]New Machine sheet'!$F$2:$I$64,3,0),0)</f>
        <v>RE P1</v>
      </c>
      <c r="I467" s="62" t="s">
        <v>175</v>
      </c>
      <c r="J467" s="62">
        <v>93</v>
      </c>
      <c r="K467" s="62" t="str">
        <f>IFERROR(VLOOKUP(Table2[[#This Row],[Code3]],'[2]New defect code '!$A$2:$D$129,2,0),0)</f>
        <v>Thickness Under size</v>
      </c>
      <c r="L467" s="62" t="s">
        <v>210</v>
      </c>
      <c r="M467" s="56">
        <v>46266</v>
      </c>
      <c r="N467" s="62"/>
      <c r="O467" s="62"/>
      <c r="P467" s="62">
        <v>4</v>
      </c>
      <c r="Q467" s="62"/>
      <c r="R467" s="62">
        <f>SUBTOTAL(9,Table2[[#This Row],[1st]:[FQC]])</f>
        <v>4</v>
      </c>
      <c r="S467" s="62">
        <f>IFERROR(VLOOKUP(Table2[[#This Row],[Part No.]],'[2]New Machine sheet'!$G$2:$I$90,3,0),0)</f>
        <v>303.45333333333332</v>
      </c>
      <c r="T467" s="62">
        <f>Table2[[#This Row],[cost per piece]]*Table2[[#This Row],[Total Rej. qty]]</f>
        <v>1213.8133333333333</v>
      </c>
      <c r="U467" s="62">
        <f>IFERROR(VLOOKUP(Table2[[#This Row],[Non Conformance]],'[2]New defect code '!$B$2:$C$129,2,0),0)</f>
        <v>3258</v>
      </c>
      <c r="V467" s="62">
        <v>19</v>
      </c>
      <c r="W467" s="62" t="str">
        <f>IFERROR(VLOOKUP(Table2[[#This Row],[Code4]],'[2]New Reason code'!$A$2:$D$77,2,0),0)</f>
        <v>During Rework time</v>
      </c>
      <c r="X467" s="62" t="str">
        <f>IFERROR(VLOOKUP(Table2[[#This Row],[Reason]],'[2]New Reason code'!$B$2:$D$77,2,0),0)</f>
        <v>Due to operator</v>
      </c>
      <c r="Y467" s="62" t="str">
        <f>IFERROR(VLOOKUP(Table2[[#This Row],[Rejection Identified at]],'[2]New Reason code'!$C$2:$D$77,2,0),0)</f>
        <v xml:space="preserve">infrastructure </v>
      </c>
    </row>
    <row r="468" spans="1:25" ht="20.25" customHeight="1">
      <c r="A468" s="60">
        <v>464</v>
      </c>
      <c r="B468" s="62">
        <v>42</v>
      </c>
      <c r="C468" s="62" t="str">
        <f>IFERROR(VLOOKUP(Table2[[#This Row],[Code]],'[2]New Machine sheet'!$A$1:$D$101,2,0),0)</f>
        <v>252-04</v>
      </c>
      <c r="D468" s="62" t="str">
        <f>IFERROR(VLOOKUP(Table2[[#This Row],[M/c No]],'[2]New Machine sheet'!$B$1:$D$101,2,0),0)</f>
        <v>VMC</v>
      </c>
      <c r="E468" s="62" t="str">
        <f>IFERROR(VLOOKUP(Table2[[#This Row],[M/c Name]],'[2]New Machine sheet'!$C$1:$D$101,2,0),0)</f>
        <v>VMC</v>
      </c>
      <c r="F468" s="62">
        <v>154</v>
      </c>
      <c r="G468" s="62">
        <f>IFERROR(VLOOKUP(Table2[[#This Row],[Code2]],'[2]New Machine sheet'!$F$2:$I$64,2,),0)</f>
        <v>24154</v>
      </c>
      <c r="H468" s="62" t="str">
        <f>IFERROR(VLOOKUP(Table2[[#This Row],[Code2]],'[2]New Machine sheet'!$F$2:$I$64,3,0),0)</f>
        <v>RE J1</v>
      </c>
      <c r="I468" s="62" t="s">
        <v>182</v>
      </c>
      <c r="J468" s="62">
        <v>32</v>
      </c>
      <c r="K468" s="62" t="str">
        <f>IFERROR(VLOOKUP(Table2[[#This Row],[Code3]],'[2]New defect code '!$A$2:$D$129,2,0),0)</f>
        <v>Double Dot Punching</v>
      </c>
      <c r="L468" s="62" t="s">
        <v>210</v>
      </c>
      <c r="M468" s="56">
        <v>46266</v>
      </c>
      <c r="N468" s="62"/>
      <c r="O468" s="62"/>
      <c r="P468" s="62">
        <v>5</v>
      </c>
      <c r="Q468" s="62"/>
      <c r="R468" s="62">
        <f>SUBTOTAL(9,Table2[[#This Row],[1st]:[FQC]])</f>
        <v>5</v>
      </c>
      <c r="S468" s="62">
        <f>IFERROR(VLOOKUP(Table2[[#This Row],[Part No.]],'[2]New Machine sheet'!$G$2:$I$90,3,0),0)</f>
        <v>82.64</v>
      </c>
      <c r="T468" s="62">
        <f>Table2[[#This Row],[cost per piece]]*Table2[[#This Row],[Total Rej. qty]]</f>
        <v>413.2</v>
      </c>
      <c r="U468" s="62">
        <f>IFERROR(VLOOKUP(Table2[[#This Row],[Non Conformance]],'[2]New defect code '!$B$2:$C$129,2,0),0)</f>
        <v>0</v>
      </c>
      <c r="V468" s="62">
        <v>19</v>
      </c>
      <c r="W468" s="62" t="str">
        <f>IFERROR(VLOOKUP(Table2[[#This Row],[Code4]],'[2]New Reason code'!$A$2:$D$77,2,0),0)</f>
        <v>During Rework time</v>
      </c>
      <c r="X468" s="62" t="str">
        <f>IFERROR(VLOOKUP(Table2[[#This Row],[Reason]],'[2]New Reason code'!$B$2:$D$77,2,0),0)</f>
        <v>Due to operator</v>
      </c>
      <c r="Y468" s="62" t="str">
        <f>IFERROR(VLOOKUP(Table2[[#This Row],[Rejection Identified at]],'[2]New Reason code'!$C$2:$D$77,2,0),0)</f>
        <v xml:space="preserve">infrastructure </v>
      </c>
    </row>
    <row r="469" spans="1:25" ht="20.25" customHeight="1">
      <c r="A469" s="50">
        <v>465</v>
      </c>
      <c r="B469" s="62">
        <v>44</v>
      </c>
      <c r="C469" s="62" t="str">
        <f>IFERROR(VLOOKUP(Table2[[#This Row],[Code]],'[2]New Machine sheet'!$A$1:$D$101,2,0),0)</f>
        <v>LT20-NEW</v>
      </c>
      <c r="D469" s="62" t="str">
        <f>IFERROR(VLOOKUP(Table2[[#This Row],[M/c No]],'[2]New Machine sheet'!$B$1:$D$101,2,0),0)</f>
        <v>ACE</v>
      </c>
      <c r="E469" s="62" t="str">
        <f>IFERROR(VLOOKUP(Table2[[#This Row],[M/c Name]],'[2]New Machine sheet'!$C$1:$D$101,2,0),0)</f>
        <v xml:space="preserve">turning </v>
      </c>
      <c r="F469" s="62">
        <v>78</v>
      </c>
      <c r="G469" s="62">
        <f>IFERROR(VLOOKUP(Table2[[#This Row],[Code2]],'[2]New Machine sheet'!$F$2:$I$64,2,),0)</f>
        <v>2478</v>
      </c>
      <c r="H469" s="62" t="str">
        <f>IFERROR(VLOOKUP(Table2[[#This Row],[Code2]],'[2]New Machine sheet'!$F$2:$I$64,3,0),0)</f>
        <v>RE P1</v>
      </c>
      <c r="I469" s="62"/>
      <c r="J469" s="62">
        <v>66</v>
      </c>
      <c r="K469" s="62" t="str">
        <f>IFERROR(VLOOKUP(Table2[[#This Row],[Code3]],'[2]New defect code '!$A$2:$D$129,2,0),0)</f>
        <v>OD Under Size</v>
      </c>
      <c r="L469" s="62" t="s">
        <v>210</v>
      </c>
      <c r="M469" s="56">
        <v>46266</v>
      </c>
      <c r="N469" s="62"/>
      <c r="O469" s="62"/>
      <c r="P469" s="62">
        <v>1</v>
      </c>
      <c r="Q469" s="62"/>
      <c r="R469" s="62">
        <f>SUBTOTAL(9,Table2[[#This Row],[1st]:[FQC]])</f>
        <v>1</v>
      </c>
      <c r="S469" s="62">
        <f>IFERROR(VLOOKUP(Table2[[#This Row],[Part No.]],'[2]New Machine sheet'!$G$2:$I$90,3,0),0)</f>
        <v>468.06</v>
      </c>
      <c r="T469" s="62">
        <f>Table2[[#This Row],[cost per piece]]*Table2[[#This Row],[Total Rej. qty]]</f>
        <v>468.06</v>
      </c>
      <c r="U469" s="62">
        <f>IFERROR(VLOOKUP(Table2[[#This Row],[Non Conformance]],'[2]New defect code '!$B$2:$C$129,2,0),0)</f>
        <v>3242</v>
      </c>
      <c r="V469" s="62">
        <v>18</v>
      </c>
      <c r="W469" s="62" t="str">
        <f>IFERROR(VLOOKUP(Table2[[#This Row],[Code4]],'[2]New Reason code'!$A$2:$D$77,2,0),0)</f>
        <v>During insert change</v>
      </c>
      <c r="X469" s="62" t="str">
        <f>IFERROR(VLOOKUP(Table2[[#This Row],[Reason]],'[2]New Reason code'!$B$2:$D$77,2,0),0)</f>
        <v xml:space="preserve">Due to Settup  </v>
      </c>
      <c r="Y469" s="62" t="str">
        <f>IFERROR(VLOOKUP(Table2[[#This Row],[Rejection Identified at]],'[2]New Reason code'!$C$2:$D$77,2,0),0)</f>
        <v>skill</v>
      </c>
    </row>
    <row r="470" spans="1:25" ht="20.25" customHeight="1">
      <c r="A470" s="50">
        <v>466</v>
      </c>
      <c r="B470" s="62">
        <v>15</v>
      </c>
      <c r="C470" s="62" t="str">
        <f>IFERROR(VLOOKUP(Table2[[#This Row],[Code]],'[2]New Machine sheet'!$A$1:$D$101,2,0),0)</f>
        <v>282-15</v>
      </c>
      <c r="D470" s="62" t="str">
        <f>IFERROR(VLOOKUP(Table2[[#This Row],[M/c No]],'[2]New Machine sheet'!$B$1:$D$101,2,0),0)</f>
        <v>Mazak</v>
      </c>
      <c r="E470" s="62" t="str">
        <f>IFERROR(VLOOKUP(Table2[[#This Row],[M/c Name]],'[2]New Machine sheet'!$C$1:$D$101,2,0),0)</f>
        <v>Turning</v>
      </c>
      <c r="F470" s="62">
        <v>82</v>
      </c>
      <c r="G470" s="62">
        <f>IFERROR(VLOOKUP(Table2[[#This Row],[Code2]],'[2]New Machine sheet'!$F$2:$I$64,2,),0)</f>
        <v>2482</v>
      </c>
      <c r="H470" s="62" t="str">
        <f>IFERROR(VLOOKUP(Table2[[#This Row],[Code2]],'[2]New Machine sheet'!$F$2:$I$64,3,0),0)</f>
        <v>RE P1</v>
      </c>
      <c r="I470" s="62" t="s">
        <v>141</v>
      </c>
      <c r="J470" s="62">
        <v>66</v>
      </c>
      <c r="K470" s="62" t="str">
        <f>IFERROR(VLOOKUP(Table2[[#This Row],[Code3]],'[2]New defect code '!$A$2:$D$129,2,0),0)</f>
        <v>OD Under Size</v>
      </c>
      <c r="L470" s="62" t="s">
        <v>214</v>
      </c>
      <c r="M470" s="56">
        <v>46266</v>
      </c>
      <c r="N470" s="62">
        <v>3</v>
      </c>
      <c r="O470" s="62"/>
      <c r="P470" s="62"/>
      <c r="Q470" s="62"/>
      <c r="R470" s="62">
        <f>SUBTOTAL(9,Table2[[#This Row],[1st]:[FQC]])</f>
        <v>3</v>
      </c>
      <c r="S470" s="62">
        <f>IFERROR(VLOOKUP(Table2[[#This Row],[Part No.]],'[2]New Machine sheet'!$G$2:$I$90,3,0),0)</f>
        <v>303.45333333333332</v>
      </c>
      <c r="T470" s="62">
        <f>Table2[[#This Row],[cost per piece]]*Table2[[#This Row],[Total Rej. qty]]</f>
        <v>910.3599999999999</v>
      </c>
      <c r="U470" s="62">
        <f>IFERROR(VLOOKUP(Table2[[#This Row],[Non Conformance]],'[2]New defect code '!$B$2:$C$129,2,0),0)</f>
        <v>3242</v>
      </c>
      <c r="V470" s="62">
        <v>18</v>
      </c>
      <c r="W470" s="62" t="str">
        <f>IFERROR(VLOOKUP(Table2[[#This Row],[Code4]],'[2]New Reason code'!$A$2:$D$77,2,0),0)</f>
        <v>During insert change</v>
      </c>
      <c r="X470" s="62" t="str">
        <f>IFERROR(VLOOKUP(Table2[[#This Row],[Reason]],'[2]New Reason code'!$B$2:$D$77,2,0),0)</f>
        <v xml:space="preserve">Due to Settup  </v>
      </c>
      <c r="Y470" s="62" t="str">
        <f>IFERROR(VLOOKUP(Table2[[#This Row],[Rejection Identified at]],'[2]New Reason code'!$C$2:$D$77,2,0),0)</f>
        <v>skill</v>
      </c>
    </row>
    <row r="471" spans="1:25" ht="20.25" customHeight="1">
      <c r="A471" s="60">
        <v>467</v>
      </c>
      <c r="B471" s="62">
        <v>19</v>
      </c>
      <c r="C471" s="62" t="str">
        <f>IFERROR(VLOOKUP(Table2[[#This Row],[Code]],'[2]New Machine sheet'!$A$1:$D$101,2,0),0)</f>
        <v>282-19</v>
      </c>
      <c r="D471" s="62" t="str">
        <f>IFERROR(VLOOKUP(Table2[[#This Row],[M/c No]],'[2]New Machine sheet'!$B$1:$D$101,2,0),0)</f>
        <v>Mazak</v>
      </c>
      <c r="E471" s="62" t="str">
        <f>IFERROR(VLOOKUP(Table2[[#This Row],[M/c Name]],'[2]New Machine sheet'!$C$1:$D$101,2,0),0)</f>
        <v>Turning</v>
      </c>
      <c r="F471" s="62">
        <v>65</v>
      </c>
      <c r="G471" s="62">
        <f>IFERROR(VLOOKUP(Table2[[#This Row],[Code2]],'[2]New Machine sheet'!$F$2:$I$64,2,),0)</f>
        <v>2465</v>
      </c>
      <c r="H471" s="62" t="str">
        <f>IFERROR(VLOOKUP(Table2[[#This Row],[Code2]],'[2]New Machine sheet'!$F$2:$I$64,3,0),0)</f>
        <v>RE D1</v>
      </c>
      <c r="I471" s="62" t="s">
        <v>130</v>
      </c>
      <c r="J471" s="62">
        <v>66</v>
      </c>
      <c r="K471" s="62" t="str">
        <f>IFERROR(VLOOKUP(Table2[[#This Row],[Code3]],'[2]New defect code '!$A$2:$D$129,2,0),0)</f>
        <v>OD Under Size</v>
      </c>
      <c r="L471" s="62" t="s">
        <v>214</v>
      </c>
      <c r="M471" s="56">
        <v>46266</v>
      </c>
      <c r="N471" s="62">
        <v>1</v>
      </c>
      <c r="O471" s="62"/>
      <c r="P471" s="62"/>
      <c r="Q471" s="62"/>
      <c r="R471" s="62">
        <f>SUBTOTAL(9,Table2[[#This Row],[1st]:[FQC]])</f>
        <v>1</v>
      </c>
      <c r="S471" s="62">
        <f>IFERROR(VLOOKUP(Table2[[#This Row],[Part No.]],'[2]New Machine sheet'!$G$2:$I$90,3,0),0)</f>
        <v>245.64500000000001</v>
      </c>
      <c r="T471" s="62">
        <f>Table2[[#This Row],[cost per piece]]*Table2[[#This Row],[Total Rej. qty]]</f>
        <v>245.64500000000001</v>
      </c>
      <c r="U471" s="62">
        <f>IFERROR(VLOOKUP(Table2[[#This Row],[Non Conformance]],'[2]New defect code '!$B$2:$C$129,2,0),0)</f>
        <v>3242</v>
      </c>
      <c r="V471" s="62">
        <v>21</v>
      </c>
      <c r="W471" s="62" t="str">
        <f>IFERROR(VLOOKUP(Table2[[#This Row],[Code4]],'[2]New Reason code'!$A$2:$D$77,2,0),0)</f>
        <v>During setup time</v>
      </c>
      <c r="X471" s="62" t="str">
        <f>IFERROR(VLOOKUP(Table2[[#This Row],[Reason]],'[2]New Reason code'!$B$2:$D$77,2,0),0)</f>
        <v xml:space="preserve">Due to Settup  </v>
      </c>
      <c r="Y471" s="62" t="str">
        <f>IFERROR(VLOOKUP(Table2[[#This Row],[Rejection Identified at]],'[2]New Reason code'!$C$2:$D$77,2,0),0)</f>
        <v>skill</v>
      </c>
    </row>
    <row r="472" spans="1:25" ht="20.25" customHeight="1">
      <c r="A472" s="50">
        <v>468</v>
      </c>
      <c r="B472" s="62">
        <v>25</v>
      </c>
      <c r="C472" s="62" t="str">
        <f>IFERROR(VLOOKUP(Table2[[#This Row],[Code]],'[2]New Machine sheet'!$A$1:$D$101,2,0),0)</f>
        <v>ACE-05</v>
      </c>
      <c r="D472" s="62" t="str">
        <f>IFERROR(VLOOKUP(Table2[[#This Row],[M/c No]],'[2]New Machine sheet'!$B$1:$D$101,2,0),0)</f>
        <v>Micromatic</v>
      </c>
      <c r="E472" s="62" t="str">
        <f>IFERROR(VLOOKUP(Table2[[#This Row],[M/c Name]],'[2]New Machine sheet'!$C$1:$D$101,2,0),0)</f>
        <v>Turning</v>
      </c>
      <c r="F472" s="62">
        <v>78</v>
      </c>
      <c r="G472" s="62">
        <f>IFERROR(VLOOKUP(Table2[[#This Row],[Code2]],'[2]New Machine sheet'!$F$2:$I$64,2,),0)</f>
        <v>2478</v>
      </c>
      <c r="H472" s="62" t="str">
        <f>IFERROR(VLOOKUP(Table2[[#This Row],[Code2]],'[2]New Machine sheet'!$F$2:$I$64,3,0),0)</f>
        <v>RE P1</v>
      </c>
      <c r="I472" s="62" t="s">
        <v>218</v>
      </c>
      <c r="J472" s="62">
        <v>66</v>
      </c>
      <c r="K472" s="62" t="str">
        <f>IFERROR(VLOOKUP(Table2[[#This Row],[Code3]],'[2]New defect code '!$A$2:$D$129,2,0),0)</f>
        <v>OD Under Size</v>
      </c>
      <c r="L472" s="62" t="s">
        <v>214</v>
      </c>
      <c r="M472" s="56">
        <v>46266</v>
      </c>
      <c r="N472" s="62">
        <v>1</v>
      </c>
      <c r="O472" s="62"/>
      <c r="P472" s="62"/>
      <c r="Q472" s="62"/>
      <c r="R472" s="62">
        <f>SUBTOTAL(9,Table2[[#This Row],[1st]:[FQC]])</f>
        <v>1</v>
      </c>
      <c r="S472" s="62">
        <f>IFERROR(VLOOKUP(Table2[[#This Row],[Part No.]],'[2]New Machine sheet'!$G$2:$I$90,3,0),0)</f>
        <v>468.06</v>
      </c>
      <c r="T472" s="62">
        <f>Table2[[#This Row],[cost per piece]]*Table2[[#This Row],[Total Rej. qty]]</f>
        <v>468.06</v>
      </c>
      <c r="U472" s="62">
        <f>IFERROR(VLOOKUP(Table2[[#This Row],[Non Conformance]],'[2]New defect code '!$B$2:$C$129,2,0),0)</f>
        <v>3242</v>
      </c>
      <c r="V472" s="62">
        <v>21</v>
      </c>
      <c r="W472" s="62" t="str">
        <f>IFERROR(VLOOKUP(Table2[[#This Row],[Code4]],'[2]New Reason code'!$A$2:$D$77,2,0),0)</f>
        <v>During setup time</v>
      </c>
      <c r="X472" s="62" t="str">
        <f>IFERROR(VLOOKUP(Table2[[#This Row],[Reason]],'[2]New Reason code'!$B$2:$D$77,2,0),0)</f>
        <v xml:space="preserve">Due to Settup  </v>
      </c>
      <c r="Y472" s="62" t="str">
        <f>IFERROR(VLOOKUP(Table2[[#This Row],[Rejection Identified at]],'[2]New Reason code'!$C$2:$D$77,2,0),0)</f>
        <v>skill</v>
      </c>
    </row>
    <row r="473" spans="1:25" ht="20.25" customHeight="1">
      <c r="A473" s="50">
        <v>469</v>
      </c>
      <c r="B473" s="62">
        <v>43</v>
      </c>
      <c r="C473" s="62" t="str">
        <f>IFERROR(VLOOKUP(Table2[[#This Row],[Code]],'[2]New Machine sheet'!$A$1:$D$101,2,0),0)</f>
        <v>252-05</v>
      </c>
      <c r="D473" s="62" t="str">
        <f>IFERROR(VLOOKUP(Table2[[#This Row],[M/c No]],'[2]New Machine sheet'!$B$1:$D$101,2,0),0)</f>
        <v>VMC</v>
      </c>
      <c r="E473" s="62" t="str">
        <f>IFERROR(VLOOKUP(Table2[[#This Row],[M/c Name]],'[2]New Machine sheet'!$C$1:$D$101,2,0),0)</f>
        <v>VMC</v>
      </c>
      <c r="F473" s="62">
        <v>155</v>
      </c>
      <c r="G473" s="62">
        <f>IFERROR(VLOOKUP(Table2[[#This Row],[Code2]],'[2]New Machine sheet'!$F$2:$I$64,2,),0)</f>
        <v>24155</v>
      </c>
      <c r="H473" s="62" t="str">
        <f>IFERROR(VLOOKUP(Table2[[#This Row],[Code2]],'[2]New Machine sheet'!$F$2:$I$64,3,0),0)</f>
        <v>RE J1</v>
      </c>
      <c r="I473" s="62"/>
      <c r="J473" s="62">
        <v>113</v>
      </c>
      <c r="K473" s="62" t="str">
        <f>IFERROR(VLOOKUP(Table2[[#This Row],[Code3]],'[2]New defect code '!$A$2:$D$129,2,0),0)</f>
        <v>Wrong loading poka yoke not working</v>
      </c>
      <c r="L473" s="62" t="s">
        <v>214</v>
      </c>
      <c r="M473" s="56">
        <v>46266</v>
      </c>
      <c r="N473" s="62">
        <v>3</v>
      </c>
      <c r="O473" s="62"/>
      <c r="P473" s="62"/>
      <c r="Q473" s="62"/>
      <c r="R473" s="62">
        <f>SUBTOTAL(9,Table2[[#This Row],[1st]:[FQC]])</f>
        <v>3</v>
      </c>
      <c r="S473" s="62">
        <f>IFERROR(VLOOKUP(Table2[[#This Row],[Part No.]],'[2]New Machine sheet'!$G$2:$I$90,3,0),0)</f>
        <v>107.67</v>
      </c>
      <c r="T473" s="62">
        <f>Table2[[#This Row],[cost per piece]]*Table2[[#This Row],[Total Rej. qty]]</f>
        <v>323.01</v>
      </c>
      <c r="U473" s="62">
        <f>IFERROR(VLOOKUP(Table2[[#This Row],[Non Conformance]],'[2]New defect code '!$B$2:$C$129,2,0),0)</f>
        <v>0</v>
      </c>
      <c r="V473" s="62">
        <v>64</v>
      </c>
      <c r="W473" s="62" t="str">
        <f>IFERROR(VLOOKUP(Table2[[#This Row],[Code4]],'[2]New Reason code'!$A$2:$D$77,2,0),0)</f>
        <v>Wrong correction</v>
      </c>
      <c r="X473" s="62" t="str">
        <f>IFERROR(VLOOKUP(Table2[[#This Row],[Reason]],'[2]New Reason code'!$B$2:$D$77,2,0),0)</f>
        <v>Due to operator</v>
      </c>
      <c r="Y473" s="62" t="str">
        <f>IFERROR(VLOOKUP(Table2[[#This Row],[Rejection Identified at]],'[2]New Reason code'!$C$2:$D$77,2,0),0)</f>
        <v xml:space="preserve">infrastructure </v>
      </c>
    </row>
    <row r="474" spans="1:25" ht="20.25" customHeight="1">
      <c r="A474" s="60">
        <v>470</v>
      </c>
      <c r="B474" s="62">
        <v>43</v>
      </c>
      <c r="C474" s="62" t="str">
        <f>IFERROR(VLOOKUP(Table2[[#This Row],[Code]],'[2]New Machine sheet'!$A$1:$D$101,2,0),0)</f>
        <v>252-05</v>
      </c>
      <c r="D474" s="62" t="str">
        <f>IFERROR(VLOOKUP(Table2[[#This Row],[M/c No]],'[2]New Machine sheet'!$B$1:$D$101,2,0),0)</f>
        <v>VMC</v>
      </c>
      <c r="E474" s="62" t="str">
        <f>IFERROR(VLOOKUP(Table2[[#This Row],[M/c Name]],'[2]New Machine sheet'!$C$1:$D$101,2,0),0)</f>
        <v>VMC</v>
      </c>
      <c r="F474" s="62">
        <v>155</v>
      </c>
      <c r="G474" s="62">
        <f>IFERROR(VLOOKUP(Table2[[#This Row],[Code2]],'[2]New Machine sheet'!$F$2:$I$64,2,),0)</f>
        <v>24155</v>
      </c>
      <c r="H474" s="62" t="str">
        <f>IFERROR(VLOOKUP(Table2[[#This Row],[Code2]],'[2]New Machine sheet'!$F$2:$I$64,3,0),0)</f>
        <v>RE J1</v>
      </c>
      <c r="I474" s="62"/>
      <c r="J474" s="62">
        <v>48</v>
      </c>
      <c r="K474" s="62" t="str">
        <f>IFERROR(VLOOKUP(Table2[[#This Row],[Code3]],'[2]New defect code '!$A$2:$D$129,2,0),0)</f>
        <v>Heavy Dot Punching</v>
      </c>
      <c r="L474" s="62" t="s">
        <v>214</v>
      </c>
      <c r="M474" s="56">
        <v>46266</v>
      </c>
      <c r="N474" s="62">
        <v>2</v>
      </c>
      <c r="O474" s="62"/>
      <c r="P474" s="62"/>
      <c r="Q474" s="62"/>
      <c r="R474" s="62">
        <f>SUBTOTAL(9,Table2[[#This Row],[1st]:[FQC]])</f>
        <v>2</v>
      </c>
      <c r="S474" s="62">
        <f>IFERROR(VLOOKUP(Table2[[#This Row],[Part No.]],'[2]New Machine sheet'!$G$2:$I$90,3,0),0)</f>
        <v>107.67</v>
      </c>
      <c r="T474" s="62">
        <f>Table2[[#This Row],[cost per piece]]*Table2[[#This Row],[Total Rej. qty]]</f>
        <v>215.34</v>
      </c>
      <c r="U474" s="62">
        <f>IFERROR(VLOOKUP(Table2[[#This Row],[Non Conformance]],'[2]New defect code '!$B$2:$C$129,2,0),0)</f>
        <v>3246</v>
      </c>
      <c r="V474" s="62">
        <v>22</v>
      </c>
      <c r="W474" s="62" t="str">
        <f>IFERROR(VLOOKUP(Table2[[#This Row],[Code4]],'[2]New Reason code'!$A$2:$D$77,2,0),0)</f>
        <v>during tool change</v>
      </c>
      <c r="X474" s="62" t="str">
        <f>IFERROR(VLOOKUP(Table2[[#This Row],[Reason]],'[2]New Reason code'!$B$2:$D$77,2,0),0)</f>
        <v>Prod Declared</v>
      </c>
      <c r="Y474" s="62" t="str">
        <f>IFERROR(VLOOKUP(Table2[[#This Row],[Rejection Identified at]],'[2]New Reason code'!$C$2:$D$77,2,0),0)</f>
        <v>Process Issue</v>
      </c>
    </row>
    <row r="475" spans="1:25" ht="20.25" customHeight="1">
      <c r="A475" s="50">
        <v>471</v>
      </c>
      <c r="B475" s="62">
        <v>12</v>
      </c>
      <c r="C475" s="62" t="str">
        <f>IFERROR(VLOOKUP(Table2[[#This Row],[Code]],'[2]New Machine sheet'!$A$1:$D$101,2,0),0)</f>
        <v>282-12</v>
      </c>
      <c r="D475" s="62" t="str">
        <f>IFERROR(VLOOKUP(Table2[[#This Row],[M/c No]],'[2]New Machine sheet'!$B$1:$D$101,2,0),0)</f>
        <v>Mazak</v>
      </c>
      <c r="E475" s="62" t="str">
        <f>IFERROR(VLOOKUP(Table2[[#This Row],[M/c Name]],'[2]New Machine sheet'!$C$1:$D$101,2,0),0)</f>
        <v>Turning</v>
      </c>
      <c r="F475" s="62">
        <v>73</v>
      </c>
      <c r="G475" s="62">
        <f>IFERROR(VLOOKUP(Table2[[#This Row],[Code2]],'[2]New Machine sheet'!$F$2:$I$64,2,),0)</f>
        <v>2473</v>
      </c>
      <c r="H475" s="62" t="str">
        <f>IFERROR(VLOOKUP(Table2[[#This Row],[Code2]],'[2]New Machine sheet'!$F$2:$I$64,3,0),0)</f>
        <v>RE P1</v>
      </c>
      <c r="I475" s="62" t="s">
        <v>127</v>
      </c>
      <c r="J475" s="62">
        <v>5</v>
      </c>
      <c r="K475" s="62" t="str">
        <f>IFERROR(VLOOKUP(Table2[[#This Row],[Code3]],'[2]New defect code '!$A$2:$D$129,2,0),0)</f>
        <v>Bore Over size</v>
      </c>
      <c r="L475" s="62" t="s">
        <v>214</v>
      </c>
      <c r="M475" s="56">
        <v>46266</v>
      </c>
      <c r="N475" s="62">
        <v>1</v>
      </c>
      <c r="O475" s="62"/>
      <c r="P475" s="62"/>
      <c r="Q475" s="62"/>
      <c r="R475" s="62">
        <f>SUBTOTAL(9,Table2[[#This Row],[1st]:[FQC]])</f>
        <v>1</v>
      </c>
      <c r="S475" s="62">
        <f>IFERROR(VLOOKUP(Table2[[#This Row],[Part No.]],'[2]New Machine sheet'!$G$2:$I$90,3,0),0)</f>
        <v>110.76</v>
      </c>
      <c r="T475" s="62">
        <f>Table2[[#This Row],[cost per piece]]*Table2[[#This Row],[Total Rej. qty]]</f>
        <v>110.76</v>
      </c>
      <c r="U475" s="62">
        <f>IFERROR(VLOOKUP(Table2[[#This Row],[Non Conformance]],'[2]New defect code '!$B$2:$C$129,2,0),0)</f>
        <v>3243</v>
      </c>
      <c r="V475" s="62">
        <v>18</v>
      </c>
      <c r="W475" s="62" t="str">
        <f>IFERROR(VLOOKUP(Table2[[#This Row],[Code4]],'[2]New Reason code'!$A$2:$D$77,2,0),0)</f>
        <v>During insert change</v>
      </c>
      <c r="X475" s="62" t="str">
        <f>IFERROR(VLOOKUP(Table2[[#This Row],[Reason]],'[2]New Reason code'!$B$2:$D$77,2,0),0)</f>
        <v xml:space="preserve">Due to Settup  </v>
      </c>
      <c r="Y475" s="62" t="str">
        <f>IFERROR(VLOOKUP(Table2[[#This Row],[Rejection Identified at]],'[2]New Reason code'!$C$2:$D$77,2,0),0)</f>
        <v>skill</v>
      </c>
    </row>
    <row r="476" spans="1:25" ht="20.25" customHeight="1">
      <c r="A476" s="50">
        <v>472</v>
      </c>
      <c r="B476" s="62">
        <v>2</v>
      </c>
      <c r="C476" s="62" t="str">
        <f>IFERROR(VLOOKUP(Table2[[#This Row],[Code]],'[2]New Machine sheet'!$A$1:$D$101,2,0),0)</f>
        <v>282-02</v>
      </c>
      <c r="D476" s="62" t="str">
        <f>IFERROR(VLOOKUP(Table2[[#This Row],[M/c No]],'[2]New Machine sheet'!$B$1:$D$101,2,0),0)</f>
        <v>Mazak</v>
      </c>
      <c r="E476" s="62" t="str">
        <f>IFERROR(VLOOKUP(Table2[[#This Row],[M/c Name]],'[2]New Machine sheet'!$C$1:$D$101,2,0),0)</f>
        <v>Turning</v>
      </c>
      <c r="F476" s="62">
        <v>115</v>
      </c>
      <c r="G476" s="62">
        <f>IFERROR(VLOOKUP(Table2[[#This Row],[Code2]],'[2]New Machine sheet'!$F$2:$I$64,2,),0)</f>
        <v>24115</v>
      </c>
      <c r="H476" s="62" t="str">
        <f>IFERROR(VLOOKUP(Table2[[#This Row],[Code2]],'[2]New Machine sheet'!$F$2:$I$64,3,0),0)</f>
        <v>RE J1</v>
      </c>
      <c r="I476" s="62" t="s">
        <v>122</v>
      </c>
      <c r="J476" s="62">
        <v>3</v>
      </c>
      <c r="K476" s="62" t="str">
        <f>IFERROR(VLOOKUP(Table2[[#This Row],[Code3]],'[2]New defect code '!$A$2:$D$129,2,0),0)</f>
        <v>Bore damage</v>
      </c>
      <c r="L476" s="62" t="s">
        <v>214</v>
      </c>
      <c r="M476" s="56">
        <v>46266</v>
      </c>
      <c r="N476" s="62">
        <v>1</v>
      </c>
      <c r="O476" s="62"/>
      <c r="P476" s="62"/>
      <c r="Q476" s="62"/>
      <c r="R476" s="62">
        <f>SUBTOTAL(9,Table2[[#This Row],[1st]:[FQC]])</f>
        <v>1</v>
      </c>
      <c r="S476" s="62">
        <f>IFERROR(VLOOKUP(Table2[[#This Row],[Part No.]],'[2]New Machine sheet'!$G$2:$I$90,3,0),0)</f>
        <v>66.900000000000006</v>
      </c>
      <c r="T476" s="62">
        <f>Table2[[#This Row],[cost per piece]]*Table2[[#This Row],[Total Rej. qty]]</f>
        <v>66.900000000000006</v>
      </c>
      <c r="U476" s="62">
        <f>IFERROR(VLOOKUP(Table2[[#This Row],[Non Conformance]],'[2]New defect code '!$B$2:$C$129,2,0),0)</f>
        <v>0</v>
      </c>
      <c r="V476" s="62">
        <v>66</v>
      </c>
      <c r="W476" s="62" t="str">
        <f>IFERROR(VLOOKUP(Table2[[#This Row],[Code4]],'[2]New Reason code'!$A$2:$D$77,2,0),0)</f>
        <v>Wrong Loading</v>
      </c>
      <c r="X476" s="62" t="str">
        <f>IFERROR(VLOOKUP(Table2[[#This Row],[Reason]],'[2]New Reason code'!$B$2:$D$77,2,0),0)</f>
        <v>Due to operator</v>
      </c>
      <c r="Y476" s="62" t="str">
        <f>IFERROR(VLOOKUP(Table2[[#This Row],[Rejection Identified at]],'[2]New Reason code'!$C$2:$D$77,2,0),0)</f>
        <v xml:space="preserve">infrastructure </v>
      </c>
    </row>
    <row r="477" spans="1:25" ht="20.25" customHeight="1">
      <c r="A477" s="60">
        <v>473</v>
      </c>
      <c r="B477" s="62">
        <v>6</v>
      </c>
      <c r="C477" s="62" t="str">
        <f>IFERROR(VLOOKUP(Table2[[#This Row],[Code]],'[2]New Machine sheet'!$A$1:$D$101,2,0),0)</f>
        <v>282-06</v>
      </c>
      <c r="D477" s="62" t="str">
        <f>IFERROR(VLOOKUP(Table2[[#This Row],[M/c No]],'[2]New Machine sheet'!$B$1:$D$101,2,0),0)</f>
        <v>Mazak</v>
      </c>
      <c r="E477" s="62" t="str">
        <f>IFERROR(VLOOKUP(Table2[[#This Row],[M/c Name]],'[2]New Machine sheet'!$C$1:$D$101,2,0),0)</f>
        <v>Turning</v>
      </c>
      <c r="F477" s="62">
        <v>178</v>
      </c>
      <c r="G477" s="62">
        <f>IFERROR(VLOOKUP(Table2[[#This Row],[Code2]],'[2]New Machine sheet'!$F$2:$I$64,2,),0)</f>
        <v>24178</v>
      </c>
      <c r="H477" s="62" t="str">
        <f>IFERROR(VLOOKUP(Table2[[#This Row],[Code2]],'[2]New Machine sheet'!$F$2:$I$64,3,0),0)</f>
        <v>RE J1</v>
      </c>
      <c r="I477" s="62" t="s">
        <v>179</v>
      </c>
      <c r="J477" s="62">
        <v>5</v>
      </c>
      <c r="K477" s="62" t="str">
        <f>IFERROR(VLOOKUP(Table2[[#This Row],[Code3]],'[2]New defect code '!$A$2:$D$129,2,0),0)</f>
        <v>Bore Over size</v>
      </c>
      <c r="L477" s="62" t="s">
        <v>214</v>
      </c>
      <c r="M477" s="56">
        <v>46266</v>
      </c>
      <c r="N477" s="62">
        <v>1</v>
      </c>
      <c r="O477" s="62"/>
      <c r="P477" s="62"/>
      <c r="Q477" s="62"/>
      <c r="R477" s="62">
        <f>SUBTOTAL(9,Table2[[#This Row],[1st]:[FQC]])</f>
        <v>1</v>
      </c>
      <c r="S477" s="62">
        <f>IFERROR(VLOOKUP(Table2[[#This Row],[Part No.]],'[2]New Machine sheet'!$G$2:$I$90,3,0),0)</f>
        <v>70.62</v>
      </c>
      <c r="T477" s="62">
        <f>Table2[[#This Row],[cost per piece]]*Table2[[#This Row],[Total Rej. qty]]</f>
        <v>70.62</v>
      </c>
      <c r="U477" s="62">
        <f>IFERROR(VLOOKUP(Table2[[#This Row],[Non Conformance]],'[2]New defect code '!$B$2:$C$129,2,0),0)</f>
        <v>3243</v>
      </c>
      <c r="V477" s="62">
        <v>19</v>
      </c>
      <c r="W477" s="62" t="str">
        <f>IFERROR(VLOOKUP(Table2[[#This Row],[Code4]],'[2]New Reason code'!$A$2:$D$77,2,0),0)</f>
        <v>During Rework time</v>
      </c>
      <c r="X477" s="62" t="str">
        <f>IFERROR(VLOOKUP(Table2[[#This Row],[Reason]],'[2]New Reason code'!$B$2:$D$77,2,0),0)</f>
        <v>Due to operator</v>
      </c>
      <c r="Y477" s="62" t="str">
        <f>IFERROR(VLOOKUP(Table2[[#This Row],[Rejection Identified at]],'[2]New Reason code'!$C$2:$D$77,2,0),0)</f>
        <v xml:space="preserve">infrastructure </v>
      </c>
    </row>
    <row r="478" spans="1:25" ht="20.25" customHeight="1">
      <c r="A478" s="50">
        <v>474</v>
      </c>
      <c r="B478" s="62">
        <v>1</v>
      </c>
      <c r="C478" s="62" t="str">
        <f>IFERROR(VLOOKUP(Table2[[#This Row],[Code]],'[2]New Machine sheet'!$A$1:$D$101,2,0),0)</f>
        <v>282-01</v>
      </c>
      <c r="D478" s="62" t="str">
        <f>IFERROR(VLOOKUP(Table2[[#This Row],[M/c No]],'[2]New Machine sheet'!$B$1:$D$101,2,0),0)</f>
        <v>Mazak</v>
      </c>
      <c r="E478" s="62" t="str">
        <f>IFERROR(VLOOKUP(Table2[[#This Row],[M/c Name]],'[2]New Machine sheet'!$C$1:$D$101,2,0),0)</f>
        <v>Turning</v>
      </c>
      <c r="F478" s="62">
        <v>52</v>
      </c>
      <c r="G478" s="62">
        <f>IFERROR(VLOOKUP(Table2[[#This Row],[Code2]],'[2]New Machine sheet'!$F$2:$I$64,2,),0)</f>
        <v>2452</v>
      </c>
      <c r="H478" s="62" t="str">
        <f>IFERROR(VLOOKUP(Table2[[#This Row],[Code2]],'[2]New Machine sheet'!$F$2:$I$64,3,0),0)</f>
        <v>RE P1</v>
      </c>
      <c r="I478" s="62" t="s">
        <v>120</v>
      </c>
      <c r="J478" s="62">
        <v>5</v>
      </c>
      <c r="K478" s="62" t="str">
        <f>IFERROR(VLOOKUP(Table2[[#This Row],[Code3]],'[2]New defect code '!$A$2:$D$129,2,0),0)</f>
        <v>Bore Over size</v>
      </c>
      <c r="L478" s="62" t="s">
        <v>214</v>
      </c>
      <c r="M478" s="56">
        <v>46266</v>
      </c>
      <c r="N478" s="62">
        <v>4</v>
      </c>
      <c r="O478" s="62"/>
      <c r="P478" s="62"/>
      <c r="Q478" s="62"/>
      <c r="R478" s="62">
        <f>SUBTOTAL(9,Table2[[#This Row],[1st]:[FQC]])</f>
        <v>4</v>
      </c>
      <c r="S478" s="62">
        <f>IFERROR(VLOOKUP(Table2[[#This Row],[Part No.]],'[2]New Machine sheet'!$G$2:$I$90,3,0),0)</f>
        <v>400</v>
      </c>
      <c r="T478" s="62">
        <f>Table2[[#This Row],[cost per piece]]*Table2[[#This Row],[Total Rej. qty]]</f>
        <v>1600</v>
      </c>
      <c r="U478" s="62">
        <f>IFERROR(VLOOKUP(Table2[[#This Row],[Non Conformance]],'[2]New defect code '!$B$2:$C$129,2,0),0)</f>
        <v>3243</v>
      </c>
      <c r="V478" s="62">
        <v>71</v>
      </c>
      <c r="W478" s="62" t="str">
        <f>IFERROR(VLOOKUP(Table2[[#This Row],[Code4]],'[2]New Reason code'!$A$2:$D$77,2,0),0)</f>
        <v>Due to teeth Dent</v>
      </c>
      <c r="X478" s="62" t="str">
        <f>IFERROR(VLOOKUP(Table2[[#This Row],[Reason]],'[2]New Reason code'!$B$2:$D$77,2,0),0)</f>
        <v>Due to operator</v>
      </c>
      <c r="Y478" s="62" t="str">
        <f>IFERROR(VLOOKUP(Table2[[#This Row],[Rejection Identified at]],'[2]New Reason code'!$C$2:$D$77,2,0),0)</f>
        <v xml:space="preserve">infrastructure </v>
      </c>
    </row>
    <row r="479" spans="1:25" ht="20.25" customHeight="1">
      <c r="A479" s="50">
        <v>475</v>
      </c>
      <c r="B479" s="62">
        <v>23</v>
      </c>
      <c r="C479" s="62" t="str">
        <f>IFERROR(VLOOKUP(Table2[[#This Row],[Code]],'[2]New Machine sheet'!$A$1:$D$101,2,0),0)</f>
        <v>ACE-03</v>
      </c>
      <c r="D479" s="62" t="str">
        <f>IFERROR(VLOOKUP(Table2[[#This Row],[M/c No]],'[2]New Machine sheet'!$B$1:$D$101,2,0),0)</f>
        <v>Micromatic</v>
      </c>
      <c r="E479" s="62" t="str">
        <f>IFERROR(VLOOKUP(Table2[[#This Row],[M/c Name]],'[2]New Machine sheet'!$C$1:$D$101,2,0),0)</f>
        <v>Turning</v>
      </c>
      <c r="F479" s="62">
        <v>79</v>
      </c>
      <c r="G479" s="62">
        <f>IFERROR(VLOOKUP(Table2[[#This Row],[Code2]],'[2]New Machine sheet'!$F$2:$I$64,2,),0)</f>
        <v>2479</v>
      </c>
      <c r="H479" s="62" t="str">
        <f>IFERROR(VLOOKUP(Table2[[#This Row],[Code2]],'[2]New Machine sheet'!$F$2:$I$64,3,0),0)</f>
        <v>RE P1</v>
      </c>
      <c r="I479" s="62"/>
      <c r="J479" s="62">
        <v>70</v>
      </c>
      <c r="K479" s="62" t="str">
        <f>IFERROR(VLOOKUP(Table2[[#This Row],[Code3]],'[2]New defect code '!$A$2:$D$129,2,0),0)</f>
        <v>PCD R/O More</v>
      </c>
      <c r="L479" s="62" t="s">
        <v>214</v>
      </c>
      <c r="M479" s="56">
        <v>46266</v>
      </c>
      <c r="N479" s="62">
        <v>5</v>
      </c>
      <c r="O479" s="62"/>
      <c r="P479" s="62"/>
      <c r="Q479" s="62"/>
      <c r="R479" s="62">
        <f>SUBTOTAL(9,Table2[[#This Row],[1st]:[FQC]])</f>
        <v>5</v>
      </c>
      <c r="S479" s="62">
        <f>IFERROR(VLOOKUP(Table2[[#This Row],[Part No.]],'[2]New Machine sheet'!$G$2:$I$90,3,0),0)</f>
        <v>43.11</v>
      </c>
      <c r="T479" s="62">
        <f>Table2[[#This Row],[cost per piece]]*Table2[[#This Row],[Total Rej. qty]]</f>
        <v>215.55</v>
      </c>
      <c r="U479" s="62">
        <f>IFERROR(VLOOKUP(Table2[[#This Row],[Non Conformance]],'[2]New defect code '!$B$2:$C$129,2,0),0)</f>
        <v>3203</v>
      </c>
      <c r="V479" s="62">
        <v>21</v>
      </c>
      <c r="W479" s="62" t="str">
        <f>IFERROR(VLOOKUP(Table2[[#This Row],[Code4]],'[2]New Reason code'!$A$2:$D$77,2,0),0)</f>
        <v>During setup time</v>
      </c>
      <c r="X479" s="62" t="str">
        <f>IFERROR(VLOOKUP(Table2[[#This Row],[Reason]],'[2]New Reason code'!$B$2:$D$77,2,0),0)</f>
        <v xml:space="preserve">Due to Settup  </v>
      </c>
      <c r="Y479" s="62" t="str">
        <f>IFERROR(VLOOKUP(Table2[[#This Row],[Rejection Identified at]],'[2]New Reason code'!$C$2:$D$77,2,0),0)</f>
        <v>skill</v>
      </c>
    </row>
    <row r="480" spans="1:25" ht="20.25" customHeight="1">
      <c r="A480" s="60">
        <v>476</v>
      </c>
      <c r="B480" s="62">
        <v>23</v>
      </c>
      <c r="C480" s="62" t="str">
        <f>IFERROR(VLOOKUP(Table2[[#This Row],[Code]],'[2]New Machine sheet'!$A$1:$D$101,2,0),0)</f>
        <v>ACE-03</v>
      </c>
      <c r="D480" s="62" t="str">
        <f>IFERROR(VLOOKUP(Table2[[#This Row],[M/c No]],'[2]New Machine sheet'!$B$1:$D$101,2,0),0)</f>
        <v>Micromatic</v>
      </c>
      <c r="E480" s="62" t="str">
        <f>IFERROR(VLOOKUP(Table2[[#This Row],[M/c Name]],'[2]New Machine sheet'!$C$1:$D$101,2,0),0)</f>
        <v>Turning</v>
      </c>
      <c r="F480" s="62">
        <v>79</v>
      </c>
      <c r="G480" s="62">
        <f>IFERROR(VLOOKUP(Table2[[#This Row],[Code2]],'[2]New Machine sheet'!$F$2:$I$64,2,),0)</f>
        <v>2479</v>
      </c>
      <c r="H480" s="62" t="str">
        <f>IFERROR(VLOOKUP(Table2[[#This Row],[Code2]],'[2]New Machine sheet'!$F$2:$I$64,3,0),0)</f>
        <v>RE P1</v>
      </c>
      <c r="I480" s="62"/>
      <c r="J480" s="62">
        <v>93</v>
      </c>
      <c r="K480" s="62" t="str">
        <f>IFERROR(VLOOKUP(Table2[[#This Row],[Code3]],'[2]New defect code '!$A$2:$D$129,2,0),0)</f>
        <v>Thickness Under size</v>
      </c>
      <c r="L480" s="62" t="s">
        <v>214</v>
      </c>
      <c r="M480" s="56">
        <v>46266</v>
      </c>
      <c r="N480" s="62">
        <v>5</v>
      </c>
      <c r="O480" s="62"/>
      <c r="P480" s="62"/>
      <c r="Q480" s="62"/>
      <c r="R480" s="62">
        <f>SUBTOTAL(9,Table2[[#This Row],[1st]:[FQC]])</f>
        <v>5</v>
      </c>
      <c r="S480" s="62">
        <f>IFERROR(VLOOKUP(Table2[[#This Row],[Part No.]],'[2]New Machine sheet'!$G$2:$I$90,3,0),0)</f>
        <v>43.11</v>
      </c>
      <c r="T480" s="62">
        <f>Table2[[#This Row],[cost per piece]]*Table2[[#This Row],[Total Rej. qty]]</f>
        <v>215.55</v>
      </c>
      <c r="U480" s="62">
        <f>IFERROR(VLOOKUP(Table2[[#This Row],[Non Conformance]],'[2]New defect code '!$B$2:$C$129,2,0),0)</f>
        <v>3258</v>
      </c>
      <c r="V480" s="62">
        <v>64</v>
      </c>
      <c r="W480" s="62" t="str">
        <f>IFERROR(VLOOKUP(Table2[[#This Row],[Code4]],'[2]New Reason code'!$A$2:$D$77,2,0),0)</f>
        <v>Wrong correction</v>
      </c>
      <c r="X480" s="62" t="str">
        <f>IFERROR(VLOOKUP(Table2[[#This Row],[Reason]],'[2]New Reason code'!$B$2:$D$77,2,0),0)</f>
        <v>Due to operator</v>
      </c>
      <c r="Y480" s="62" t="str">
        <f>IFERROR(VLOOKUP(Table2[[#This Row],[Rejection Identified at]],'[2]New Reason code'!$C$2:$D$77,2,0),0)</f>
        <v xml:space="preserve">infrastructure </v>
      </c>
    </row>
    <row r="481" spans="1:25" ht="20.25" customHeight="1">
      <c r="A481" s="50">
        <v>477</v>
      </c>
      <c r="B481" s="62">
        <v>11</v>
      </c>
      <c r="C481" s="62" t="str">
        <f>IFERROR(VLOOKUP(Table2[[#This Row],[Code]],'[2]New Machine sheet'!$A$1:$D$101,2,0),0)</f>
        <v>282-11</v>
      </c>
      <c r="D481" s="62" t="str">
        <f>IFERROR(VLOOKUP(Table2[[#This Row],[M/c No]],'[2]New Machine sheet'!$B$1:$D$101,2,0),0)</f>
        <v>Mazak</v>
      </c>
      <c r="E481" s="62" t="str">
        <f>IFERROR(VLOOKUP(Table2[[#This Row],[M/c Name]],'[2]New Machine sheet'!$C$1:$D$101,2,0),0)</f>
        <v>Turning</v>
      </c>
      <c r="F481" s="62">
        <v>155</v>
      </c>
      <c r="G481" s="62">
        <f>IFERROR(VLOOKUP(Table2[[#This Row],[Code2]],'[2]New Machine sheet'!$F$2:$I$64,2,),0)</f>
        <v>24155</v>
      </c>
      <c r="H481" s="62" t="str">
        <f>IFERROR(VLOOKUP(Table2[[#This Row],[Code2]],'[2]New Machine sheet'!$F$2:$I$64,3,0),0)</f>
        <v>RE J1</v>
      </c>
      <c r="I481" s="62"/>
      <c r="J481" s="62">
        <v>93</v>
      </c>
      <c r="K481" s="62" t="str">
        <f>IFERROR(VLOOKUP(Table2[[#This Row],[Code3]],'[2]New defect code '!$A$2:$D$129,2,0),0)</f>
        <v>Thickness Under size</v>
      </c>
      <c r="L481" s="62" t="s">
        <v>214</v>
      </c>
      <c r="M481" s="56">
        <v>46266</v>
      </c>
      <c r="N481" s="62">
        <v>5</v>
      </c>
      <c r="O481" s="62"/>
      <c r="P481" s="62"/>
      <c r="Q481" s="62"/>
      <c r="R481" s="62">
        <f>SUBTOTAL(9,Table2[[#This Row],[1st]:[FQC]])</f>
        <v>5</v>
      </c>
      <c r="S481" s="62">
        <f>IFERROR(VLOOKUP(Table2[[#This Row],[Part No.]],'[2]New Machine sheet'!$G$2:$I$90,3,0),0)</f>
        <v>107.67</v>
      </c>
      <c r="T481" s="62">
        <f>Table2[[#This Row],[cost per piece]]*Table2[[#This Row],[Total Rej. qty]]</f>
        <v>538.35</v>
      </c>
      <c r="U481" s="62">
        <f>IFERROR(VLOOKUP(Table2[[#This Row],[Non Conformance]],'[2]New defect code '!$B$2:$C$129,2,0),0)</f>
        <v>3258</v>
      </c>
      <c r="V481" s="62">
        <v>19</v>
      </c>
      <c r="W481" s="62" t="str">
        <f>IFERROR(VLOOKUP(Table2[[#This Row],[Code4]],'[2]New Reason code'!$A$2:$D$77,2,0),0)</f>
        <v>During Rework time</v>
      </c>
      <c r="X481" s="62" t="str">
        <f>IFERROR(VLOOKUP(Table2[[#This Row],[Reason]],'[2]New Reason code'!$B$2:$D$77,2,0),0)</f>
        <v>Due to operator</v>
      </c>
      <c r="Y481" s="62" t="str">
        <f>IFERROR(VLOOKUP(Table2[[#This Row],[Rejection Identified at]],'[2]New Reason code'!$C$2:$D$77,2,0),0)</f>
        <v xml:space="preserve">infrastructure </v>
      </c>
    </row>
    <row r="482" spans="1:25" ht="20.25" customHeight="1">
      <c r="A482" s="50">
        <v>478</v>
      </c>
      <c r="B482" s="62">
        <v>43</v>
      </c>
      <c r="C482" s="62" t="str">
        <f>IFERROR(VLOOKUP(Table2[[#This Row],[Code]],'[2]New Machine sheet'!$A$1:$D$101,2,0),0)</f>
        <v>252-05</v>
      </c>
      <c r="D482" s="62" t="str">
        <f>IFERROR(VLOOKUP(Table2[[#This Row],[M/c No]],'[2]New Machine sheet'!$B$1:$D$101,2,0),0)</f>
        <v>VMC</v>
      </c>
      <c r="E482" s="62" t="str">
        <f>IFERROR(VLOOKUP(Table2[[#This Row],[M/c Name]],'[2]New Machine sheet'!$C$1:$D$101,2,0),0)</f>
        <v>VMC</v>
      </c>
      <c r="F482" s="62">
        <v>155</v>
      </c>
      <c r="G482" s="62">
        <f>IFERROR(VLOOKUP(Table2[[#This Row],[Code2]],'[2]New Machine sheet'!$F$2:$I$64,2,),0)</f>
        <v>24155</v>
      </c>
      <c r="H482" s="62" t="str">
        <f>IFERROR(VLOOKUP(Table2[[#This Row],[Code2]],'[2]New Machine sheet'!$F$2:$I$64,3,0),0)</f>
        <v>RE J1</v>
      </c>
      <c r="I482" s="62"/>
      <c r="J482" s="62">
        <v>48</v>
      </c>
      <c r="K482" s="62" t="str">
        <f>IFERROR(VLOOKUP(Table2[[#This Row],[Code3]],'[2]New defect code '!$A$2:$D$129,2,0),0)</f>
        <v>Heavy Dot Punching</v>
      </c>
      <c r="L482" s="62" t="s">
        <v>214</v>
      </c>
      <c r="M482" s="56">
        <v>46266</v>
      </c>
      <c r="N482" s="62">
        <v>5</v>
      </c>
      <c r="O482" s="62"/>
      <c r="P482" s="62"/>
      <c r="Q482" s="62"/>
      <c r="R482" s="62">
        <f>SUBTOTAL(9,Table2[[#This Row],[1st]:[FQC]])</f>
        <v>5</v>
      </c>
      <c r="S482" s="62">
        <f>IFERROR(VLOOKUP(Table2[[#This Row],[Part No.]],'[2]New Machine sheet'!$G$2:$I$90,3,0),0)</f>
        <v>107.67</v>
      </c>
      <c r="T482" s="62">
        <f>Table2[[#This Row],[cost per piece]]*Table2[[#This Row],[Total Rej. qty]]</f>
        <v>538.35</v>
      </c>
      <c r="U482" s="62">
        <f>IFERROR(VLOOKUP(Table2[[#This Row],[Non Conformance]],'[2]New defect code '!$B$2:$C$129,2,0),0)</f>
        <v>3246</v>
      </c>
      <c r="V482" s="62">
        <v>19</v>
      </c>
      <c r="W482" s="62" t="str">
        <f>IFERROR(VLOOKUP(Table2[[#This Row],[Code4]],'[2]New Reason code'!$A$2:$D$77,2,0),0)</f>
        <v>During Rework time</v>
      </c>
      <c r="X482" s="62" t="str">
        <f>IFERROR(VLOOKUP(Table2[[#This Row],[Reason]],'[2]New Reason code'!$B$2:$D$77,2,0),0)</f>
        <v>Due to operator</v>
      </c>
      <c r="Y482" s="62" t="str">
        <f>IFERROR(VLOOKUP(Table2[[#This Row],[Rejection Identified at]],'[2]New Reason code'!$C$2:$D$77,2,0),0)</f>
        <v xml:space="preserve">infrastructure </v>
      </c>
    </row>
    <row r="483" spans="1:25" ht="20.25" customHeight="1">
      <c r="A483" s="60">
        <v>479</v>
      </c>
      <c r="B483" s="62"/>
      <c r="C483" s="62" t="s">
        <v>118</v>
      </c>
      <c r="D483" s="62" t="s">
        <v>117</v>
      </c>
      <c r="E483" s="62" t="str">
        <f>IFERROR(VLOOKUP(Table2[[#This Row],[M/c Name]],'[2]New Machine sheet'!$C$1:$D$101,2,0),0)</f>
        <v>Turning</v>
      </c>
      <c r="F483" s="62">
        <v>127</v>
      </c>
      <c r="G483" s="62">
        <f>IFERROR(VLOOKUP(Table2[[#This Row],[Code2]],'[2]New Machine sheet'!$F$2:$I$64,2,),0)</f>
        <v>24127</v>
      </c>
      <c r="H483" s="62" t="str">
        <f>IFERROR(VLOOKUP(Table2[[#This Row],[Code2]],'[2]New Machine sheet'!$F$2:$I$64,3,0),0)</f>
        <v>RE J1</v>
      </c>
      <c r="I483" s="62" t="s">
        <v>219</v>
      </c>
      <c r="J483" s="62">
        <v>66</v>
      </c>
      <c r="K483" s="62" t="str">
        <f>IFERROR(VLOOKUP(Table2[[#This Row],[Code3]],'[2]New defect code '!$A$2:$D$129,2,0),0)</f>
        <v>OD Under Size</v>
      </c>
      <c r="L483" s="62" t="s">
        <v>214</v>
      </c>
      <c r="M483" s="56">
        <v>46266</v>
      </c>
      <c r="N483" s="62"/>
      <c r="O483" s="62">
        <v>2</v>
      </c>
      <c r="P483" s="62"/>
      <c r="Q483" s="62"/>
      <c r="R483" s="62">
        <f>SUBTOTAL(9,Table2[[#This Row],[1st]:[FQC]])</f>
        <v>2</v>
      </c>
      <c r="S483" s="62">
        <f>IFERROR(VLOOKUP(Table2[[#This Row],[Part No.]],'[2]New Machine sheet'!$G$2:$I$90,3,0),0)</f>
        <v>262.81200000000001</v>
      </c>
      <c r="T483" s="62">
        <f>Table2[[#This Row],[cost per piece]]*Table2[[#This Row],[Total Rej. qty]]</f>
        <v>525.62400000000002</v>
      </c>
      <c r="U483" s="62">
        <f>IFERROR(VLOOKUP(Table2[[#This Row],[Non Conformance]],'[2]New defect code '!$B$2:$C$129,2,0),0)</f>
        <v>3242</v>
      </c>
      <c r="V483" s="62">
        <v>12</v>
      </c>
      <c r="W483" s="62" t="str">
        <f>IFERROR(VLOOKUP(Table2[[#This Row],[Code4]],'[2]New Reason code'!$A$2:$D$77,2,0),0)</f>
        <v>Double loading</v>
      </c>
      <c r="X483" s="62" t="str">
        <f>IFERROR(VLOOKUP(Table2[[#This Row],[Reason]],'[2]New Reason code'!$B$2:$D$77,2,0),0)</f>
        <v>Due to operator</v>
      </c>
      <c r="Y483" s="62" t="str">
        <f>IFERROR(VLOOKUP(Table2[[#This Row],[Rejection Identified at]],'[2]New Reason code'!$C$2:$D$77,2,0),0)</f>
        <v xml:space="preserve">infrastructure </v>
      </c>
    </row>
    <row r="484" spans="1:25" ht="20.25" customHeight="1">
      <c r="A484" s="50">
        <v>480</v>
      </c>
      <c r="B484" s="62">
        <v>45</v>
      </c>
      <c r="C484" s="62" t="str">
        <f>IFERROR(VLOOKUP(Table2[[#This Row],[Code]],'[2]New Machine sheet'!$A$1:$D$101,2,0),0)</f>
        <v>MURATEC-01</v>
      </c>
      <c r="D484" s="62" t="str">
        <f>IFERROR(VLOOKUP(Table2[[#This Row],[M/c No]],'[2]New Machine sheet'!$B$1:$D$101,2,0),0)</f>
        <v>MURATEC</v>
      </c>
      <c r="E484" s="62" t="str">
        <f>IFERROR(VLOOKUP(Table2[[#This Row],[M/c Name]],'[2]New Machine sheet'!$C$1:$D$101,2,0),0)</f>
        <v xml:space="preserve">turning </v>
      </c>
      <c r="F484" s="62">
        <v>122</v>
      </c>
      <c r="G484" s="62">
        <f>IFERROR(VLOOKUP(Table2[[#This Row],[Code2]],'[2]New Machine sheet'!$F$2:$I$64,2,),0)</f>
        <v>24122</v>
      </c>
      <c r="H484" s="62" t="str">
        <f>IFERROR(VLOOKUP(Table2[[#This Row],[Code2]],'[2]New Machine sheet'!$F$2:$I$64,3,0),0)</f>
        <v>RE J1</v>
      </c>
      <c r="I484" s="62" t="s">
        <v>146</v>
      </c>
      <c r="J484" s="62">
        <v>66</v>
      </c>
      <c r="K484" s="62" t="str">
        <f>IFERROR(VLOOKUP(Table2[[#This Row],[Code3]],'[2]New defect code '!$A$2:$D$129,2,0),0)</f>
        <v>OD Under Size</v>
      </c>
      <c r="L484" s="62" t="s">
        <v>214</v>
      </c>
      <c r="M484" s="56">
        <v>46266</v>
      </c>
      <c r="N484" s="62"/>
      <c r="O484" s="62">
        <v>2</v>
      </c>
      <c r="P484" s="62"/>
      <c r="Q484" s="62"/>
      <c r="R484" s="62">
        <f>SUBTOTAL(9,Table2[[#This Row],[1st]:[FQC]])</f>
        <v>2</v>
      </c>
      <c r="S484" s="62">
        <f>IFERROR(VLOOKUP(Table2[[#This Row],[Part No.]],'[2]New Machine sheet'!$G$2:$I$90,3,0),0)</f>
        <v>335.39977528089889</v>
      </c>
      <c r="T484" s="62">
        <f>Table2[[#This Row],[cost per piece]]*Table2[[#This Row],[Total Rej. qty]]</f>
        <v>670.79955056179779</v>
      </c>
      <c r="U484" s="62">
        <f>IFERROR(VLOOKUP(Table2[[#This Row],[Non Conformance]],'[2]New defect code '!$B$2:$C$129,2,0),0)</f>
        <v>3242</v>
      </c>
      <c r="V484" s="62">
        <v>18</v>
      </c>
      <c r="W484" s="62" t="str">
        <f>IFERROR(VLOOKUP(Table2[[#This Row],[Code4]],'[2]New Reason code'!$A$2:$D$77,2,0),0)</f>
        <v>During insert change</v>
      </c>
      <c r="X484" s="62" t="str">
        <f>IFERROR(VLOOKUP(Table2[[#This Row],[Reason]],'[2]New Reason code'!$B$2:$D$77,2,0),0)</f>
        <v xml:space="preserve">Due to Settup  </v>
      </c>
      <c r="Y484" s="62" t="str">
        <f>IFERROR(VLOOKUP(Table2[[#This Row],[Rejection Identified at]],'[2]New Reason code'!$C$2:$D$77,2,0),0)</f>
        <v>skill</v>
      </c>
    </row>
    <row r="485" spans="1:25" ht="20.25" customHeight="1">
      <c r="A485" s="50">
        <v>481</v>
      </c>
      <c r="B485" s="62">
        <v>40</v>
      </c>
      <c r="C485" s="62" t="str">
        <f>IFERROR(VLOOKUP(Table2[[#This Row],[Code]],'[2]New Machine sheet'!$A$1:$D$101,2,0),0)</f>
        <v>ACE-20</v>
      </c>
      <c r="D485" s="62" t="str">
        <f>IFERROR(VLOOKUP(Table2[[#This Row],[M/c No]],'[2]New Machine sheet'!$B$1:$D$101,2,0),0)</f>
        <v>Micromatic</v>
      </c>
      <c r="E485" s="62" t="str">
        <f>IFERROR(VLOOKUP(Table2[[#This Row],[M/c Name]],'[2]New Machine sheet'!$C$1:$D$101,2,0),0)</f>
        <v>Turning</v>
      </c>
      <c r="F485" s="62">
        <v>122</v>
      </c>
      <c r="G485" s="62">
        <f>IFERROR(VLOOKUP(Table2[[#This Row],[Code2]],'[2]New Machine sheet'!$F$2:$I$64,2,),0)</f>
        <v>24122</v>
      </c>
      <c r="H485" s="62" t="str">
        <f>IFERROR(VLOOKUP(Table2[[#This Row],[Code2]],'[2]New Machine sheet'!$F$2:$I$64,3,0),0)</f>
        <v>RE J1</v>
      </c>
      <c r="I485" s="62" t="s">
        <v>169</v>
      </c>
      <c r="J485" s="62">
        <v>66</v>
      </c>
      <c r="K485" s="62" t="str">
        <f>IFERROR(VLOOKUP(Table2[[#This Row],[Code3]],'[2]New defect code '!$A$2:$D$129,2,0),0)</f>
        <v>OD Under Size</v>
      </c>
      <c r="L485" s="62" t="s">
        <v>214</v>
      </c>
      <c r="M485" s="56">
        <v>46266</v>
      </c>
      <c r="N485" s="62"/>
      <c r="O485" s="62">
        <v>1</v>
      </c>
      <c r="P485" s="62"/>
      <c r="Q485" s="62"/>
      <c r="R485" s="62">
        <f>SUBTOTAL(9,Table2[[#This Row],[1st]:[FQC]])</f>
        <v>1</v>
      </c>
      <c r="S485" s="62">
        <f>IFERROR(VLOOKUP(Table2[[#This Row],[Part No.]],'[2]New Machine sheet'!$G$2:$I$90,3,0),0)</f>
        <v>335.39977528089889</v>
      </c>
      <c r="T485" s="62">
        <f>Table2[[#This Row],[cost per piece]]*Table2[[#This Row],[Total Rej. qty]]</f>
        <v>335.39977528089889</v>
      </c>
      <c r="U485" s="62">
        <f>IFERROR(VLOOKUP(Table2[[#This Row],[Non Conformance]],'[2]New defect code '!$B$2:$C$129,2,0),0)</f>
        <v>3242</v>
      </c>
      <c r="V485" s="62">
        <v>18</v>
      </c>
      <c r="W485" s="62" t="str">
        <f>IFERROR(VLOOKUP(Table2[[#This Row],[Code4]],'[2]New Reason code'!$A$2:$D$77,2,0),0)</f>
        <v>During insert change</v>
      </c>
      <c r="X485" s="62" t="str">
        <f>IFERROR(VLOOKUP(Table2[[#This Row],[Reason]],'[2]New Reason code'!$B$2:$D$77,2,0),0)</f>
        <v xml:space="preserve">Due to Settup  </v>
      </c>
      <c r="Y485" s="62" t="str">
        <f>IFERROR(VLOOKUP(Table2[[#This Row],[Rejection Identified at]],'[2]New Reason code'!$C$2:$D$77,2,0),0)</f>
        <v>skill</v>
      </c>
    </row>
    <row r="486" spans="1:25" ht="20.25" customHeight="1">
      <c r="A486" s="60">
        <v>482</v>
      </c>
      <c r="B486" s="62"/>
      <c r="C486" s="62" t="s">
        <v>116</v>
      </c>
      <c r="D486" s="62" t="s">
        <v>117</v>
      </c>
      <c r="E486" s="62" t="str">
        <f>IFERROR(VLOOKUP(Table2[[#This Row],[M/c Name]],'[2]New Machine sheet'!$C$1:$D$101,2,0),0)</f>
        <v>Turning</v>
      </c>
      <c r="F486" s="62">
        <v>122</v>
      </c>
      <c r="G486" s="62">
        <f>IFERROR(VLOOKUP(Table2[[#This Row],[Code2]],'[2]New Machine sheet'!$F$2:$I$64,2,),0)</f>
        <v>24122</v>
      </c>
      <c r="H486" s="62" t="str">
        <f>IFERROR(VLOOKUP(Table2[[#This Row],[Code2]],'[2]New Machine sheet'!$F$2:$I$64,3,0),0)</f>
        <v>RE J1</v>
      </c>
      <c r="I486" s="62" t="s">
        <v>136</v>
      </c>
      <c r="J486" s="62">
        <v>93</v>
      </c>
      <c r="K486" s="62" t="str">
        <f>IFERROR(VLOOKUP(Table2[[#This Row],[Code3]],'[2]New defect code '!$A$2:$D$129,2,0),0)</f>
        <v>Thickness Under size</v>
      </c>
      <c r="L486" s="62" t="s">
        <v>214</v>
      </c>
      <c r="M486" s="56">
        <v>46266</v>
      </c>
      <c r="N486" s="62"/>
      <c r="O486" s="62">
        <v>1</v>
      </c>
      <c r="P486" s="62"/>
      <c r="Q486" s="62"/>
      <c r="R486" s="62">
        <f>SUBTOTAL(9,Table2[[#This Row],[1st]:[FQC]])</f>
        <v>1</v>
      </c>
      <c r="S486" s="62">
        <f>IFERROR(VLOOKUP(Table2[[#This Row],[Part No.]],'[2]New Machine sheet'!$G$2:$I$90,3,0),0)</f>
        <v>335.39977528089889</v>
      </c>
      <c r="T486" s="62">
        <f>Table2[[#This Row],[cost per piece]]*Table2[[#This Row],[Total Rej. qty]]</f>
        <v>335.39977528089889</v>
      </c>
      <c r="U486" s="62">
        <f>IFERROR(VLOOKUP(Table2[[#This Row],[Non Conformance]],'[2]New defect code '!$B$2:$C$129,2,0),0)</f>
        <v>3258</v>
      </c>
      <c r="V486" s="62">
        <v>18</v>
      </c>
      <c r="W486" s="62" t="str">
        <f>IFERROR(VLOOKUP(Table2[[#This Row],[Code4]],'[2]New Reason code'!$A$2:$D$77,2,0),0)</f>
        <v>During insert change</v>
      </c>
      <c r="X486" s="62" t="str">
        <f>IFERROR(VLOOKUP(Table2[[#This Row],[Reason]],'[2]New Reason code'!$B$2:$D$77,2,0),0)</f>
        <v xml:space="preserve">Due to Settup  </v>
      </c>
      <c r="Y486" s="62" t="str">
        <f>IFERROR(VLOOKUP(Table2[[#This Row],[Rejection Identified at]],'[2]New Reason code'!$C$2:$D$77,2,0),0)</f>
        <v>skill</v>
      </c>
    </row>
    <row r="487" spans="1:25" ht="20.25" customHeight="1">
      <c r="A487" s="50">
        <v>483</v>
      </c>
      <c r="B487" s="62">
        <v>44</v>
      </c>
      <c r="C487" s="62" t="str">
        <f>IFERROR(VLOOKUP(Table2[[#This Row],[Code]],'[2]New Machine sheet'!$A$1:$D$101,2,0),0)</f>
        <v>LT20-NEW</v>
      </c>
      <c r="D487" s="62" t="str">
        <f>IFERROR(VLOOKUP(Table2[[#This Row],[M/c No]],'[2]New Machine sheet'!$B$1:$D$101,2,0),0)</f>
        <v>ACE</v>
      </c>
      <c r="E487" s="62" t="str">
        <f>IFERROR(VLOOKUP(Table2[[#This Row],[M/c Name]],'[2]New Machine sheet'!$C$1:$D$101,2,0),0)</f>
        <v xml:space="preserve">turning </v>
      </c>
      <c r="F487" s="62">
        <v>78</v>
      </c>
      <c r="G487" s="62">
        <f>IFERROR(VLOOKUP(Table2[[#This Row],[Code2]],'[2]New Machine sheet'!$F$2:$I$64,2,),0)</f>
        <v>2478</v>
      </c>
      <c r="H487" s="62" t="str">
        <f>IFERROR(VLOOKUP(Table2[[#This Row],[Code2]],'[2]New Machine sheet'!$F$2:$I$64,3,0),0)</f>
        <v>RE P1</v>
      </c>
      <c r="I487" s="62" t="s">
        <v>169</v>
      </c>
      <c r="J487" s="62">
        <v>5</v>
      </c>
      <c r="K487" s="62" t="str">
        <f>IFERROR(VLOOKUP(Table2[[#This Row],[Code3]],'[2]New defect code '!$A$2:$D$129,2,0),0)</f>
        <v>Bore Over size</v>
      </c>
      <c r="L487" s="62" t="s">
        <v>214</v>
      </c>
      <c r="M487" s="56">
        <v>46266</v>
      </c>
      <c r="N487" s="62"/>
      <c r="O487" s="62">
        <v>1</v>
      </c>
      <c r="P487" s="62"/>
      <c r="Q487" s="62"/>
      <c r="R487" s="62">
        <f>SUBTOTAL(9,Table2[[#This Row],[1st]:[FQC]])</f>
        <v>1</v>
      </c>
      <c r="S487" s="62">
        <f>IFERROR(VLOOKUP(Table2[[#This Row],[Part No.]],'[2]New Machine sheet'!$G$2:$I$90,3,0),0)</f>
        <v>468.06</v>
      </c>
      <c r="T487" s="62">
        <f>Table2[[#This Row],[cost per piece]]*Table2[[#This Row],[Total Rej. qty]]</f>
        <v>468.06</v>
      </c>
      <c r="U487" s="62">
        <f>IFERROR(VLOOKUP(Table2[[#This Row],[Non Conformance]],'[2]New defect code '!$B$2:$C$129,2,0),0)</f>
        <v>3243</v>
      </c>
      <c r="V487" s="62">
        <v>18</v>
      </c>
      <c r="W487" s="62" t="str">
        <f>IFERROR(VLOOKUP(Table2[[#This Row],[Code4]],'[2]New Reason code'!$A$2:$D$77,2,0),0)</f>
        <v>During insert change</v>
      </c>
      <c r="X487" s="62" t="str">
        <f>IFERROR(VLOOKUP(Table2[[#This Row],[Reason]],'[2]New Reason code'!$B$2:$D$77,2,0),0)</f>
        <v xml:space="preserve">Due to Settup  </v>
      </c>
      <c r="Y487" s="62" t="str">
        <f>IFERROR(VLOOKUP(Table2[[#This Row],[Rejection Identified at]],'[2]New Reason code'!$C$2:$D$77,2,0),0)</f>
        <v>skill</v>
      </c>
    </row>
    <row r="488" spans="1:25" ht="20.25" customHeight="1">
      <c r="A488" s="50">
        <v>484</v>
      </c>
      <c r="B488" s="62">
        <v>19</v>
      </c>
      <c r="C488" s="62" t="str">
        <f>IFERROR(VLOOKUP(Table2[[#This Row],[Code]],'[2]New Machine sheet'!$A$1:$D$101,2,0),0)</f>
        <v>282-19</v>
      </c>
      <c r="D488" s="62" t="str">
        <f>IFERROR(VLOOKUP(Table2[[#This Row],[M/c No]],'[2]New Machine sheet'!$B$1:$D$101,2,0),0)</f>
        <v>Mazak</v>
      </c>
      <c r="E488" s="62" t="str">
        <f>IFERROR(VLOOKUP(Table2[[#This Row],[M/c Name]],'[2]New Machine sheet'!$C$1:$D$101,2,0),0)</f>
        <v>Turning</v>
      </c>
      <c r="F488" s="62">
        <v>172</v>
      </c>
      <c r="G488" s="62">
        <f>IFERROR(VLOOKUP(Table2[[#This Row],[Code2]],'[2]New Machine sheet'!$F$2:$I$64,2,),0)</f>
        <v>24172</v>
      </c>
      <c r="H488" s="62" t="str">
        <f>IFERROR(VLOOKUP(Table2[[#This Row],[Code2]],'[2]New Machine sheet'!$F$2:$I$64,3,0),0)</f>
        <v>RE J1</v>
      </c>
      <c r="I488" s="62"/>
      <c r="J488" s="62">
        <v>80</v>
      </c>
      <c r="K488" s="62" t="str">
        <f>IFERROR(VLOOKUP(Table2[[#This Row],[Code3]],'[2]New defect code '!$A$2:$D$129,2,0),0)</f>
        <v xml:space="preserve">Rust </v>
      </c>
      <c r="L488" s="62" t="s">
        <v>214</v>
      </c>
      <c r="M488" s="56">
        <v>46266</v>
      </c>
      <c r="N488" s="62"/>
      <c r="O488" s="62">
        <v>1</v>
      </c>
      <c r="P488" s="62"/>
      <c r="Q488" s="62"/>
      <c r="R488" s="62">
        <f>SUBTOTAL(9,Table2[[#This Row],[1st]:[FQC]])</f>
        <v>1</v>
      </c>
      <c r="S488" s="62">
        <f>IFERROR(VLOOKUP(Table2[[#This Row],[Part No.]],'[2]New Machine sheet'!$G$2:$I$90,3,0),0)</f>
        <v>348.33</v>
      </c>
      <c r="T488" s="62">
        <f>Table2[[#This Row],[cost per piece]]*Table2[[#This Row],[Total Rej. qty]]</f>
        <v>348.33</v>
      </c>
      <c r="U488" s="62">
        <f>IFERROR(VLOOKUP(Table2[[#This Row],[Non Conformance]],'[2]New defect code '!$B$2:$C$129,2,0),0)</f>
        <v>0</v>
      </c>
      <c r="V488" s="62">
        <v>15</v>
      </c>
      <c r="W488" s="62" t="str">
        <f>IFERROR(VLOOKUP(Table2[[#This Row],[Code4]],'[2]New Reason code'!$A$2:$D$77,2,0),0)</f>
        <v>During ACMA (5S) time</v>
      </c>
      <c r="X488" s="62" t="str">
        <f>IFERROR(VLOOKUP(Table2[[#This Row],[Reason]],'[2]New Reason code'!$B$2:$D$77,2,0),0)</f>
        <v>Prod Declared</v>
      </c>
      <c r="Y488" s="62" t="str">
        <f>IFERROR(VLOOKUP(Table2[[#This Row],[Rejection Identified at]],'[2]New Reason code'!$C$2:$D$77,2,0),0)</f>
        <v>Process Issue</v>
      </c>
    </row>
    <row r="489" spans="1:25" ht="20.25" customHeight="1">
      <c r="A489" s="60">
        <v>485</v>
      </c>
      <c r="B489" s="62">
        <v>12</v>
      </c>
      <c r="C489" s="62" t="str">
        <f>IFERROR(VLOOKUP(Table2[[#This Row],[Code]],'[2]New Machine sheet'!$A$1:$D$101,2,0),0)</f>
        <v>282-12</v>
      </c>
      <c r="D489" s="62" t="str">
        <f>IFERROR(VLOOKUP(Table2[[#This Row],[M/c No]],'[2]New Machine sheet'!$B$1:$D$101,2,0),0)</f>
        <v>Mazak</v>
      </c>
      <c r="E489" s="62" t="str">
        <f>IFERROR(VLOOKUP(Table2[[#This Row],[M/c Name]],'[2]New Machine sheet'!$C$1:$D$101,2,0),0)</f>
        <v>Turning</v>
      </c>
      <c r="F489" s="62">
        <v>73</v>
      </c>
      <c r="G489" s="62">
        <f>IFERROR(VLOOKUP(Table2[[#This Row],[Code2]],'[2]New Machine sheet'!$F$2:$I$64,2,),0)</f>
        <v>2473</v>
      </c>
      <c r="H489" s="62" t="str">
        <f>IFERROR(VLOOKUP(Table2[[#This Row],[Code2]],'[2]New Machine sheet'!$F$2:$I$64,3,0),0)</f>
        <v>RE P1</v>
      </c>
      <c r="I489" s="62" t="s">
        <v>127</v>
      </c>
      <c r="J489" s="62">
        <v>3</v>
      </c>
      <c r="K489" s="62" t="str">
        <f>IFERROR(VLOOKUP(Table2[[#This Row],[Code3]],'[2]New defect code '!$A$2:$D$129,2,0),0)</f>
        <v>Bore damage</v>
      </c>
      <c r="L489" s="62" t="s">
        <v>214</v>
      </c>
      <c r="M489" s="56">
        <v>46266</v>
      </c>
      <c r="N489" s="62"/>
      <c r="O489" s="62">
        <v>2</v>
      </c>
      <c r="P489" s="62"/>
      <c r="Q489" s="62"/>
      <c r="R489" s="62">
        <f>SUBTOTAL(9,Table2[[#This Row],[1st]:[FQC]])</f>
        <v>2</v>
      </c>
      <c r="S489" s="62">
        <f>IFERROR(VLOOKUP(Table2[[#This Row],[Part No.]],'[2]New Machine sheet'!$G$2:$I$90,3,0),0)</f>
        <v>110.76</v>
      </c>
      <c r="T489" s="62">
        <f>Table2[[#This Row],[cost per piece]]*Table2[[#This Row],[Total Rej. qty]]</f>
        <v>221.52</v>
      </c>
      <c r="U489" s="62">
        <f>IFERROR(VLOOKUP(Table2[[#This Row],[Non Conformance]],'[2]New defect code '!$B$2:$C$129,2,0),0)</f>
        <v>0</v>
      </c>
      <c r="V489" s="62">
        <v>66</v>
      </c>
      <c r="W489" s="62" t="str">
        <f>IFERROR(VLOOKUP(Table2[[#This Row],[Code4]],'[2]New Reason code'!$A$2:$D$77,2,0),0)</f>
        <v>Wrong Loading</v>
      </c>
      <c r="X489" s="62" t="str">
        <f>IFERROR(VLOOKUP(Table2[[#This Row],[Reason]],'[2]New Reason code'!$B$2:$D$77,2,0),0)</f>
        <v>Due to operator</v>
      </c>
      <c r="Y489" s="62" t="str">
        <f>IFERROR(VLOOKUP(Table2[[#This Row],[Rejection Identified at]],'[2]New Reason code'!$C$2:$D$77,2,0),0)</f>
        <v xml:space="preserve">infrastructure </v>
      </c>
    </row>
    <row r="490" spans="1:25" ht="20.25" customHeight="1">
      <c r="A490" s="50">
        <v>486</v>
      </c>
      <c r="B490" s="62">
        <v>41</v>
      </c>
      <c r="C490" s="62" t="str">
        <f>IFERROR(VLOOKUP(Table2[[#This Row],[Code]],'[2]New Machine sheet'!$A$1:$D$101,2,0),0)</f>
        <v>252-03</v>
      </c>
      <c r="D490" s="62" t="str">
        <f>IFERROR(VLOOKUP(Table2[[#This Row],[M/c No]],'[2]New Machine sheet'!$B$1:$D$101,2,0),0)</f>
        <v>VMC</v>
      </c>
      <c r="E490" s="62" t="str">
        <f>IFERROR(VLOOKUP(Table2[[#This Row],[M/c Name]],'[2]New Machine sheet'!$C$1:$D$101,2,0),0)</f>
        <v>VMC</v>
      </c>
      <c r="F490" s="62">
        <v>155</v>
      </c>
      <c r="G490" s="62">
        <f>IFERROR(VLOOKUP(Table2[[#This Row],[Code2]],'[2]New Machine sheet'!$F$2:$I$64,2,),0)</f>
        <v>24155</v>
      </c>
      <c r="H490" s="62" t="str">
        <f>IFERROR(VLOOKUP(Table2[[#This Row],[Code2]],'[2]New Machine sheet'!$F$2:$I$64,3,0),0)</f>
        <v>RE J1</v>
      </c>
      <c r="I490" s="62" t="s">
        <v>182</v>
      </c>
      <c r="J490" s="62">
        <v>72</v>
      </c>
      <c r="K490" s="62" t="str">
        <f>IFERROR(VLOOKUP(Table2[[#This Row],[Code3]],'[2]New defect code '!$A$2:$D$129,2,0),0)</f>
        <v xml:space="preserve">PG No Go pass </v>
      </c>
      <c r="L490" s="62" t="s">
        <v>214</v>
      </c>
      <c r="M490" s="56">
        <v>46266</v>
      </c>
      <c r="N490" s="62"/>
      <c r="O490" s="62">
        <v>2</v>
      </c>
      <c r="P490" s="62"/>
      <c r="Q490" s="62"/>
      <c r="R490" s="62">
        <f>SUBTOTAL(9,Table2[[#This Row],[1st]:[FQC]])</f>
        <v>2</v>
      </c>
      <c r="S490" s="62">
        <f>IFERROR(VLOOKUP(Table2[[#This Row],[Part No.]],'[2]New Machine sheet'!$G$2:$I$90,3,0),0)</f>
        <v>107.67</v>
      </c>
      <c r="T490" s="62">
        <f>Table2[[#This Row],[cost per piece]]*Table2[[#This Row],[Total Rej. qty]]</f>
        <v>215.34</v>
      </c>
      <c r="U490" s="62">
        <f>IFERROR(VLOOKUP(Table2[[#This Row],[Non Conformance]],'[2]New defect code '!$B$2:$C$129,2,0),0)</f>
        <v>0</v>
      </c>
      <c r="V490" s="62">
        <v>22</v>
      </c>
      <c r="W490" s="62" t="str">
        <f>IFERROR(VLOOKUP(Table2[[#This Row],[Code4]],'[2]New Reason code'!$A$2:$D$77,2,0),0)</f>
        <v>during tool change</v>
      </c>
      <c r="X490" s="62" t="str">
        <f>IFERROR(VLOOKUP(Table2[[#This Row],[Reason]],'[2]New Reason code'!$B$2:$D$77,2,0),0)</f>
        <v>Prod Declared</v>
      </c>
      <c r="Y490" s="62" t="str">
        <f>IFERROR(VLOOKUP(Table2[[#This Row],[Rejection Identified at]],'[2]New Reason code'!$C$2:$D$77,2,0),0)</f>
        <v>Process Issue</v>
      </c>
    </row>
    <row r="491" spans="1:25" ht="20.25" customHeight="1">
      <c r="A491" s="50">
        <v>487</v>
      </c>
      <c r="B491" s="62">
        <v>8</v>
      </c>
      <c r="C491" s="62" t="str">
        <f>IFERROR(VLOOKUP(Table2[[#This Row],[Code]],'[2]New Machine sheet'!$A$1:$D$101,2,0),0)</f>
        <v>282-08</v>
      </c>
      <c r="D491" s="62" t="str">
        <f>IFERROR(VLOOKUP(Table2[[#This Row],[M/c No]],'[2]New Machine sheet'!$B$1:$D$101,2,0),0)</f>
        <v>Mazak</v>
      </c>
      <c r="E491" s="62" t="str">
        <f>IFERROR(VLOOKUP(Table2[[#This Row],[M/c Name]],'[2]New Machine sheet'!$C$1:$D$101,2,0),0)</f>
        <v>Turning</v>
      </c>
      <c r="F491" s="62">
        <v>117</v>
      </c>
      <c r="G491" s="62">
        <f>IFERROR(VLOOKUP(Table2[[#This Row],[Code2]],'[2]New Machine sheet'!$F$2:$I$64,2,),0)</f>
        <v>24117</v>
      </c>
      <c r="H491" s="62" t="str">
        <f>IFERROR(VLOOKUP(Table2[[#This Row],[Code2]],'[2]New Machine sheet'!$F$2:$I$64,3,0),0)</f>
        <v>RE J1</v>
      </c>
      <c r="I491" s="62"/>
      <c r="J491" s="62">
        <v>93</v>
      </c>
      <c r="K491" s="62" t="str">
        <f>IFERROR(VLOOKUP(Table2[[#This Row],[Code3]],'[2]New defect code '!$A$2:$D$129,2,0),0)</f>
        <v>Thickness Under size</v>
      </c>
      <c r="L491" s="62" t="s">
        <v>214</v>
      </c>
      <c r="M491" s="56">
        <v>46266</v>
      </c>
      <c r="N491" s="62"/>
      <c r="O491" s="62">
        <v>3</v>
      </c>
      <c r="P491" s="62"/>
      <c r="Q491" s="62"/>
      <c r="R491" s="62">
        <f>SUBTOTAL(9,Table2[[#This Row],[1st]:[FQC]])</f>
        <v>3</v>
      </c>
      <c r="S491" s="62">
        <f>IFERROR(VLOOKUP(Table2[[#This Row],[Part No.]],'[2]New Machine sheet'!$G$2:$I$90,3,0),0)</f>
        <v>111.97</v>
      </c>
      <c r="T491" s="62">
        <f>Table2[[#This Row],[cost per piece]]*Table2[[#This Row],[Total Rej. qty]]</f>
        <v>335.90999999999997</v>
      </c>
      <c r="U491" s="62">
        <f>IFERROR(VLOOKUP(Table2[[#This Row],[Non Conformance]],'[2]New defect code '!$B$2:$C$129,2,0),0)</f>
        <v>3258</v>
      </c>
      <c r="V491" s="62">
        <v>18</v>
      </c>
      <c r="W491" s="62" t="str">
        <f>IFERROR(VLOOKUP(Table2[[#This Row],[Code4]],'[2]New Reason code'!$A$2:$D$77,2,0),0)</f>
        <v>During insert change</v>
      </c>
      <c r="X491" s="62" t="str">
        <f>IFERROR(VLOOKUP(Table2[[#This Row],[Reason]],'[2]New Reason code'!$B$2:$D$77,2,0),0)</f>
        <v xml:space="preserve">Due to Settup  </v>
      </c>
      <c r="Y491" s="62" t="str">
        <f>IFERROR(VLOOKUP(Table2[[#This Row],[Rejection Identified at]],'[2]New Reason code'!$C$2:$D$77,2,0),0)</f>
        <v>skill</v>
      </c>
    </row>
    <row r="492" spans="1:25" ht="20.25" customHeight="1">
      <c r="A492" s="60">
        <v>488</v>
      </c>
      <c r="B492" s="62">
        <v>39</v>
      </c>
      <c r="C492" s="62" t="str">
        <f>IFERROR(VLOOKUP(Table2[[#This Row],[Code]],'[2]New Machine sheet'!$A$1:$D$101,2,0),0)</f>
        <v>ACE-19</v>
      </c>
      <c r="D492" s="62" t="str">
        <f>IFERROR(VLOOKUP(Table2[[#This Row],[M/c No]],'[2]New Machine sheet'!$B$1:$D$101,2,0),0)</f>
        <v>Micromatic</v>
      </c>
      <c r="E492" s="62" t="str">
        <f>IFERROR(VLOOKUP(Table2[[#This Row],[M/c Name]],'[2]New Machine sheet'!$C$1:$D$101,2,0),0)</f>
        <v>Turning</v>
      </c>
      <c r="F492" s="62">
        <v>117</v>
      </c>
      <c r="G492" s="62">
        <f>IFERROR(VLOOKUP(Table2[[#This Row],[Code2]],'[2]New Machine sheet'!$F$2:$I$64,2,),0)</f>
        <v>24117</v>
      </c>
      <c r="H492" s="62" t="str">
        <f>IFERROR(VLOOKUP(Table2[[#This Row],[Code2]],'[2]New Machine sheet'!$F$2:$I$64,3,0),0)</f>
        <v>RE J1</v>
      </c>
      <c r="I492" s="62"/>
      <c r="J492" s="62">
        <v>5</v>
      </c>
      <c r="K492" s="62" t="str">
        <f>IFERROR(VLOOKUP(Table2[[#This Row],[Code3]],'[2]New defect code '!$A$2:$D$129,2,0),0)</f>
        <v>Bore Over size</v>
      </c>
      <c r="L492" s="62" t="s">
        <v>214</v>
      </c>
      <c r="M492" s="56">
        <v>46266</v>
      </c>
      <c r="N492" s="62"/>
      <c r="O492" s="62">
        <v>3</v>
      </c>
      <c r="P492" s="62"/>
      <c r="Q492" s="62"/>
      <c r="R492" s="62">
        <f>SUBTOTAL(9,Table2[[#This Row],[1st]:[FQC]])</f>
        <v>3</v>
      </c>
      <c r="S492" s="62">
        <f>IFERROR(VLOOKUP(Table2[[#This Row],[Part No.]],'[2]New Machine sheet'!$G$2:$I$90,3,0),0)</f>
        <v>111.97</v>
      </c>
      <c r="T492" s="62">
        <f>Table2[[#This Row],[cost per piece]]*Table2[[#This Row],[Total Rej. qty]]</f>
        <v>335.90999999999997</v>
      </c>
      <c r="U492" s="62">
        <f>IFERROR(VLOOKUP(Table2[[#This Row],[Non Conformance]],'[2]New defect code '!$B$2:$C$129,2,0),0)</f>
        <v>3243</v>
      </c>
      <c r="V492" s="62">
        <v>18</v>
      </c>
      <c r="W492" s="62" t="str">
        <f>IFERROR(VLOOKUP(Table2[[#This Row],[Code4]],'[2]New Reason code'!$A$2:$D$77,2,0),0)</f>
        <v>During insert change</v>
      </c>
      <c r="X492" s="62" t="str">
        <f>IFERROR(VLOOKUP(Table2[[#This Row],[Reason]],'[2]New Reason code'!$B$2:$D$77,2,0),0)</f>
        <v xml:space="preserve">Due to Settup  </v>
      </c>
      <c r="Y492" s="62" t="str">
        <f>IFERROR(VLOOKUP(Table2[[#This Row],[Rejection Identified at]],'[2]New Reason code'!$C$2:$D$77,2,0),0)</f>
        <v>skill</v>
      </c>
    </row>
    <row r="493" spans="1:25" ht="20.25" customHeight="1">
      <c r="A493" s="50">
        <v>489</v>
      </c>
      <c r="B493" s="62">
        <v>39</v>
      </c>
      <c r="C493" s="62" t="str">
        <f>IFERROR(VLOOKUP(Table2[[#This Row],[Code]],'[2]New Machine sheet'!$A$1:$D$101,2,0),0)</f>
        <v>ACE-19</v>
      </c>
      <c r="D493" s="62" t="str">
        <f>IFERROR(VLOOKUP(Table2[[#This Row],[M/c No]],'[2]New Machine sheet'!$B$1:$D$101,2,0),0)</f>
        <v>Micromatic</v>
      </c>
      <c r="E493" s="62" t="str">
        <f>IFERROR(VLOOKUP(Table2[[#This Row],[M/c Name]],'[2]New Machine sheet'!$C$1:$D$101,2,0),0)</f>
        <v>Turning</v>
      </c>
      <c r="F493" s="62">
        <v>117</v>
      </c>
      <c r="G493" s="62">
        <f>IFERROR(VLOOKUP(Table2[[#This Row],[Code2]],'[2]New Machine sheet'!$F$2:$I$64,2,),0)</f>
        <v>24117</v>
      </c>
      <c r="H493" s="62" t="str">
        <f>IFERROR(VLOOKUP(Table2[[#This Row],[Code2]],'[2]New Machine sheet'!$F$2:$I$64,3,0),0)</f>
        <v>RE J1</v>
      </c>
      <c r="I493" s="62"/>
      <c r="J493" s="62">
        <v>93</v>
      </c>
      <c r="K493" s="62" t="str">
        <f>IFERROR(VLOOKUP(Table2[[#This Row],[Code3]],'[2]New defect code '!$A$2:$D$129,2,0),0)</f>
        <v>Thickness Under size</v>
      </c>
      <c r="L493" s="62" t="s">
        <v>214</v>
      </c>
      <c r="M493" s="56">
        <v>46266</v>
      </c>
      <c r="N493" s="62"/>
      <c r="O493" s="62">
        <v>4</v>
      </c>
      <c r="P493" s="62"/>
      <c r="Q493" s="62"/>
      <c r="R493" s="62">
        <f>SUBTOTAL(9,Table2[[#This Row],[1st]:[FQC]])</f>
        <v>4</v>
      </c>
      <c r="S493" s="62">
        <f>IFERROR(VLOOKUP(Table2[[#This Row],[Part No.]],'[2]New Machine sheet'!$G$2:$I$90,3,0),0)</f>
        <v>111.97</v>
      </c>
      <c r="T493" s="62">
        <f>Table2[[#This Row],[cost per piece]]*Table2[[#This Row],[Total Rej. qty]]</f>
        <v>447.88</v>
      </c>
      <c r="U493" s="62">
        <f>IFERROR(VLOOKUP(Table2[[#This Row],[Non Conformance]],'[2]New defect code '!$B$2:$C$129,2,0),0)</f>
        <v>3258</v>
      </c>
      <c r="V493" s="62">
        <v>18</v>
      </c>
      <c r="W493" s="62" t="str">
        <f>IFERROR(VLOOKUP(Table2[[#This Row],[Code4]],'[2]New Reason code'!$A$2:$D$77,2,0),0)</f>
        <v>During insert change</v>
      </c>
      <c r="X493" s="62" t="str">
        <f>IFERROR(VLOOKUP(Table2[[#This Row],[Reason]],'[2]New Reason code'!$B$2:$D$77,2,0),0)</f>
        <v xml:space="preserve">Due to Settup  </v>
      </c>
      <c r="Y493" s="62" t="str">
        <f>IFERROR(VLOOKUP(Table2[[#This Row],[Rejection Identified at]],'[2]New Reason code'!$C$2:$D$77,2,0),0)</f>
        <v>skill</v>
      </c>
    </row>
    <row r="494" spans="1:25" ht="20.25" customHeight="1">
      <c r="A494" s="50">
        <v>490</v>
      </c>
      <c r="B494" s="62">
        <v>8</v>
      </c>
      <c r="C494" s="62" t="str">
        <f>IFERROR(VLOOKUP(Table2[[#This Row],[Code]],'[2]New Machine sheet'!$A$1:$D$101,2,0),0)</f>
        <v>282-08</v>
      </c>
      <c r="D494" s="62" t="str">
        <f>IFERROR(VLOOKUP(Table2[[#This Row],[M/c No]],'[2]New Machine sheet'!$B$1:$D$101,2,0),0)</f>
        <v>Mazak</v>
      </c>
      <c r="E494" s="62" t="str">
        <f>IFERROR(VLOOKUP(Table2[[#This Row],[M/c Name]],'[2]New Machine sheet'!$C$1:$D$101,2,0),0)</f>
        <v>Turning</v>
      </c>
      <c r="F494" s="62">
        <v>117</v>
      </c>
      <c r="G494" s="62">
        <f>IFERROR(VLOOKUP(Table2[[#This Row],[Code2]],'[2]New Machine sheet'!$F$2:$I$64,2,),0)</f>
        <v>24117</v>
      </c>
      <c r="H494" s="62" t="str">
        <f>IFERROR(VLOOKUP(Table2[[#This Row],[Code2]],'[2]New Machine sheet'!$F$2:$I$64,3,0),0)</f>
        <v>RE J1</v>
      </c>
      <c r="I494" s="62"/>
      <c r="J494" s="62">
        <v>5</v>
      </c>
      <c r="K494" s="62" t="str">
        <f>IFERROR(VLOOKUP(Table2[[#This Row],[Code3]],'[2]New defect code '!$A$2:$D$129,2,0),0)</f>
        <v>Bore Over size</v>
      </c>
      <c r="L494" s="62" t="s">
        <v>214</v>
      </c>
      <c r="M494" s="56">
        <v>46266</v>
      </c>
      <c r="N494" s="62"/>
      <c r="O494" s="62">
        <v>5</v>
      </c>
      <c r="P494" s="62"/>
      <c r="Q494" s="62"/>
      <c r="R494" s="62">
        <f>SUBTOTAL(9,Table2[[#This Row],[1st]:[FQC]])</f>
        <v>5</v>
      </c>
      <c r="S494" s="62">
        <f>IFERROR(VLOOKUP(Table2[[#This Row],[Part No.]],'[2]New Machine sheet'!$G$2:$I$90,3,0),0)</f>
        <v>111.97</v>
      </c>
      <c r="T494" s="62">
        <f>Table2[[#This Row],[cost per piece]]*Table2[[#This Row],[Total Rej. qty]]</f>
        <v>559.85</v>
      </c>
      <c r="U494" s="62">
        <f>IFERROR(VLOOKUP(Table2[[#This Row],[Non Conformance]],'[2]New defect code '!$B$2:$C$129,2,0),0)</f>
        <v>3243</v>
      </c>
      <c r="V494" s="62">
        <v>70</v>
      </c>
      <c r="W494" s="62" t="str">
        <f>IFERROR(VLOOKUP(Table2[[#This Row],[Code4]],'[2]New Reason code'!$A$2:$D$77,2,0),0)</f>
        <v>Insert Wear Out</v>
      </c>
      <c r="X494" s="62" t="str">
        <f>IFERROR(VLOOKUP(Table2[[#This Row],[Reason]],'[2]New Reason code'!$B$2:$D$77,2,0),0)</f>
        <v>Line audit</v>
      </c>
      <c r="Y494" s="62" t="str">
        <f>IFERROR(VLOOKUP(Table2[[#This Row],[Rejection Identified at]],'[2]New Reason code'!$C$2:$D$77,2,0),0)</f>
        <v>Process Issue</v>
      </c>
    </row>
    <row r="495" spans="1:25" ht="20.25" customHeight="1">
      <c r="A495" s="60">
        <v>491</v>
      </c>
      <c r="B495" s="62"/>
      <c r="C495" s="62">
        <f>IFERROR(VLOOKUP(Table2[[#This Row],[Code]],'[2]New Machine sheet'!$A$1:$D$101,2,0),0)</f>
        <v>0</v>
      </c>
      <c r="D495" s="62">
        <f>IFERROR(VLOOKUP(Table2[[#This Row],[M/c No]],'[2]New Machine sheet'!$B$1:$D$101,2,0),0)</f>
        <v>0</v>
      </c>
      <c r="E495" s="62">
        <f>IFERROR(VLOOKUP(Table2[[#This Row],[M/c Name]],'[2]New Machine sheet'!$C$1:$D$101,2,0),0)</f>
        <v>0</v>
      </c>
      <c r="F495" s="62">
        <v>187</v>
      </c>
      <c r="G495" s="62">
        <f>IFERROR(VLOOKUP(Table2[[#This Row],[Code2]],'[2]New Machine sheet'!$F$2:$I$64,2,),0)</f>
        <v>24187</v>
      </c>
      <c r="H495" s="62" t="str">
        <f>IFERROR(VLOOKUP(Table2[[#This Row],[Code2]],'[2]New Machine sheet'!$F$2:$I$64,3,0),0)</f>
        <v>RE Bush</v>
      </c>
      <c r="I495" s="62" t="s">
        <v>220</v>
      </c>
      <c r="J495" s="62">
        <v>14</v>
      </c>
      <c r="K495" s="62" t="str">
        <f>IFERROR(VLOOKUP(Table2[[#This Row],[Code3]],'[2]New defect code '!$A$2:$D$129,2,0),0)</f>
        <v>Bush damage</v>
      </c>
      <c r="L495" s="62" t="s">
        <v>214</v>
      </c>
      <c r="M495" s="56">
        <v>46266</v>
      </c>
      <c r="N495" s="62"/>
      <c r="O495" s="62">
        <v>60</v>
      </c>
      <c r="P495" s="62"/>
      <c r="Q495" s="62"/>
      <c r="R495" s="62">
        <f>SUBTOTAL(9,Table2[[#This Row],[1st]:[FQC]])</f>
        <v>60</v>
      </c>
      <c r="S495" s="62">
        <f>IFERROR(VLOOKUP(Table2[[#This Row],[Part No.]],'[2]New Machine sheet'!$G$2:$I$90,3,0),0)</f>
        <v>21.77</v>
      </c>
      <c r="T495" s="62">
        <f>Table2[[#This Row],[cost per piece]]*Table2[[#This Row],[Total Rej. qty]]</f>
        <v>1306.2</v>
      </c>
      <c r="U495" s="62">
        <f>IFERROR(VLOOKUP(Table2[[#This Row],[Non Conformance]],'[2]New defect code '!$B$2:$C$129,2,0),0)</f>
        <v>0</v>
      </c>
      <c r="V495" s="62">
        <v>6</v>
      </c>
      <c r="W495" s="62" t="str">
        <f>IFERROR(VLOOKUP(Table2[[#This Row],[Code4]],'[2]New Reason code'!$A$2:$D$77,2,0),0)</f>
        <v>bush will not use again</v>
      </c>
      <c r="X495" s="62" t="str">
        <f>IFERROR(VLOOKUP(Table2[[#This Row],[Reason]],'[2]New Reason code'!$B$2:$D$77,2,0),0)</f>
        <v>Prod Declared</v>
      </c>
      <c r="Y495" s="62" t="str">
        <f>IFERROR(VLOOKUP(Table2[[#This Row],[Rejection Identified at]],'[2]New Reason code'!$C$2:$D$77,2,0),0)</f>
        <v>Process Issue</v>
      </c>
    </row>
    <row r="496" spans="1:25" ht="20.25" customHeight="1">
      <c r="A496" s="50">
        <v>492</v>
      </c>
      <c r="B496" s="62"/>
      <c r="C496" s="62">
        <f>IFERROR(VLOOKUP(Table2[[#This Row],[Code]],'[2]New Machine sheet'!$A$1:$D$101,2,0),0)</f>
        <v>0</v>
      </c>
      <c r="D496" s="62">
        <f>IFERROR(VLOOKUP(Table2[[#This Row],[M/c No]],'[2]New Machine sheet'!$B$1:$D$101,2,0),0)</f>
        <v>0</v>
      </c>
      <c r="E496" s="62">
        <f>IFERROR(VLOOKUP(Table2[[#This Row],[M/c Name]],'[2]New Machine sheet'!$C$1:$D$101,2,0),0)</f>
        <v>0</v>
      </c>
      <c r="F496" s="62">
        <v>185</v>
      </c>
      <c r="G496" s="62">
        <f>IFERROR(VLOOKUP(Table2[[#This Row],[Code2]],'[2]New Machine sheet'!$F$2:$I$64,2,),0)</f>
        <v>24185</v>
      </c>
      <c r="H496" s="62" t="str">
        <f>IFERROR(VLOOKUP(Table2[[#This Row],[Code2]],'[2]New Machine sheet'!$F$2:$I$64,3,0),0)</f>
        <v>RE Bush</v>
      </c>
      <c r="I496" s="62" t="s">
        <v>151</v>
      </c>
      <c r="J496" s="62">
        <v>14</v>
      </c>
      <c r="K496" s="62" t="str">
        <f>IFERROR(VLOOKUP(Table2[[#This Row],[Code3]],'[2]New defect code '!$A$2:$D$129,2,0),0)</f>
        <v>Bush damage</v>
      </c>
      <c r="L496" s="62" t="s">
        <v>214</v>
      </c>
      <c r="M496" s="56">
        <v>46266</v>
      </c>
      <c r="N496" s="62"/>
      <c r="O496" s="62">
        <v>71</v>
      </c>
      <c r="P496" s="62"/>
      <c r="Q496" s="62"/>
      <c r="R496" s="62">
        <f>SUBTOTAL(9,Table2[[#This Row],[1st]:[FQC]])</f>
        <v>71</v>
      </c>
      <c r="S496" s="62">
        <f>IFERROR(VLOOKUP(Table2[[#This Row],[Part No.]],'[2]New Machine sheet'!$G$2:$I$90,3,0),0)</f>
        <v>25.53</v>
      </c>
      <c r="T496" s="62">
        <f>Table2[[#This Row],[cost per piece]]*Table2[[#This Row],[Total Rej. qty]]</f>
        <v>1812.63</v>
      </c>
      <c r="U496" s="62">
        <f>IFERROR(VLOOKUP(Table2[[#This Row],[Non Conformance]],'[2]New defect code '!$B$2:$C$129,2,0),0)</f>
        <v>0</v>
      </c>
      <c r="V496" s="62">
        <v>6</v>
      </c>
      <c r="W496" s="62" t="str">
        <f>IFERROR(VLOOKUP(Table2[[#This Row],[Code4]],'[2]New Reason code'!$A$2:$D$77,2,0),0)</f>
        <v>bush will not use again</v>
      </c>
      <c r="X496" s="62" t="str">
        <f>IFERROR(VLOOKUP(Table2[[#This Row],[Reason]],'[2]New Reason code'!$B$2:$D$77,2,0),0)</f>
        <v>Prod Declared</v>
      </c>
      <c r="Y496" s="62" t="str">
        <f>IFERROR(VLOOKUP(Table2[[#This Row],[Rejection Identified at]],'[2]New Reason code'!$C$2:$D$77,2,0),0)</f>
        <v>Process Issue</v>
      </c>
    </row>
    <row r="497" spans="1:25" ht="20.25" customHeight="1">
      <c r="A497" s="50">
        <v>493</v>
      </c>
      <c r="B497" s="62">
        <v>23</v>
      </c>
      <c r="C497" s="62" t="str">
        <f>IFERROR(VLOOKUP(Table2[[#This Row],[Code]],'[2]New Machine sheet'!$A$1:$D$101,2,0),0)</f>
        <v>ACE-03</v>
      </c>
      <c r="D497" s="62" t="str">
        <f>IFERROR(VLOOKUP(Table2[[#This Row],[M/c No]],'[2]New Machine sheet'!$B$1:$D$101,2,0),0)</f>
        <v>Micromatic</v>
      </c>
      <c r="E497" s="62" t="str">
        <f>IFERROR(VLOOKUP(Table2[[#This Row],[M/c Name]],'[2]New Machine sheet'!$C$1:$D$101,2,0),0)</f>
        <v>Turning</v>
      </c>
      <c r="F497" s="62">
        <v>79</v>
      </c>
      <c r="G497" s="62">
        <f>IFERROR(VLOOKUP(Table2[[#This Row],[Code2]],'[2]New Machine sheet'!$F$2:$I$64,2,),0)</f>
        <v>2479</v>
      </c>
      <c r="H497" s="62" t="str">
        <f>IFERROR(VLOOKUP(Table2[[#This Row],[Code2]],'[2]New Machine sheet'!$F$2:$I$64,3,0),0)</f>
        <v>RE P1</v>
      </c>
      <c r="I497" s="62"/>
      <c r="J497" s="62">
        <v>5</v>
      </c>
      <c r="K497" s="62" t="str">
        <f>IFERROR(VLOOKUP(Table2[[#This Row],[Code3]],'[2]New defect code '!$A$2:$D$129,2,0),0)</f>
        <v>Bore Over size</v>
      </c>
      <c r="L497" s="62" t="s">
        <v>214</v>
      </c>
      <c r="M497" s="56">
        <v>46266</v>
      </c>
      <c r="N497" s="62"/>
      <c r="O497" s="62">
        <v>9</v>
      </c>
      <c r="P497" s="62"/>
      <c r="Q497" s="62"/>
      <c r="R497" s="62">
        <f>SUBTOTAL(9,Table2[[#This Row],[1st]:[FQC]])</f>
        <v>9</v>
      </c>
      <c r="S497" s="62">
        <f>IFERROR(VLOOKUP(Table2[[#This Row],[Part No.]],'[2]New Machine sheet'!$G$2:$I$90,3,0),0)</f>
        <v>43.11</v>
      </c>
      <c r="T497" s="62">
        <f>Table2[[#This Row],[cost per piece]]*Table2[[#This Row],[Total Rej. qty]]</f>
        <v>387.99</v>
      </c>
      <c r="U497" s="62">
        <f>IFERROR(VLOOKUP(Table2[[#This Row],[Non Conformance]],'[2]New defect code '!$B$2:$C$129,2,0),0)</f>
        <v>3243</v>
      </c>
      <c r="V497" s="62">
        <v>18</v>
      </c>
      <c r="W497" s="62" t="str">
        <f>IFERROR(VLOOKUP(Table2[[#This Row],[Code4]],'[2]New Reason code'!$A$2:$D$77,2,0),0)</f>
        <v>During insert change</v>
      </c>
      <c r="X497" s="62" t="str">
        <f>IFERROR(VLOOKUP(Table2[[#This Row],[Reason]],'[2]New Reason code'!$B$2:$D$77,2,0),0)</f>
        <v xml:space="preserve">Due to Settup  </v>
      </c>
      <c r="Y497" s="62" t="str">
        <f>IFERROR(VLOOKUP(Table2[[#This Row],[Rejection Identified at]],'[2]New Reason code'!$C$2:$D$77,2,0),0)</f>
        <v>skill</v>
      </c>
    </row>
    <row r="498" spans="1:25" ht="20.25" customHeight="1">
      <c r="A498" s="60">
        <v>494</v>
      </c>
      <c r="B498" s="62">
        <v>23</v>
      </c>
      <c r="C498" s="62" t="str">
        <f>IFERROR(VLOOKUP(Table2[[#This Row],[Code]],'[2]New Machine sheet'!$A$1:$D$101,2,0),0)</f>
        <v>ACE-03</v>
      </c>
      <c r="D498" s="62" t="str">
        <f>IFERROR(VLOOKUP(Table2[[#This Row],[M/c No]],'[2]New Machine sheet'!$B$1:$D$101,2,0),0)</f>
        <v>Micromatic</v>
      </c>
      <c r="E498" s="62" t="str">
        <f>IFERROR(VLOOKUP(Table2[[#This Row],[M/c Name]],'[2]New Machine sheet'!$C$1:$D$101,2,0),0)</f>
        <v>Turning</v>
      </c>
      <c r="F498" s="62">
        <v>79</v>
      </c>
      <c r="G498" s="62">
        <f>IFERROR(VLOOKUP(Table2[[#This Row],[Code2]],'[2]New Machine sheet'!$F$2:$I$64,2,),0)</f>
        <v>2479</v>
      </c>
      <c r="H498" s="62" t="str">
        <f>IFERROR(VLOOKUP(Table2[[#This Row],[Code2]],'[2]New Machine sheet'!$F$2:$I$64,3,0),0)</f>
        <v>RE P1</v>
      </c>
      <c r="I498" s="62"/>
      <c r="J498" s="62">
        <v>66</v>
      </c>
      <c r="K498" s="62" t="str">
        <f>IFERROR(VLOOKUP(Table2[[#This Row],[Code3]],'[2]New defect code '!$A$2:$D$129,2,0),0)</f>
        <v>OD Under Size</v>
      </c>
      <c r="L498" s="62" t="s">
        <v>214</v>
      </c>
      <c r="M498" s="56">
        <v>46266</v>
      </c>
      <c r="N498" s="62"/>
      <c r="O498" s="62">
        <v>8</v>
      </c>
      <c r="P498" s="62"/>
      <c r="Q498" s="62"/>
      <c r="R498" s="62">
        <f>SUBTOTAL(9,Table2[[#This Row],[1st]:[FQC]])</f>
        <v>8</v>
      </c>
      <c r="S498" s="62">
        <f>IFERROR(VLOOKUP(Table2[[#This Row],[Part No.]],'[2]New Machine sheet'!$G$2:$I$90,3,0),0)</f>
        <v>43.11</v>
      </c>
      <c r="T498" s="62">
        <f>Table2[[#This Row],[cost per piece]]*Table2[[#This Row],[Total Rej. qty]]</f>
        <v>344.88</v>
      </c>
      <c r="U498" s="62">
        <f>IFERROR(VLOOKUP(Table2[[#This Row],[Non Conformance]],'[2]New defect code '!$B$2:$C$129,2,0),0)</f>
        <v>3242</v>
      </c>
      <c r="V498" s="62">
        <v>19</v>
      </c>
      <c r="W498" s="62" t="str">
        <f>IFERROR(VLOOKUP(Table2[[#This Row],[Code4]],'[2]New Reason code'!$A$2:$D$77,2,0),0)</f>
        <v>During Rework time</v>
      </c>
      <c r="X498" s="62" t="str">
        <f>IFERROR(VLOOKUP(Table2[[#This Row],[Reason]],'[2]New Reason code'!$B$2:$D$77,2,0),0)</f>
        <v>Due to operator</v>
      </c>
      <c r="Y498" s="62" t="str">
        <f>IFERROR(VLOOKUP(Table2[[#This Row],[Rejection Identified at]],'[2]New Reason code'!$C$2:$D$77,2,0),0)</f>
        <v xml:space="preserve">infrastructure </v>
      </c>
    </row>
    <row r="499" spans="1:25" ht="20.25" customHeight="1">
      <c r="A499" s="50">
        <v>495</v>
      </c>
      <c r="B499" s="62">
        <v>37</v>
      </c>
      <c r="C499" s="62" t="str">
        <f>IFERROR(VLOOKUP(Table2[[#This Row],[Code]],'[2]New Machine sheet'!$A$1:$D$101,2,0),0)</f>
        <v>ACE-17</v>
      </c>
      <c r="D499" s="62" t="str">
        <f>IFERROR(VLOOKUP(Table2[[#This Row],[M/c No]],'[2]New Machine sheet'!$B$1:$D$101,2,0),0)</f>
        <v>Micromatic</v>
      </c>
      <c r="E499" s="62" t="str">
        <f>IFERROR(VLOOKUP(Table2[[#This Row],[M/c Name]],'[2]New Machine sheet'!$C$1:$D$101,2,0),0)</f>
        <v>Turning</v>
      </c>
      <c r="F499" s="62">
        <v>127</v>
      </c>
      <c r="G499" s="62">
        <f>IFERROR(VLOOKUP(Table2[[#This Row],[Code2]],'[2]New Machine sheet'!$F$2:$I$64,2,),0)</f>
        <v>24127</v>
      </c>
      <c r="H499" s="62" t="str">
        <f>IFERROR(VLOOKUP(Table2[[#This Row],[Code2]],'[2]New Machine sheet'!$F$2:$I$64,3,0),0)</f>
        <v>RE J1</v>
      </c>
      <c r="I499" s="62" t="s">
        <v>137</v>
      </c>
      <c r="J499" s="62">
        <v>66</v>
      </c>
      <c r="K499" s="62" t="str">
        <f>IFERROR(VLOOKUP(Table2[[#This Row],[Code3]],'[2]New defect code '!$A$2:$D$129,2,0),0)</f>
        <v>OD Under Size</v>
      </c>
      <c r="L499" s="62" t="s">
        <v>214</v>
      </c>
      <c r="M499" s="56">
        <v>46266</v>
      </c>
      <c r="N499" s="62"/>
      <c r="O499" s="62"/>
      <c r="P499" s="62">
        <v>1</v>
      </c>
      <c r="Q499" s="62"/>
      <c r="R499" s="62">
        <f>SUBTOTAL(9,Table2[[#This Row],[1st]:[FQC]])</f>
        <v>1</v>
      </c>
      <c r="S499" s="62">
        <f>IFERROR(VLOOKUP(Table2[[#This Row],[Part No.]],'[2]New Machine sheet'!$G$2:$I$90,3,0),0)</f>
        <v>262.81200000000001</v>
      </c>
      <c r="T499" s="62">
        <f>Table2[[#This Row],[cost per piece]]*Table2[[#This Row],[Total Rej. qty]]</f>
        <v>262.81200000000001</v>
      </c>
      <c r="U499" s="62">
        <f>IFERROR(VLOOKUP(Table2[[#This Row],[Non Conformance]],'[2]New defect code '!$B$2:$C$129,2,0),0)</f>
        <v>3242</v>
      </c>
      <c r="V499" s="62">
        <v>12</v>
      </c>
      <c r="W499" s="62" t="str">
        <f>IFERROR(VLOOKUP(Table2[[#This Row],[Code4]],'[2]New Reason code'!$A$2:$D$77,2,0),0)</f>
        <v>Double loading</v>
      </c>
      <c r="X499" s="62" t="str">
        <f>IFERROR(VLOOKUP(Table2[[#This Row],[Reason]],'[2]New Reason code'!$B$2:$D$77,2,0),0)</f>
        <v>Due to operator</v>
      </c>
      <c r="Y499" s="62" t="str">
        <f>IFERROR(VLOOKUP(Table2[[#This Row],[Rejection Identified at]],'[2]New Reason code'!$C$2:$D$77,2,0),0)</f>
        <v xml:space="preserve">infrastructure </v>
      </c>
    </row>
    <row r="500" spans="1:25" ht="20.25" customHeight="1">
      <c r="A500" s="50">
        <v>496</v>
      </c>
      <c r="B500" s="62">
        <v>7</v>
      </c>
      <c r="C500" s="62" t="str">
        <f>IFERROR(VLOOKUP(Table2[[#This Row],[Code]],'[2]New Machine sheet'!$A$1:$D$101,2,0),0)</f>
        <v>282-07</v>
      </c>
      <c r="D500" s="62" t="str">
        <f>IFERROR(VLOOKUP(Table2[[#This Row],[M/c No]],'[2]New Machine sheet'!$B$1:$D$101,2,0),0)</f>
        <v>Mazak</v>
      </c>
      <c r="E500" s="62" t="str">
        <f>IFERROR(VLOOKUP(Table2[[#This Row],[M/c Name]],'[2]New Machine sheet'!$C$1:$D$101,2,0),0)</f>
        <v>Turning</v>
      </c>
      <c r="F500" s="62">
        <v>75</v>
      </c>
      <c r="G500" s="62">
        <f>IFERROR(VLOOKUP(Table2[[#This Row],[Code2]],'[2]New Machine sheet'!$F$2:$I$64,2,),0)</f>
        <v>2475</v>
      </c>
      <c r="H500" s="62" t="str">
        <f>IFERROR(VLOOKUP(Table2[[#This Row],[Code2]],'[2]New Machine sheet'!$F$2:$I$64,3,0),0)</f>
        <v>RE P1</v>
      </c>
      <c r="I500" s="62" t="s">
        <v>122</v>
      </c>
      <c r="J500" s="62">
        <v>5</v>
      </c>
      <c r="K500" s="62" t="str">
        <f>IFERROR(VLOOKUP(Table2[[#This Row],[Code3]],'[2]New defect code '!$A$2:$D$129,2,0),0)</f>
        <v>Bore Over size</v>
      </c>
      <c r="L500" s="62" t="s">
        <v>214</v>
      </c>
      <c r="M500" s="56">
        <v>46266</v>
      </c>
      <c r="N500" s="62"/>
      <c r="O500" s="62"/>
      <c r="P500" s="62">
        <v>6</v>
      </c>
      <c r="Q500" s="62"/>
      <c r="R500" s="62">
        <f>SUBTOTAL(9,Table2[[#This Row],[1st]:[FQC]])</f>
        <v>6</v>
      </c>
      <c r="S500" s="62">
        <f>IFERROR(VLOOKUP(Table2[[#This Row],[Part No.]],'[2]New Machine sheet'!$G$2:$I$90,3,0),0)</f>
        <v>138.77000000000001</v>
      </c>
      <c r="T500" s="62">
        <f>Table2[[#This Row],[cost per piece]]*Table2[[#This Row],[Total Rej. qty]]</f>
        <v>832.62000000000012</v>
      </c>
      <c r="U500" s="62">
        <f>IFERROR(VLOOKUP(Table2[[#This Row],[Non Conformance]],'[2]New defect code '!$B$2:$C$129,2,0),0)</f>
        <v>3243</v>
      </c>
      <c r="V500" s="62">
        <v>19</v>
      </c>
      <c r="W500" s="62" t="str">
        <f>IFERROR(VLOOKUP(Table2[[#This Row],[Code4]],'[2]New Reason code'!$A$2:$D$77,2,0),0)</f>
        <v>During Rework time</v>
      </c>
      <c r="X500" s="62" t="str">
        <f>IFERROR(VLOOKUP(Table2[[#This Row],[Reason]],'[2]New Reason code'!$B$2:$D$77,2,0),0)</f>
        <v>Due to operator</v>
      </c>
      <c r="Y500" s="62" t="str">
        <f>IFERROR(VLOOKUP(Table2[[#This Row],[Rejection Identified at]],'[2]New Reason code'!$C$2:$D$77,2,0),0)</f>
        <v xml:space="preserve">infrastructure </v>
      </c>
    </row>
    <row r="501" spans="1:25" ht="20.25" customHeight="1">
      <c r="A501" s="60">
        <v>497</v>
      </c>
      <c r="B501" s="62">
        <v>20</v>
      </c>
      <c r="C501" s="62" t="str">
        <f>IFERROR(VLOOKUP(Table2[[#This Row],[Code]],'[2]New Machine sheet'!$A$1:$D$101,2,0),0)</f>
        <v>282-20</v>
      </c>
      <c r="D501" s="62" t="str">
        <f>IFERROR(VLOOKUP(Table2[[#This Row],[M/c No]],'[2]New Machine sheet'!$B$1:$D$101,2,0),0)</f>
        <v>Mazak</v>
      </c>
      <c r="E501" s="62" t="str">
        <f>IFERROR(VLOOKUP(Table2[[#This Row],[M/c Name]],'[2]New Machine sheet'!$C$1:$D$101,2,0),0)</f>
        <v>Turning</v>
      </c>
      <c r="F501" s="62">
        <v>115</v>
      </c>
      <c r="G501" s="62">
        <f>IFERROR(VLOOKUP(Table2[[#This Row],[Code2]],'[2]New Machine sheet'!$F$2:$I$64,2,),0)</f>
        <v>24115</v>
      </c>
      <c r="H501" s="62" t="str">
        <f>IFERROR(VLOOKUP(Table2[[#This Row],[Code2]],'[2]New Machine sheet'!$F$2:$I$64,3,0),0)</f>
        <v>RE J1</v>
      </c>
      <c r="I501" s="62" t="s">
        <v>133</v>
      </c>
      <c r="J501" s="62">
        <v>5</v>
      </c>
      <c r="K501" s="62" t="str">
        <f>IFERROR(VLOOKUP(Table2[[#This Row],[Code3]],'[2]New defect code '!$A$2:$D$129,2,0),0)</f>
        <v>Bore Over size</v>
      </c>
      <c r="L501" s="62" t="s">
        <v>214</v>
      </c>
      <c r="M501" s="56">
        <v>46266</v>
      </c>
      <c r="N501" s="62"/>
      <c r="O501" s="62"/>
      <c r="P501" s="62">
        <v>2</v>
      </c>
      <c r="Q501" s="62"/>
      <c r="R501" s="62">
        <f>SUBTOTAL(9,Table2[[#This Row],[1st]:[FQC]])</f>
        <v>2</v>
      </c>
      <c r="S501" s="62">
        <f>IFERROR(VLOOKUP(Table2[[#This Row],[Part No.]],'[2]New Machine sheet'!$G$2:$I$90,3,0),0)</f>
        <v>66.900000000000006</v>
      </c>
      <c r="T501" s="62">
        <f>Table2[[#This Row],[cost per piece]]*Table2[[#This Row],[Total Rej. qty]]</f>
        <v>133.80000000000001</v>
      </c>
      <c r="U501" s="62">
        <f>IFERROR(VLOOKUP(Table2[[#This Row],[Non Conformance]],'[2]New defect code '!$B$2:$C$129,2,0),0)</f>
        <v>3243</v>
      </c>
      <c r="V501" s="62">
        <v>64</v>
      </c>
      <c r="W501" s="62" t="str">
        <f>IFERROR(VLOOKUP(Table2[[#This Row],[Code4]],'[2]New Reason code'!$A$2:$D$77,2,0),0)</f>
        <v>Wrong correction</v>
      </c>
      <c r="X501" s="62" t="str">
        <f>IFERROR(VLOOKUP(Table2[[#This Row],[Reason]],'[2]New Reason code'!$B$2:$D$77,2,0),0)</f>
        <v>Due to operator</v>
      </c>
      <c r="Y501" s="62" t="str">
        <f>IFERROR(VLOOKUP(Table2[[#This Row],[Rejection Identified at]],'[2]New Reason code'!$C$2:$D$77,2,0),0)</f>
        <v xml:space="preserve">infrastructure </v>
      </c>
    </row>
    <row r="502" spans="1:25" ht="20.25" customHeight="1">
      <c r="A502" s="50">
        <v>498</v>
      </c>
      <c r="B502" s="62">
        <v>8</v>
      </c>
      <c r="C502" s="62" t="str">
        <f>IFERROR(VLOOKUP(Table2[[#This Row],[Code]],'[2]New Machine sheet'!$A$1:$D$101,2,0),0)</f>
        <v>282-08</v>
      </c>
      <c r="D502" s="62" t="str">
        <f>IFERROR(VLOOKUP(Table2[[#This Row],[M/c No]],'[2]New Machine sheet'!$B$1:$D$101,2,0),0)</f>
        <v>Mazak</v>
      </c>
      <c r="E502" s="62" t="str">
        <f>IFERROR(VLOOKUP(Table2[[#This Row],[M/c Name]],'[2]New Machine sheet'!$C$1:$D$101,2,0),0)</f>
        <v>Turning</v>
      </c>
      <c r="F502" s="62">
        <v>117</v>
      </c>
      <c r="G502" s="62">
        <f>IFERROR(VLOOKUP(Table2[[#This Row],[Code2]],'[2]New Machine sheet'!$F$2:$I$64,2,),0)</f>
        <v>24117</v>
      </c>
      <c r="H502" s="62" t="str">
        <f>IFERROR(VLOOKUP(Table2[[#This Row],[Code2]],'[2]New Machine sheet'!$F$2:$I$64,3,0),0)</f>
        <v>RE J1</v>
      </c>
      <c r="I502" s="62" t="s">
        <v>113</v>
      </c>
      <c r="J502" s="62">
        <v>5</v>
      </c>
      <c r="K502" s="62" t="str">
        <f>IFERROR(VLOOKUP(Table2[[#This Row],[Code3]],'[2]New defect code '!$A$2:$D$129,2,0),0)</f>
        <v>Bore Over size</v>
      </c>
      <c r="L502" s="62" t="s">
        <v>214</v>
      </c>
      <c r="M502" s="56">
        <v>46266</v>
      </c>
      <c r="N502" s="62"/>
      <c r="O502" s="62"/>
      <c r="P502" s="62">
        <v>2</v>
      </c>
      <c r="Q502" s="62"/>
      <c r="R502" s="62">
        <f>SUBTOTAL(9,Table2[[#This Row],[1st]:[FQC]])</f>
        <v>2</v>
      </c>
      <c r="S502" s="62">
        <f>IFERROR(VLOOKUP(Table2[[#This Row],[Part No.]],'[2]New Machine sheet'!$G$2:$I$90,3,0),0)</f>
        <v>111.97</v>
      </c>
      <c r="T502" s="62">
        <f>Table2[[#This Row],[cost per piece]]*Table2[[#This Row],[Total Rej. qty]]</f>
        <v>223.94</v>
      </c>
      <c r="U502" s="62">
        <f>IFERROR(VLOOKUP(Table2[[#This Row],[Non Conformance]],'[2]New defect code '!$B$2:$C$129,2,0),0)</f>
        <v>3243</v>
      </c>
      <c r="V502" s="62">
        <v>18</v>
      </c>
      <c r="W502" s="62" t="str">
        <f>IFERROR(VLOOKUP(Table2[[#This Row],[Code4]],'[2]New Reason code'!$A$2:$D$77,2,0),0)</f>
        <v>During insert change</v>
      </c>
      <c r="X502" s="62" t="str">
        <f>IFERROR(VLOOKUP(Table2[[#This Row],[Reason]],'[2]New Reason code'!$B$2:$D$77,2,0),0)</f>
        <v xml:space="preserve">Due to Settup  </v>
      </c>
      <c r="Y502" s="62" t="str">
        <f>IFERROR(VLOOKUP(Table2[[#This Row],[Rejection Identified at]],'[2]New Reason code'!$C$2:$D$77,2,0),0)</f>
        <v>skill</v>
      </c>
    </row>
    <row r="503" spans="1:25" ht="20.25" customHeight="1">
      <c r="A503" s="50">
        <v>499</v>
      </c>
      <c r="B503" s="62">
        <v>17</v>
      </c>
      <c r="C503" s="62" t="str">
        <f>IFERROR(VLOOKUP(Table2[[#This Row],[Code]],'[2]New Machine sheet'!$A$1:$D$101,2,0),0)</f>
        <v>282-17</v>
      </c>
      <c r="D503" s="62" t="str">
        <f>IFERROR(VLOOKUP(Table2[[#This Row],[M/c No]],'[2]New Machine sheet'!$B$1:$D$101,2,0),0)</f>
        <v>Mazak</v>
      </c>
      <c r="E503" s="62" t="str">
        <f>IFERROR(VLOOKUP(Table2[[#This Row],[M/c Name]],'[2]New Machine sheet'!$C$1:$D$101,2,0),0)</f>
        <v>Turning</v>
      </c>
      <c r="F503" s="62">
        <v>113</v>
      </c>
      <c r="G503" s="62">
        <f>IFERROR(VLOOKUP(Table2[[#This Row],[Code2]],'[2]New Machine sheet'!$F$2:$I$64,2,),0)</f>
        <v>24113</v>
      </c>
      <c r="H503" s="62" t="str">
        <f>IFERROR(VLOOKUP(Table2[[#This Row],[Code2]],'[2]New Machine sheet'!$F$2:$I$64,3,0),0)</f>
        <v>RE J1</v>
      </c>
      <c r="I503" s="62" t="s">
        <v>132</v>
      </c>
      <c r="J503" s="62">
        <v>5</v>
      </c>
      <c r="K503" s="62" t="str">
        <f>IFERROR(VLOOKUP(Table2[[#This Row],[Code3]],'[2]New defect code '!$A$2:$D$129,2,0),0)</f>
        <v>Bore Over size</v>
      </c>
      <c r="L503" s="62" t="s">
        <v>214</v>
      </c>
      <c r="M503" s="56">
        <v>46266</v>
      </c>
      <c r="N503" s="62"/>
      <c r="O503" s="62"/>
      <c r="P503" s="62">
        <v>1</v>
      </c>
      <c r="Q503" s="62"/>
      <c r="R503" s="62">
        <f>SUBTOTAL(9,Table2[[#This Row],[1st]:[FQC]])</f>
        <v>1</v>
      </c>
      <c r="S503" s="62">
        <f>IFERROR(VLOOKUP(Table2[[#This Row],[Part No.]],'[2]New Machine sheet'!$G$2:$I$90,3,0),0)</f>
        <v>90</v>
      </c>
      <c r="T503" s="62">
        <f>Table2[[#This Row],[cost per piece]]*Table2[[#This Row],[Total Rej. qty]]</f>
        <v>90</v>
      </c>
      <c r="U503" s="62">
        <f>IFERROR(VLOOKUP(Table2[[#This Row],[Non Conformance]],'[2]New defect code '!$B$2:$C$129,2,0),0)</f>
        <v>3243</v>
      </c>
      <c r="V503" s="62">
        <v>18</v>
      </c>
      <c r="W503" s="62" t="str">
        <f>IFERROR(VLOOKUP(Table2[[#This Row],[Code4]],'[2]New Reason code'!$A$2:$D$77,2,0),0)</f>
        <v>During insert change</v>
      </c>
      <c r="X503" s="62" t="str">
        <f>IFERROR(VLOOKUP(Table2[[#This Row],[Reason]],'[2]New Reason code'!$B$2:$D$77,2,0),0)</f>
        <v xml:space="preserve">Due to Settup  </v>
      </c>
      <c r="Y503" s="62" t="str">
        <f>IFERROR(VLOOKUP(Table2[[#This Row],[Rejection Identified at]],'[2]New Reason code'!$C$2:$D$77,2,0),0)</f>
        <v>skill</v>
      </c>
    </row>
    <row r="504" spans="1:25" ht="20.25" customHeight="1">
      <c r="A504" s="60">
        <v>500</v>
      </c>
      <c r="B504" s="62">
        <v>1</v>
      </c>
      <c r="C504" s="62" t="str">
        <f>IFERROR(VLOOKUP(Table2[[#This Row],[Code]],'[2]New Machine sheet'!$A$1:$D$101,2,0),0)</f>
        <v>282-01</v>
      </c>
      <c r="D504" s="62" t="str">
        <f>IFERROR(VLOOKUP(Table2[[#This Row],[M/c No]],'[2]New Machine sheet'!$B$1:$D$101,2,0),0)</f>
        <v>Mazak</v>
      </c>
      <c r="E504" s="62" t="str">
        <f>IFERROR(VLOOKUP(Table2[[#This Row],[M/c Name]],'[2]New Machine sheet'!$C$1:$D$101,2,0),0)</f>
        <v>Turning</v>
      </c>
      <c r="F504" s="62">
        <v>52</v>
      </c>
      <c r="G504" s="62">
        <f>IFERROR(VLOOKUP(Table2[[#This Row],[Code2]],'[2]New Machine sheet'!$F$2:$I$64,2,),0)</f>
        <v>2452</v>
      </c>
      <c r="H504" s="62" t="str">
        <f>IFERROR(VLOOKUP(Table2[[#This Row],[Code2]],'[2]New Machine sheet'!$F$2:$I$64,3,0),0)</f>
        <v>RE P1</v>
      </c>
      <c r="I504" s="62" t="s">
        <v>185</v>
      </c>
      <c r="J504" s="62">
        <v>5</v>
      </c>
      <c r="K504" s="62" t="str">
        <f>IFERROR(VLOOKUP(Table2[[#This Row],[Code3]],'[2]New defect code '!$A$2:$D$129,2,0),0)</f>
        <v>Bore Over size</v>
      </c>
      <c r="L504" s="62" t="s">
        <v>214</v>
      </c>
      <c r="M504" s="56">
        <v>46266</v>
      </c>
      <c r="N504" s="62"/>
      <c r="O504" s="62"/>
      <c r="P504" s="62">
        <v>1</v>
      </c>
      <c r="Q504" s="62"/>
      <c r="R504" s="62">
        <f>SUBTOTAL(9,Table2[[#This Row],[1st]:[FQC]])</f>
        <v>1</v>
      </c>
      <c r="S504" s="62">
        <f>IFERROR(VLOOKUP(Table2[[#This Row],[Part No.]],'[2]New Machine sheet'!$G$2:$I$90,3,0),0)</f>
        <v>400</v>
      </c>
      <c r="T504" s="62">
        <f>Table2[[#This Row],[cost per piece]]*Table2[[#This Row],[Total Rej. qty]]</f>
        <v>400</v>
      </c>
      <c r="U504" s="62">
        <f>IFERROR(VLOOKUP(Table2[[#This Row],[Non Conformance]],'[2]New defect code '!$B$2:$C$129,2,0),0)</f>
        <v>3243</v>
      </c>
      <c r="V504" s="62">
        <v>18</v>
      </c>
      <c r="W504" s="62" t="str">
        <f>IFERROR(VLOOKUP(Table2[[#This Row],[Code4]],'[2]New Reason code'!$A$2:$D$77,2,0),0)</f>
        <v>During insert change</v>
      </c>
      <c r="X504" s="62" t="str">
        <f>IFERROR(VLOOKUP(Table2[[#This Row],[Reason]],'[2]New Reason code'!$B$2:$D$77,2,0),0)</f>
        <v xml:space="preserve">Due to Settup  </v>
      </c>
      <c r="Y504" s="62" t="str">
        <f>IFERROR(VLOOKUP(Table2[[#This Row],[Rejection Identified at]],'[2]New Reason code'!$C$2:$D$77,2,0),0)</f>
        <v>skill</v>
      </c>
    </row>
    <row r="505" spans="1:25" ht="20.25" customHeight="1">
      <c r="A505" s="50">
        <v>501</v>
      </c>
      <c r="B505" s="62">
        <v>62</v>
      </c>
      <c r="C505" s="62" t="str">
        <f>IFERROR(VLOOKUP(Table2[[#This Row],[Code]],'[2]New Machine sheet'!$A$1:$D$101,2,0),0)</f>
        <v>FQC</v>
      </c>
      <c r="D505" s="62" t="str">
        <f>IFERROR(VLOOKUP(Table2[[#This Row],[M/c No]],'[2]New Machine sheet'!$B$1:$D$101,2,0),0)</f>
        <v>FQC</v>
      </c>
      <c r="E505" s="62" t="str">
        <f>IFERROR(VLOOKUP(Table2[[#This Row],[M/c Name]],'[2]New Machine sheet'!$C$1:$D$101,2,0),0)</f>
        <v>fqc</v>
      </c>
      <c r="F505" s="62">
        <v>78</v>
      </c>
      <c r="G505" s="62">
        <f>IFERROR(VLOOKUP(Table2[[#This Row],[Code2]],'[2]New Machine sheet'!$F$2:$I$64,2,),0)</f>
        <v>2478</v>
      </c>
      <c r="H505" s="62" t="str">
        <f>IFERROR(VLOOKUP(Table2[[#This Row],[Code2]],'[2]New Machine sheet'!$F$2:$I$64,3,0),0)</f>
        <v>RE P1</v>
      </c>
      <c r="I505" s="62"/>
      <c r="J505" s="62">
        <v>5</v>
      </c>
      <c r="K505" s="62" t="str">
        <f>IFERROR(VLOOKUP(Table2[[#This Row],[Code3]],'[2]New defect code '!$A$2:$D$129,2,0),0)</f>
        <v>Bore Over size</v>
      </c>
      <c r="L505" s="62" t="s">
        <v>214</v>
      </c>
      <c r="M505" s="56">
        <v>46266</v>
      </c>
      <c r="N505" s="62"/>
      <c r="O505" s="62"/>
      <c r="P505" s="62"/>
      <c r="Q505" s="62">
        <v>1</v>
      </c>
      <c r="R505" s="62">
        <f>SUBTOTAL(9,Table2[[#This Row],[1st]:[FQC]])</f>
        <v>1</v>
      </c>
      <c r="S505" s="62">
        <f>IFERROR(VLOOKUP(Table2[[#This Row],[Part No.]],'[2]New Machine sheet'!$G$2:$I$90,3,0),0)</f>
        <v>468.06</v>
      </c>
      <c r="T505" s="62">
        <f>Table2[[#This Row],[cost per piece]]*Table2[[#This Row],[Total Rej. qty]]</f>
        <v>468.06</v>
      </c>
      <c r="U505" s="62">
        <f>IFERROR(VLOOKUP(Table2[[#This Row],[Non Conformance]],'[2]New defect code '!$B$2:$C$129,2,0),0)</f>
        <v>3243</v>
      </c>
      <c r="V505" s="62">
        <v>24</v>
      </c>
      <c r="W505" s="62" t="str">
        <f>IFERROR(VLOOKUP(Table2[[#This Row],[Code4]],'[2]New Reason code'!$A$2:$D$77,2,0),0)</f>
        <v>FQC return</v>
      </c>
      <c r="X505" s="62" t="str">
        <f>IFERROR(VLOOKUP(Table2[[#This Row],[Reason]],'[2]New Reason code'!$B$2:$D$77,2,0),0)</f>
        <v>Due to operator</v>
      </c>
      <c r="Y505" s="62" t="str">
        <f>IFERROR(VLOOKUP(Table2[[#This Row],[Rejection Identified at]],'[2]New Reason code'!$C$2:$D$77,2,0),0)</f>
        <v xml:space="preserve">infrastructure </v>
      </c>
    </row>
    <row r="506" spans="1:25" ht="20.25" customHeight="1">
      <c r="A506" s="50">
        <v>502</v>
      </c>
      <c r="B506" s="62">
        <v>6</v>
      </c>
      <c r="C506" s="62" t="str">
        <f>IFERROR(VLOOKUP(Table2[[#This Row],[Code]],'[2]New Machine sheet'!$A$1:$D$101,2,0),0)</f>
        <v>282-06</v>
      </c>
      <c r="D506" s="62" t="str">
        <f>IFERROR(VLOOKUP(Table2[[#This Row],[M/c No]],'[2]New Machine sheet'!$B$1:$D$101,2,0),0)</f>
        <v>Mazak</v>
      </c>
      <c r="E506" s="62" t="str">
        <f>IFERROR(VLOOKUP(Table2[[#This Row],[M/c Name]],'[2]New Machine sheet'!$C$1:$D$101,2,0),0)</f>
        <v>Turning</v>
      </c>
      <c r="F506" s="62">
        <v>178</v>
      </c>
      <c r="G506" s="62">
        <f>IFERROR(VLOOKUP(Table2[[#This Row],[Code2]],'[2]New Machine sheet'!$F$2:$I$64,2,),0)</f>
        <v>24178</v>
      </c>
      <c r="H506" s="62" t="str">
        <f>IFERROR(VLOOKUP(Table2[[#This Row],[Code2]],'[2]New Machine sheet'!$F$2:$I$64,3,0),0)</f>
        <v>RE J1</v>
      </c>
      <c r="I506" s="62" t="s">
        <v>151</v>
      </c>
      <c r="J506" s="62">
        <v>5</v>
      </c>
      <c r="K506" s="62" t="str">
        <f>IFERROR(VLOOKUP(Table2[[#This Row],[Code3]],'[2]New defect code '!$A$2:$D$129,2,0),0)</f>
        <v>Bore Over size</v>
      </c>
      <c r="L506" s="62" t="s">
        <v>214</v>
      </c>
      <c r="M506" s="56">
        <v>46266</v>
      </c>
      <c r="N506" s="62"/>
      <c r="O506" s="62"/>
      <c r="P506" s="62">
        <v>1</v>
      </c>
      <c r="Q506" s="62"/>
      <c r="R506" s="62">
        <f>SUBTOTAL(9,Table2[[#This Row],[1st]:[FQC]])</f>
        <v>1</v>
      </c>
      <c r="S506" s="62">
        <f>IFERROR(VLOOKUP(Table2[[#This Row],[Part No.]],'[2]New Machine sheet'!$G$2:$I$90,3,0),0)</f>
        <v>70.62</v>
      </c>
      <c r="T506" s="62">
        <f>Table2[[#This Row],[cost per piece]]*Table2[[#This Row],[Total Rej. qty]]</f>
        <v>70.62</v>
      </c>
      <c r="U506" s="62">
        <f>IFERROR(VLOOKUP(Table2[[#This Row],[Non Conformance]],'[2]New defect code '!$B$2:$C$129,2,0),0)</f>
        <v>3243</v>
      </c>
      <c r="V506" s="62">
        <v>18</v>
      </c>
      <c r="W506" s="62" t="str">
        <f>IFERROR(VLOOKUP(Table2[[#This Row],[Code4]],'[2]New Reason code'!$A$2:$D$77,2,0),0)</f>
        <v>During insert change</v>
      </c>
      <c r="X506" s="62" t="str">
        <f>IFERROR(VLOOKUP(Table2[[#This Row],[Reason]],'[2]New Reason code'!$B$2:$D$77,2,0),0)</f>
        <v xml:space="preserve">Due to Settup  </v>
      </c>
      <c r="Y506" s="62" t="str">
        <f>IFERROR(VLOOKUP(Table2[[#This Row],[Rejection Identified at]],'[2]New Reason code'!$C$2:$D$77,2,0),0)</f>
        <v>skill</v>
      </c>
    </row>
    <row r="507" spans="1:25" ht="20.25" customHeight="1">
      <c r="A507" s="60">
        <v>503</v>
      </c>
      <c r="B507" s="62">
        <v>12</v>
      </c>
      <c r="C507" s="62" t="str">
        <f>IFERROR(VLOOKUP(Table2[[#This Row],[Code]],'[2]New Machine sheet'!$A$1:$D$101,2,0),0)</f>
        <v>282-12</v>
      </c>
      <c r="D507" s="62" t="str">
        <f>IFERROR(VLOOKUP(Table2[[#This Row],[M/c No]],'[2]New Machine sheet'!$B$1:$D$101,2,0),0)</f>
        <v>Mazak</v>
      </c>
      <c r="E507" s="62" t="str">
        <f>IFERROR(VLOOKUP(Table2[[#This Row],[M/c Name]],'[2]New Machine sheet'!$C$1:$D$101,2,0),0)</f>
        <v>Turning</v>
      </c>
      <c r="F507" s="62">
        <v>115</v>
      </c>
      <c r="G507" s="62">
        <f>IFERROR(VLOOKUP(Table2[[#This Row],[Code2]],'[2]New Machine sheet'!$F$2:$I$64,2,),0)</f>
        <v>24115</v>
      </c>
      <c r="H507" s="62" t="str">
        <f>IFERROR(VLOOKUP(Table2[[#This Row],[Code2]],'[2]New Machine sheet'!$F$2:$I$64,3,0),0)</f>
        <v>RE J1</v>
      </c>
      <c r="I507" s="62" t="s">
        <v>135</v>
      </c>
      <c r="J507" s="62">
        <v>3</v>
      </c>
      <c r="K507" s="62" t="str">
        <f>IFERROR(VLOOKUP(Table2[[#This Row],[Code3]],'[2]New defect code '!$A$2:$D$129,2,0),0)</f>
        <v>Bore damage</v>
      </c>
      <c r="L507" s="62" t="s">
        <v>214</v>
      </c>
      <c r="M507" s="56">
        <v>46266</v>
      </c>
      <c r="N507" s="62"/>
      <c r="O507" s="62"/>
      <c r="P507" s="62">
        <v>1</v>
      </c>
      <c r="Q507" s="62"/>
      <c r="R507" s="62">
        <f>SUBTOTAL(9,Table2[[#This Row],[1st]:[FQC]])</f>
        <v>1</v>
      </c>
      <c r="S507" s="62">
        <f>IFERROR(VLOOKUP(Table2[[#This Row],[Part No.]],'[2]New Machine sheet'!$G$2:$I$90,3,0),0)</f>
        <v>66.900000000000006</v>
      </c>
      <c r="T507" s="62">
        <f>Table2[[#This Row],[cost per piece]]*Table2[[#This Row],[Total Rej. qty]]</f>
        <v>66.900000000000006</v>
      </c>
      <c r="U507" s="62">
        <f>IFERROR(VLOOKUP(Table2[[#This Row],[Non Conformance]],'[2]New defect code '!$B$2:$C$129,2,0),0)</f>
        <v>0</v>
      </c>
      <c r="V507" s="62">
        <v>30</v>
      </c>
      <c r="W507" s="62" t="str">
        <f>IFERROR(VLOOKUP(Table2[[#This Row],[Code4]],'[2]New Reason code'!$A$2:$D$77,2,0),0)</f>
        <v>M/C Accident</v>
      </c>
      <c r="X507" s="62" t="str">
        <f>IFERROR(VLOOKUP(Table2[[#This Row],[Reason]],'[2]New Reason code'!$B$2:$D$77,2,0),0)</f>
        <v xml:space="preserve">Due to machine </v>
      </c>
      <c r="Y507" s="62" t="str">
        <f>IFERROR(VLOOKUP(Table2[[#This Row],[Rejection Identified at]],'[2]New Reason code'!$C$2:$D$77,2,0),0)</f>
        <v>process</v>
      </c>
    </row>
    <row r="508" spans="1:25" ht="20.25" customHeight="1">
      <c r="A508" s="50">
        <v>504</v>
      </c>
      <c r="B508" s="62">
        <v>2</v>
      </c>
      <c r="C508" s="62" t="str">
        <f>IFERROR(VLOOKUP(Table2[[#This Row],[Code]],'[2]New Machine sheet'!$A$1:$D$101,2,0),0)</f>
        <v>282-02</v>
      </c>
      <c r="D508" s="62" t="str">
        <f>IFERROR(VLOOKUP(Table2[[#This Row],[M/c No]],'[2]New Machine sheet'!$B$1:$D$101,2,0),0)</f>
        <v>Mazak</v>
      </c>
      <c r="E508" s="62" t="str">
        <f>IFERROR(VLOOKUP(Table2[[#This Row],[M/c Name]],'[2]New Machine sheet'!$C$1:$D$101,2,0),0)</f>
        <v>Turning</v>
      </c>
      <c r="F508" s="62">
        <v>73</v>
      </c>
      <c r="G508" s="62">
        <f>IFERROR(VLOOKUP(Table2[[#This Row],[Code2]],'[2]New Machine sheet'!$F$2:$I$64,2,),0)</f>
        <v>2473</v>
      </c>
      <c r="H508" s="62" t="str">
        <f>IFERROR(VLOOKUP(Table2[[#This Row],[Code2]],'[2]New Machine sheet'!$F$2:$I$64,3,0),0)</f>
        <v>RE P1</v>
      </c>
      <c r="I508" s="62" t="s">
        <v>126</v>
      </c>
      <c r="J508" s="62">
        <v>3</v>
      </c>
      <c r="K508" s="62" t="str">
        <f>IFERROR(VLOOKUP(Table2[[#This Row],[Code3]],'[2]New defect code '!$A$2:$D$129,2,0),0)</f>
        <v>Bore damage</v>
      </c>
      <c r="L508" s="62" t="s">
        <v>214</v>
      </c>
      <c r="M508" s="56">
        <v>46266</v>
      </c>
      <c r="N508" s="62"/>
      <c r="O508" s="62"/>
      <c r="P508" s="62">
        <v>2</v>
      </c>
      <c r="Q508" s="62"/>
      <c r="R508" s="62">
        <f>SUBTOTAL(9,Table2[[#This Row],[1st]:[FQC]])</f>
        <v>2</v>
      </c>
      <c r="S508" s="62">
        <f>IFERROR(VLOOKUP(Table2[[#This Row],[Part No.]],'[2]New Machine sheet'!$G$2:$I$90,3,0),0)</f>
        <v>110.76</v>
      </c>
      <c r="T508" s="62">
        <f>Table2[[#This Row],[cost per piece]]*Table2[[#This Row],[Total Rej. qty]]</f>
        <v>221.52</v>
      </c>
      <c r="U508" s="62">
        <f>IFERROR(VLOOKUP(Table2[[#This Row],[Non Conformance]],'[2]New defect code '!$B$2:$C$129,2,0),0)</f>
        <v>0</v>
      </c>
      <c r="V508" s="62">
        <v>30</v>
      </c>
      <c r="W508" s="62" t="str">
        <f>IFERROR(VLOOKUP(Table2[[#This Row],[Code4]],'[2]New Reason code'!$A$2:$D$77,2,0),0)</f>
        <v>M/C Accident</v>
      </c>
      <c r="X508" s="62" t="str">
        <f>IFERROR(VLOOKUP(Table2[[#This Row],[Reason]],'[2]New Reason code'!$B$2:$D$77,2,0),0)</f>
        <v xml:space="preserve">Due to machine </v>
      </c>
      <c r="Y508" s="62" t="str">
        <f>IFERROR(VLOOKUP(Table2[[#This Row],[Rejection Identified at]],'[2]New Reason code'!$C$2:$D$77,2,0),0)</f>
        <v>process</v>
      </c>
    </row>
    <row r="509" spans="1:25" ht="20.25" customHeight="1">
      <c r="A509" s="50">
        <v>505</v>
      </c>
      <c r="B509" s="62">
        <v>43</v>
      </c>
      <c r="C509" s="62" t="str">
        <f>IFERROR(VLOOKUP(Table2[[#This Row],[Code]],'[2]New Machine sheet'!$A$1:$D$101,2,0),0)</f>
        <v>252-05</v>
      </c>
      <c r="D509" s="62" t="str">
        <f>IFERROR(VLOOKUP(Table2[[#This Row],[M/c No]],'[2]New Machine sheet'!$B$1:$D$101,2,0),0)</f>
        <v>VMC</v>
      </c>
      <c r="E509" s="62" t="str">
        <f>IFERROR(VLOOKUP(Table2[[#This Row],[M/c Name]],'[2]New Machine sheet'!$C$1:$D$101,2,0),0)</f>
        <v>VMC</v>
      </c>
      <c r="F509" s="62">
        <v>155</v>
      </c>
      <c r="G509" s="62">
        <f>IFERROR(VLOOKUP(Table2[[#This Row],[Code2]],'[2]New Machine sheet'!$F$2:$I$64,2,),0)</f>
        <v>24155</v>
      </c>
      <c r="H509" s="62" t="str">
        <f>IFERROR(VLOOKUP(Table2[[#This Row],[Code2]],'[2]New Machine sheet'!$F$2:$I$64,3,0),0)</f>
        <v>RE J1</v>
      </c>
      <c r="I509" s="62" t="s">
        <v>133</v>
      </c>
      <c r="J509" s="62">
        <v>48</v>
      </c>
      <c r="K509" s="62" t="str">
        <f>IFERROR(VLOOKUP(Table2[[#This Row],[Code3]],'[2]New defect code '!$A$2:$D$129,2,0),0)</f>
        <v>Heavy Dot Punching</v>
      </c>
      <c r="L509" s="62" t="s">
        <v>214</v>
      </c>
      <c r="M509" s="56">
        <v>46266</v>
      </c>
      <c r="N509" s="62"/>
      <c r="O509" s="62"/>
      <c r="P509" s="62">
        <v>3</v>
      </c>
      <c r="Q509" s="62"/>
      <c r="R509" s="62">
        <f>SUBTOTAL(9,Table2[[#This Row],[1st]:[FQC]])</f>
        <v>3</v>
      </c>
      <c r="S509" s="62">
        <f>IFERROR(VLOOKUP(Table2[[#This Row],[Part No.]],'[2]New Machine sheet'!$G$2:$I$90,3,0),0)</f>
        <v>107.67</v>
      </c>
      <c r="T509" s="62">
        <f>Table2[[#This Row],[cost per piece]]*Table2[[#This Row],[Total Rej. qty]]</f>
        <v>323.01</v>
      </c>
      <c r="U509" s="62">
        <f>IFERROR(VLOOKUP(Table2[[#This Row],[Non Conformance]],'[2]New defect code '!$B$2:$C$129,2,0),0)</f>
        <v>3246</v>
      </c>
      <c r="V509" s="62">
        <v>64</v>
      </c>
      <c r="W509" s="62" t="str">
        <f>IFERROR(VLOOKUP(Table2[[#This Row],[Code4]],'[2]New Reason code'!$A$2:$D$77,2,0),0)</f>
        <v>Wrong correction</v>
      </c>
      <c r="X509" s="62" t="str">
        <f>IFERROR(VLOOKUP(Table2[[#This Row],[Reason]],'[2]New Reason code'!$B$2:$D$77,2,0),0)</f>
        <v>Due to operator</v>
      </c>
      <c r="Y509" s="62" t="str">
        <f>IFERROR(VLOOKUP(Table2[[#This Row],[Rejection Identified at]],'[2]New Reason code'!$C$2:$D$77,2,0),0)</f>
        <v xml:space="preserve">infrastructure </v>
      </c>
    </row>
    <row r="510" spans="1:25" ht="20.25" customHeight="1">
      <c r="A510" s="60">
        <v>506</v>
      </c>
      <c r="B510" s="62">
        <v>23</v>
      </c>
      <c r="C510" s="62" t="str">
        <f>IFERROR(VLOOKUP(Table2[[#This Row],[Code]],'[2]New Machine sheet'!$A$1:$D$101,2,0),0)</f>
        <v>ACE-03</v>
      </c>
      <c r="D510" s="62" t="str">
        <f>IFERROR(VLOOKUP(Table2[[#This Row],[M/c No]],'[2]New Machine sheet'!$B$1:$D$101,2,0),0)</f>
        <v>Micromatic</v>
      </c>
      <c r="E510" s="62" t="str">
        <f>IFERROR(VLOOKUP(Table2[[#This Row],[M/c Name]],'[2]New Machine sheet'!$C$1:$D$101,2,0),0)</f>
        <v>Turning</v>
      </c>
      <c r="F510" s="62">
        <v>79</v>
      </c>
      <c r="G510" s="62">
        <f>IFERROR(VLOOKUP(Table2[[#This Row],[Code2]],'[2]New Machine sheet'!$F$2:$I$64,2,),0)</f>
        <v>2479</v>
      </c>
      <c r="H510" s="62" t="str">
        <f>IFERROR(VLOOKUP(Table2[[#This Row],[Code2]],'[2]New Machine sheet'!$F$2:$I$64,3,0),0)</f>
        <v>RE P1</v>
      </c>
      <c r="I510" s="62"/>
      <c r="J510" s="62">
        <v>66</v>
      </c>
      <c r="K510" s="62" t="str">
        <f>IFERROR(VLOOKUP(Table2[[#This Row],[Code3]],'[2]New defect code '!$A$2:$D$129,2,0),0)</f>
        <v>OD Under Size</v>
      </c>
      <c r="L510" s="62" t="s">
        <v>214</v>
      </c>
      <c r="M510" s="56">
        <v>46266</v>
      </c>
      <c r="N510" s="62"/>
      <c r="O510" s="62"/>
      <c r="P510" s="62">
        <v>9</v>
      </c>
      <c r="Q510" s="62"/>
      <c r="R510" s="62">
        <f>SUBTOTAL(9,Table2[[#This Row],[1st]:[FQC]])</f>
        <v>9</v>
      </c>
      <c r="S510" s="62">
        <f>IFERROR(VLOOKUP(Table2[[#This Row],[Part No.]],'[2]New Machine sheet'!$G$2:$I$90,3,0),0)</f>
        <v>43.11</v>
      </c>
      <c r="T510" s="62">
        <f>Table2[[#This Row],[cost per piece]]*Table2[[#This Row],[Total Rej. qty]]</f>
        <v>387.99</v>
      </c>
      <c r="U510" s="62">
        <f>IFERROR(VLOOKUP(Table2[[#This Row],[Non Conformance]],'[2]New defect code '!$B$2:$C$129,2,0),0)</f>
        <v>3242</v>
      </c>
      <c r="V510" s="62">
        <v>19</v>
      </c>
      <c r="W510" s="62" t="str">
        <f>IFERROR(VLOOKUP(Table2[[#This Row],[Code4]],'[2]New Reason code'!$A$2:$D$77,2,0),0)</f>
        <v>During Rework time</v>
      </c>
      <c r="X510" s="62" t="str">
        <f>IFERROR(VLOOKUP(Table2[[#This Row],[Reason]],'[2]New Reason code'!$B$2:$D$77,2,0),0)</f>
        <v>Due to operator</v>
      </c>
      <c r="Y510" s="62" t="str">
        <f>IFERROR(VLOOKUP(Table2[[#This Row],[Rejection Identified at]],'[2]New Reason code'!$C$2:$D$77,2,0),0)</f>
        <v xml:space="preserve">infrastructure </v>
      </c>
    </row>
    <row r="511" spans="1:25" ht="20.25" customHeight="1">
      <c r="A511" s="50">
        <v>507</v>
      </c>
      <c r="B511" s="62">
        <v>23</v>
      </c>
      <c r="C511" s="62" t="str">
        <f>IFERROR(VLOOKUP(Table2[[#This Row],[Code]],'[2]New Machine sheet'!$A$1:$D$101,2,0),0)</f>
        <v>ACE-03</v>
      </c>
      <c r="D511" s="62" t="str">
        <f>IFERROR(VLOOKUP(Table2[[#This Row],[M/c No]],'[2]New Machine sheet'!$B$1:$D$101,2,0),0)</f>
        <v>Micromatic</v>
      </c>
      <c r="E511" s="62" t="str">
        <f>IFERROR(VLOOKUP(Table2[[#This Row],[M/c Name]],'[2]New Machine sheet'!$C$1:$D$101,2,0),0)</f>
        <v>Turning</v>
      </c>
      <c r="F511" s="62">
        <v>79</v>
      </c>
      <c r="G511" s="62">
        <f>IFERROR(VLOOKUP(Table2[[#This Row],[Code2]],'[2]New Machine sheet'!$F$2:$I$64,2,),0)</f>
        <v>2479</v>
      </c>
      <c r="H511" s="62" t="str">
        <f>IFERROR(VLOOKUP(Table2[[#This Row],[Code2]],'[2]New Machine sheet'!$F$2:$I$64,3,0),0)</f>
        <v>RE P1</v>
      </c>
      <c r="I511" s="62"/>
      <c r="J511" s="62">
        <v>93</v>
      </c>
      <c r="K511" s="62" t="str">
        <f>IFERROR(VLOOKUP(Table2[[#This Row],[Code3]],'[2]New defect code '!$A$2:$D$129,2,0),0)</f>
        <v>Thickness Under size</v>
      </c>
      <c r="L511" s="62" t="s">
        <v>214</v>
      </c>
      <c r="M511" s="56">
        <v>46266</v>
      </c>
      <c r="N511" s="62"/>
      <c r="O511" s="62"/>
      <c r="P511" s="62">
        <v>9</v>
      </c>
      <c r="Q511" s="62"/>
      <c r="R511" s="62">
        <f>SUBTOTAL(9,Table2[[#This Row],[1st]:[FQC]])</f>
        <v>9</v>
      </c>
      <c r="S511" s="62">
        <f>IFERROR(VLOOKUP(Table2[[#This Row],[Part No.]],'[2]New Machine sheet'!$G$2:$I$90,3,0),0)</f>
        <v>43.11</v>
      </c>
      <c r="T511" s="62">
        <f>Table2[[#This Row],[cost per piece]]*Table2[[#This Row],[Total Rej. qty]]</f>
        <v>387.99</v>
      </c>
      <c r="U511" s="62">
        <f>IFERROR(VLOOKUP(Table2[[#This Row],[Non Conformance]],'[2]New defect code '!$B$2:$C$129,2,0),0)</f>
        <v>3258</v>
      </c>
      <c r="V511" s="62">
        <v>19</v>
      </c>
      <c r="W511" s="62" t="str">
        <f>IFERROR(VLOOKUP(Table2[[#This Row],[Code4]],'[2]New Reason code'!$A$2:$D$77,2,0),0)</f>
        <v>During Rework time</v>
      </c>
      <c r="X511" s="62" t="str">
        <f>IFERROR(VLOOKUP(Table2[[#This Row],[Reason]],'[2]New Reason code'!$B$2:$D$77,2,0),0)</f>
        <v>Due to operator</v>
      </c>
      <c r="Y511" s="62" t="str">
        <f>IFERROR(VLOOKUP(Table2[[#This Row],[Rejection Identified at]],'[2]New Reason code'!$C$2:$D$77,2,0),0)</f>
        <v xml:space="preserve">infrastructure </v>
      </c>
    </row>
    <row r="512" spans="1:25" ht="20.25" customHeight="1">
      <c r="A512" s="50">
        <v>508</v>
      </c>
      <c r="B512" s="62">
        <v>3</v>
      </c>
      <c r="C512" s="62" t="str">
        <f>IFERROR(VLOOKUP(Table2[[#This Row],[Code]],'[2]New Machine sheet'!$A$1:$D$101,2,0),0)</f>
        <v>282-03</v>
      </c>
      <c r="D512" s="62" t="str">
        <f>IFERROR(VLOOKUP(Table2[[#This Row],[M/c No]],'[2]New Machine sheet'!$B$1:$D$101,2,0),0)</f>
        <v>Mazak</v>
      </c>
      <c r="E512" s="62" t="str">
        <f>IFERROR(VLOOKUP(Table2[[#This Row],[M/c Name]],'[2]New Machine sheet'!$C$1:$D$101,2,0),0)</f>
        <v>Turning</v>
      </c>
      <c r="F512" s="62">
        <v>178</v>
      </c>
      <c r="G512" s="62">
        <f>IFERROR(VLOOKUP(Table2[[#This Row],[Code2]],'[2]New Machine sheet'!$F$2:$I$64,2,),0)</f>
        <v>24178</v>
      </c>
      <c r="H512" s="62" t="str">
        <f>IFERROR(VLOOKUP(Table2[[#This Row],[Code2]],'[2]New Machine sheet'!$F$2:$I$64,3,0),0)</f>
        <v>RE J1</v>
      </c>
      <c r="I512" s="62"/>
      <c r="J512" s="62">
        <v>5</v>
      </c>
      <c r="K512" s="62" t="str">
        <f>IFERROR(VLOOKUP(Table2[[#This Row],[Code3]],'[2]New defect code '!$A$2:$D$129,2,0),0)</f>
        <v>Bore Over size</v>
      </c>
      <c r="L512" s="62" t="s">
        <v>214</v>
      </c>
      <c r="M512" s="56">
        <v>46266</v>
      </c>
      <c r="N512" s="62"/>
      <c r="O512" s="62"/>
      <c r="P512" s="62">
        <v>5</v>
      </c>
      <c r="Q512" s="62"/>
      <c r="R512" s="62">
        <f>SUBTOTAL(9,Table2[[#This Row],[1st]:[FQC]])</f>
        <v>5</v>
      </c>
      <c r="S512" s="62">
        <f>IFERROR(VLOOKUP(Table2[[#This Row],[Part No.]],'[2]New Machine sheet'!$G$2:$I$90,3,0),0)</f>
        <v>70.62</v>
      </c>
      <c r="T512" s="62">
        <f>Table2[[#This Row],[cost per piece]]*Table2[[#This Row],[Total Rej. qty]]</f>
        <v>353.1</v>
      </c>
      <c r="U512" s="62">
        <f>IFERROR(VLOOKUP(Table2[[#This Row],[Non Conformance]],'[2]New defect code '!$B$2:$C$129,2,0),0)</f>
        <v>3243</v>
      </c>
      <c r="V512" s="62">
        <v>45</v>
      </c>
      <c r="W512" s="62" t="str">
        <f>IFERROR(VLOOKUP(Table2[[#This Row],[Code4]],'[2]New Reason code'!$A$2:$D$77,2,0),0)</f>
        <v>Running m/c</v>
      </c>
      <c r="X512" s="62" t="str">
        <f>IFERROR(VLOOKUP(Table2[[#This Row],[Reason]],'[2]New Reason code'!$B$2:$D$77,2,0),0)</f>
        <v xml:space="preserve">Due to machine </v>
      </c>
      <c r="Y512" s="62" t="str">
        <f>IFERROR(VLOOKUP(Table2[[#This Row],[Rejection Identified at]],'[2]New Reason code'!$C$2:$D$77,2,0),0)</f>
        <v>process</v>
      </c>
    </row>
    <row r="513" spans="1:25" ht="20.25" customHeight="1">
      <c r="A513" s="60">
        <v>509</v>
      </c>
      <c r="B513" s="62">
        <v>44</v>
      </c>
      <c r="C513" s="62" t="str">
        <f>IFERROR(VLOOKUP(Table2[[#This Row],[Code]],'[2]New Machine sheet'!$A$1:$D$101,2,0),0)</f>
        <v>LT20-NEW</v>
      </c>
      <c r="D513" s="62" t="str">
        <f>IFERROR(VLOOKUP(Table2[[#This Row],[M/c No]],'[2]New Machine sheet'!$B$1:$D$101,2,0),0)</f>
        <v>ACE</v>
      </c>
      <c r="E513" s="62" t="str">
        <f>IFERROR(VLOOKUP(Table2[[#This Row],[M/c Name]],'[2]New Machine sheet'!$C$1:$D$101,2,0),0)</f>
        <v xml:space="preserve">turning </v>
      </c>
      <c r="F513" s="62">
        <v>78</v>
      </c>
      <c r="G513" s="62">
        <f>IFERROR(VLOOKUP(Table2[[#This Row],[Code2]],'[2]New Machine sheet'!$F$2:$I$64,2,),0)</f>
        <v>2478</v>
      </c>
      <c r="H513" s="62" t="str">
        <f>IFERROR(VLOOKUP(Table2[[#This Row],[Code2]],'[2]New Machine sheet'!$F$2:$I$64,3,0),0)</f>
        <v>RE P1</v>
      </c>
      <c r="I513" s="62" t="s">
        <v>129</v>
      </c>
      <c r="J513" s="62">
        <v>5</v>
      </c>
      <c r="K513" s="62" t="str">
        <f>IFERROR(VLOOKUP(Table2[[#This Row],[Code3]],'[2]New defect code '!$A$2:$D$129,2,0),0)</f>
        <v>Bore Over size</v>
      </c>
      <c r="L513" s="62" t="s">
        <v>217</v>
      </c>
      <c r="M513" s="56">
        <v>46266</v>
      </c>
      <c r="N513" s="62">
        <v>6</v>
      </c>
      <c r="O513" s="62"/>
      <c r="P513" s="62"/>
      <c r="Q513" s="62"/>
      <c r="R513" s="62">
        <f>SUBTOTAL(9,Table2[[#This Row],[1st]:[FQC]])</f>
        <v>6</v>
      </c>
      <c r="S513" s="62">
        <f>IFERROR(VLOOKUP(Table2[[#This Row],[Part No.]],'[2]New Machine sheet'!$G$2:$I$90,3,0),0)</f>
        <v>468.06</v>
      </c>
      <c r="T513" s="62">
        <f>Table2[[#This Row],[cost per piece]]*Table2[[#This Row],[Total Rej. qty]]</f>
        <v>2808.36</v>
      </c>
      <c r="U513" s="62">
        <f>IFERROR(VLOOKUP(Table2[[#This Row],[Non Conformance]],'[2]New defect code '!$B$2:$C$129,2,0),0)</f>
        <v>3243</v>
      </c>
      <c r="V513" s="62">
        <v>19</v>
      </c>
      <c r="W513" s="62" t="str">
        <f>IFERROR(VLOOKUP(Table2[[#This Row],[Code4]],'[2]New Reason code'!$A$2:$D$77,2,0),0)</f>
        <v>During Rework time</v>
      </c>
      <c r="X513" s="62" t="str">
        <f>IFERROR(VLOOKUP(Table2[[#This Row],[Reason]],'[2]New Reason code'!$B$2:$D$77,2,0),0)</f>
        <v>Due to operator</v>
      </c>
      <c r="Y513" s="62" t="str">
        <f>IFERROR(VLOOKUP(Table2[[#This Row],[Rejection Identified at]],'[2]New Reason code'!$C$2:$D$77,2,0),0)</f>
        <v xml:space="preserve">infrastructure </v>
      </c>
    </row>
    <row r="514" spans="1:25" ht="20.25" customHeight="1">
      <c r="A514" s="50">
        <v>510</v>
      </c>
      <c r="B514" s="62">
        <v>44</v>
      </c>
      <c r="C514" s="62" t="str">
        <f>IFERROR(VLOOKUP(Table2[[#This Row],[Code]],'[2]New Machine sheet'!$A$1:$D$101,2,0),0)</f>
        <v>LT20-NEW</v>
      </c>
      <c r="D514" s="62" t="str">
        <f>IFERROR(VLOOKUP(Table2[[#This Row],[M/c No]],'[2]New Machine sheet'!$B$1:$D$101,2,0),0)</f>
        <v>ACE</v>
      </c>
      <c r="E514" s="62" t="str">
        <f>IFERROR(VLOOKUP(Table2[[#This Row],[M/c Name]],'[2]New Machine sheet'!$C$1:$D$101,2,0),0)</f>
        <v xml:space="preserve">turning </v>
      </c>
      <c r="F514" s="62">
        <v>78</v>
      </c>
      <c r="G514" s="62">
        <f>IFERROR(VLOOKUP(Table2[[#This Row],[Code2]],'[2]New Machine sheet'!$F$2:$I$64,2,),0)</f>
        <v>2478</v>
      </c>
      <c r="H514" s="62" t="str">
        <f>IFERROR(VLOOKUP(Table2[[#This Row],[Code2]],'[2]New Machine sheet'!$F$2:$I$64,3,0),0)</f>
        <v>RE P1</v>
      </c>
      <c r="I514" s="62" t="s">
        <v>129</v>
      </c>
      <c r="J514" s="62">
        <v>66</v>
      </c>
      <c r="K514" s="62" t="str">
        <f>IFERROR(VLOOKUP(Table2[[#This Row],[Code3]],'[2]New defect code '!$A$2:$D$129,2,0),0)</f>
        <v>OD Under Size</v>
      </c>
      <c r="L514" s="62" t="s">
        <v>217</v>
      </c>
      <c r="M514" s="56">
        <v>46266</v>
      </c>
      <c r="N514" s="62">
        <v>6</v>
      </c>
      <c r="O514" s="62"/>
      <c r="P514" s="62"/>
      <c r="Q514" s="62"/>
      <c r="R514" s="62">
        <f>SUBTOTAL(9,Table2[[#This Row],[1st]:[FQC]])</f>
        <v>6</v>
      </c>
      <c r="S514" s="62">
        <f>IFERROR(VLOOKUP(Table2[[#This Row],[Part No.]],'[2]New Machine sheet'!$G$2:$I$90,3,0),0)</f>
        <v>468.06</v>
      </c>
      <c r="T514" s="62">
        <f>Table2[[#This Row],[cost per piece]]*Table2[[#This Row],[Total Rej. qty]]</f>
        <v>2808.36</v>
      </c>
      <c r="U514" s="62">
        <f>IFERROR(VLOOKUP(Table2[[#This Row],[Non Conformance]],'[2]New defect code '!$B$2:$C$129,2,0),0)</f>
        <v>3242</v>
      </c>
      <c r="V514" s="62">
        <v>19</v>
      </c>
      <c r="W514" s="62" t="str">
        <f>IFERROR(VLOOKUP(Table2[[#This Row],[Code4]],'[2]New Reason code'!$A$2:$D$77,2,0),0)</f>
        <v>During Rework time</v>
      </c>
      <c r="X514" s="62" t="str">
        <f>IFERROR(VLOOKUP(Table2[[#This Row],[Reason]],'[2]New Reason code'!$B$2:$D$77,2,0),0)</f>
        <v>Due to operator</v>
      </c>
      <c r="Y514" s="62" t="str">
        <f>IFERROR(VLOOKUP(Table2[[#This Row],[Rejection Identified at]],'[2]New Reason code'!$C$2:$D$77,2,0),0)</f>
        <v xml:space="preserve">infrastructure </v>
      </c>
    </row>
    <row r="515" spans="1:25" ht="20.25" customHeight="1">
      <c r="A515" s="50">
        <v>511</v>
      </c>
      <c r="B515" s="62">
        <v>44</v>
      </c>
      <c r="C515" s="62" t="str">
        <f>IFERROR(VLOOKUP(Table2[[#This Row],[Code]],'[2]New Machine sheet'!$A$1:$D$101,2,0),0)</f>
        <v>LT20-NEW</v>
      </c>
      <c r="D515" s="62" t="str">
        <f>IFERROR(VLOOKUP(Table2[[#This Row],[M/c No]],'[2]New Machine sheet'!$B$1:$D$101,2,0),0)</f>
        <v>ACE</v>
      </c>
      <c r="E515" s="62" t="str">
        <f>IFERROR(VLOOKUP(Table2[[#This Row],[M/c Name]],'[2]New Machine sheet'!$C$1:$D$101,2,0),0)</f>
        <v xml:space="preserve">turning </v>
      </c>
      <c r="F515" s="62">
        <v>78</v>
      </c>
      <c r="G515" s="62">
        <f>IFERROR(VLOOKUP(Table2[[#This Row],[Code2]],'[2]New Machine sheet'!$F$2:$I$64,2,),0)</f>
        <v>2478</v>
      </c>
      <c r="H515" s="62" t="str">
        <f>IFERROR(VLOOKUP(Table2[[#This Row],[Code2]],'[2]New Machine sheet'!$F$2:$I$64,3,0),0)</f>
        <v>RE P1</v>
      </c>
      <c r="I515" s="62" t="s">
        <v>129</v>
      </c>
      <c r="J515" s="62">
        <v>93</v>
      </c>
      <c r="K515" s="62" t="str">
        <f>IFERROR(VLOOKUP(Table2[[#This Row],[Code3]],'[2]New defect code '!$A$2:$D$129,2,0),0)</f>
        <v>Thickness Under size</v>
      </c>
      <c r="L515" s="62" t="s">
        <v>217</v>
      </c>
      <c r="M515" s="56">
        <v>46266</v>
      </c>
      <c r="N515" s="62">
        <v>6</v>
      </c>
      <c r="O515" s="62"/>
      <c r="P515" s="62"/>
      <c r="Q515" s="62"/>
      <c r="R515" s="62">
        <f>SUBTOTAL(9,Table2[[#This Row],[1st]:[FQC]])</f>
        <v>6</v>
      </c>
      <c r="S515" s="62">
        <f>IFERROR(VLOOKUP(Table2[[#This Row],[Part No.]],'[2]New Machine sheet'!$G$2:$I$90,3,0),0)</f>
        <v>468.06</v>
      </c>
      <c r="T515" s="62">
        <f>Table2[[#This Row],[cost per piece]]*Table2[[#This Row],[Total Rej. qty]]</f>
        <v>2808.36</v>
      </c>
      <c r="U515" s="62">
        <f>IFERROR(VLOOKUP(Table2[[#This Row],[Non Conformance]],'[2]New defect code '!$B$2:$C$129,2,0),0)</f>
        <v>3258</v>
      </c>
      <c r="V515" s="62">
        <v>19</v>
      </c>
      <c r="W515" s="62" t="str">
        <f>IFERROR(VLOOKUP(Table2[[#This Row],[Code4]],'[2]New Reason code'!$A$2:$D$77,2,0),0)</f>
        <v>During Rework time</v>
      </c>
      <c r="X515" s="62" t="str">
        <f>IFERROR(VLOOKUP(Table2[[#This Row],[Reason]],'[2]New Reason code'!$B$2:$D$77,2,0),0)</f>
        <v>Due to operator</v>
      </c>
      <c r="Y515" s="62" t="str">
        <f>IFERROR(VLOOKUP(Table2[[#This Row],[Rejection Identified at]],'[2]New Reason code'!$C$2:$D$77,2,0),0)</f>
        <v xml:space="preserve">infrastructure </v>
      </c>
    </row>
    <row r="516" spans="1:25" ht="20.25" customHeight="1">
      <c r="A516" s="60">
        <v>512</v>
      </c>
      <c r="B516" s="62">
        <v>14</v>
      </c>
      <c r="C516" s="62" t="str">
        <f>IFERROR(VLOOKUP(Table2[[#This Row],[Code]],'[2]New Machine sheet'!$A$1:$D$101,2,0),0)</f>
        <v>282-14</v>
      </c>
      <c r="D516" s="62" t="str">
        <f>IFERROR(VLOOKUP(Table2[[#This Row],[M/c No]],'[2]New Machine sheet'!$B$1:$D$101,2,0),0)</f>
        <v>Mazak</v>
      </c>
      <c r="E516" s="62" t="str">
        <f>IFERROR(VLOOKUP(Table2[[#This Row],[M/c Name]],'[2]New Machine sheet'!$C$1:$D$101,2,0),0)</f>
        <v>Turning</v>
      </c>
      <c r="F516" s="62">
        <v>155</v>
      </c>
      <c r="G516" s="62">
        <f>IFERROR(VLOOKUP(Table2[[#This Row],[Code2]],'[2]New Machine sheet'!$F$2:$I$64,2,),0)</f>
        <v>24155</v>
      </c>
      <c r="H516" s="62" t="str">
        <f>IFERROR(VLOOKUP(Table2[[#This Row],[Code2]],'[2]New Machine sheet'!$F$2:$I$64,3,0),0)</f>
        <v>RE J1</v>
      </c>
      <c r="I516" s="62"/>
      <c r="J516" s="62">
        <v>80</v>
      </c>
      <c r="K516" s="62" t="str">
        <f>IFERROR(VLOOKUP(Table2[[#This Row],[Code3]],'[2]New defect code '!$A$2:$D$129,2,0),0)</f>
        <v xml:space="preserve">Rust </v>
      </c>
      <c r="L516" s="62" t="s">
        <v>217</v>
      </c>
      <c r="M516" s="56">
        <v>46266</v>
      </c>
      <c r="N516" s="62">
        <v>9</v>
      </c>
      <c r="O516" s="62"/>
      <c r="P516" s="62"/>
      <c r="Q516" s="62"/>
      <c r="R516" s="62">
        <f>SUBTOTAL(9,Table2[[#This Row],[1st]:[FQC]])</f>
        <v>9</v>
      </c>
      <c r="S516" s="62">
        <f>IFERROR(VLOOKUP(Table2[[#This Row],[Part No.]],'[2]New Machine sheet'!$G$2:$I$90,3,0),0)</f>
        <v>107.67</v>
      </c>
      <c r="T516" s="62">
        <f>Table2[[#This Row],[cost per piece]]*Table2[[#This Row],[Total Rej. qty]]</f>
        <v>969.03</v>
      </c>
      <c r="U516" s="62">
        <f>IFERROR(VLOOKUP(Table2[[#This Row],[Non Conformance]],'[2]New defect code '!$B$2:$C$129,2,0),0)</f>
        <v>0</v>
      </c>
      <c r="V516" s="62">
        <v>15</v>
      </c>
      <c r="W516" s="62" t="str">
        <f>IFERROR(VLOOKUP(Table2[[#This Row],[Code4]],'[2]New Reason code'!$A$2:$D$77,2,0),0)</f>
        <v>During ACMA (5S) time</v>
      </c>
      <c r="X516" s="62" t="str">
        <f>IFERROR(VLOOKUP(Table2[[#This Row],[Reason]],'[2]New Reason code'!$B$2:$D$77,2,0),0)</f>
        <v>Prod Declared</v>
      </c>
      <c r="Y516" s="62" t="str">
        <f>IFERROR(VLOOKUP(Table2[[#This Row],[Rejection Identified at]],'[2]New Reason code'!$C$2:$D$77,2,0),0)</f>
        <v>Process Issue</v>
      </c>
    </row>
    <row r="517" spans="1:25" ht="20.25" customHeight="1">
      <c r="A517" s="50">
        <v>513</v>
      </c>
      <c r="B517" s="62">
        <v>8</v>
      </c>
      <c r="C517" s="62" t="str">
        <f>IFERROR(VLOOKUP(Table2[[#This Row],[Code]],'[2]New Machine sheet'!$A$1:$D$101,2,0),0)</f>
        <v>282-08</v>
      </c>
      <c r="D517" s="62" t="str">
        <f>IFERROR(VLOOKUP(Table2[[#This Row],[M/c No]],'[2]New Machine sheet'!$B$1:$D$101,2,0),0)</f>
        <v>Mazak</v>
      </c>
      <c r="E517" s="62" t="str">
        <f>IFERROR(VLOOKUP(Table2[[#This Row],[M/c Name]],'[2]New Machine sheet'!$C$1:$D$101,2,0),0)</f>
        <v>Turning</v>
      </c>
      <c r="F517" s="62">
        <v>117</v>
      </c>
      <c r="G517" s="62">
        <f>IFERROR(VLOOKUP(Table2[[#This Row],[Code2]],'[2]New Machine sheet'!$F$2:$I$64,2,),0)</f>
        <v>24117</v>
      </c>
      <c r="H517" s="62" t="str">
        <f>IFERROR(VLOOKUP(Table2[[#This Row],[Code2]],'[2]New Machine sheet'!$F$2:$I$64,3,0),0)</f>
        <v>RE J1</v>
      </c>
      <c r="I517" s="62"/>
      <c r="J517" s="62">
        <v>80</v>
      </c>
      <c r="K517" s="62" t="str">
        <f>IFERROR(VLOOKUP(Table2[[#This Row],[Code3]],'[2]New defect code '!$A$2:$D$129,2,0),0)</f>
        <v xml:space="preserve">Rust </v>
      </c>
      <c r="L517" s="62" t="s">
        <v>217</v>
      </c>
      <c r="M517" s="56">
        <v>46266</v>
      </c>
      <c r="N517" s="62">
        <v>3</v>
      </c>
      <c r="O517" s="62"/>
      <c r="P517" s="62"/>
      <c r="Q517" s="62"/>
      <c r="R517" s="62">
        <f>SUBTOTAL(9,Table2[[#This Row],[1st]:[FQC]])</f>
        <v>3</v>
      </c>
      <c r="S517" s="62">
        <f>IFERROR(VLOOKUP(Table2[[#This Row],[Part No.]],'[2]New Machine sheet'!$G$2:$I$90,3,0),0)</f>
        <v>111.97</v>
      </c>
      <c r="T517" s="62">
        <f>Table2[[#This Row],[cost per piece]]*Table2[[#This Row],[Total Rej. qty]]</f>
        <v>335.90999999999997</v>
      </c>
      <c r="U517" s="62">
        <f>IFERROR(VLOOKUP(Table2[[#This Row],[Non Conformance]],'[2]New defect code '!$B$2:$C$129,2,0),0)</f>
        <v>0</v>
      </c>
      <c r="V517" s="62">
        <v>15</v>
      </c>
      <c r="W517" s="62" t="str">
        <f>IFERROR(VLOOKUP(Table2[[#This Row],[Code4]],'[2]New Reason code'!$A$2:$D$77,2,0),0)</f>
        <v>During ACMA (5S) time</v>
      </c>
      <c r="X517" s="62" t="str">
        <f>IFERROR(VLOOKUP(Table2[[#This Row],[Reason]],'[2]New Reason code'!$B$2:$D$77,2,0),0)</f>
        <v>Prod Declared</v>
      </c>
      <c r="Y517" s="62" t="str">
        <f>IFERROR(VLOOKUP(Table2[[#This Row],[Rejection Identified at]],'[2]New Reason code'!$C$2:$D$77,2,0),0)</f>
        <v>Process Issue</v>
      </c>
    </row>
    <row r="518" spans="1:25" ht="20.25" customHeight="1">
      <c r="A518" s="50">
        <v>514</v>
      </c>
      <c r="B518" s="62">
        <v>2</v>
      </c>
      <c r="C518" s="62" t="str">
        <f>IFERROR(VLOOKUP(Table2[[#This Row],[Code]],'[2]New Machine sheet'!$A$1:$D$101,2,0),0)</f>
        <v>282-02</v>
      </c>
      <c r="D518" s="62" t="str">
        <f>IFERROR(VLOOKUP(Table2[[#This Row],[M/c No]],'[2]New Machine sheet'!$B$1:$D$101,2,0),0)</f>
        <v>Mazak</v>
      </c>
      <c r="E518" s="62" t="str">
        <f>IFERROR(VLOOKUP(Table2[[#This Row],[M/c Name]],'[2]New Machine sheet'!$C$1:$D$101,2,0),0)</f>
        <v>Turning</v>
      </c>
      <c r="F518" s="62">
        <v>115</v>
      </c>
      <c r="G518" s="62">
        <f>IFERROR(VLOOKUP(Table2[[#This Row],[Code2]],'[2]New Machine sheet'!$F$2:$I$64,2,),0)</f>
        <v>24115</v>
      </c>
      <c r="H518" s="62" t="str">
        <f>IFERROR(VLOOKUP(Table2[[#This Row],[Code2]],'[2]New Machine sheet'!$F$2:$I$64,3,0),0)</f>
        <v>RE J1</v>
      </c>
      <c r="I518" s="62"/>
      <c r="J518" s="62">
        <v>80</v>
      </c>
      <c r="K518" s="62" t="str">
        <f>IFERROR(VLOOKUP(Table2[[#This Row],[Code3]],'[2]New defect code '!$A$2:$D$129,2,0),0)</f>
        <v xml:space="preserve">Rust </v>
      </c>
      <c r="L518" s="62" t="s">
        <v>217</v>
      </c>
      <c r="M518" s="56">
        <v>46266</v>
      </c>
      <c r="N518" s="62">
        <v>1</v>
      </c>
      <c r="O518" s="62"/>
      <c r="P518" s="62"/>
      <c r="Q518" s="62"/>
      <c r="R518" s="62">
        <f>SUBTOTAL(9,Table2[[#This Row],[1st]:[FQC]])</f>
        <v>1</v>
      </c>
      <c r="S518" s="62">
        <f>IFERROR(VLOOKUP(Table2[[#This Row],[Part No.]],'[2]New Machine sheet'!$G$2:$I$90,3,0),0)</f>
        <v>66.900000000000006</v>
      </c>
      <c r="T518" s="62">
        <f>Table2[[#This Row],[cost per piece]]*Table2[[#This Row],[Total Rej. qty]]</f>
        <v>66.900000000000006</v>
      </c>
      <c r="U518" s="62">
        <f>IFERROR(VLOOKUP(Table2[[#This Row],[Non Conformance]],'[2]New defect code '!$B$2:$C$129,2,0),0)</f>
        <v>0</v>
      </c>
      <c r="V518" s="62">
        <v>15</v>
      </c>
      <c r="W518" s="62" t="str">
        <f>IFERROR(VLOOKUP(Table2[[#This Row],[Code4]],'[2]New Reason code'!$A$2:$D$77,2,0),0)</f>
        <v>During ACMA (5S) time</v>
      </c>
      <c r="X518" s="62" t="str">
        <f>IFERROR(VLOOKUP(Table2[[#This Row],[Reason]],'[2]New Reason code'!$B$2:$D$77,2,0),0)</f>
        <v>Prod Declared</v>
      </c>
      <c r="Y518" s="62" t="str">
        <f>IFERROR(VLOOKUP(Table2[[#This Row],[Rejection Identified at]],'[2]New Reason code'!$C$2:$D$77,2,0),0)</f>
        <v>Process Issue</v>
      </c>
    </row>
    <row r="519" spans="1:25" ht="20.25" customHeight="1">
      <c r="A519" s="60">
        <v>515</v>
      </c>
      <c r="B519" s="62">
        <v>1</v>
      </c>
      <c r="C519" s="62" t="str">
        <f>IFERROR(VLOOKUP(Table2[[#This Row],[Code]],'[2]New Machine sheet'!$A$1:$D$101,2,0),0)</f>
        <v>282-01</v>
      </c>
      <c r="D519" s="62" t="str">
        <f>IFERROR(VLOOKUP(Table2[[#This Row],[M/c No]],'[2]New Machine sheet'!$B$1:$D$101,2,0),0)</f>
        <v>Mazak</v>
      </c>
      <c r="E519" s="62" t="str">
        <f>IFERROR(VLOOKUP(Table2[[#This Row],[M/c Name]],'[2]New Machine sheet'!$C$1:$D$101,2,0),0)</f>
        <v>Turning</v>
      </c>
      <c r="F519" s="62">
        <v>28</v>
      </c>
      <c r="G519" s="62">
        <f>IFERROR(VLOOKUP(Table2[[#This Row],[Code2]],'[2]New Machine sheet'!$F$2:$I$64,2,),0)</f>
        <v>2428</v>
      </c>
      <c r="H519" s="62" t="str">
        <f>IFERROR(VLOOKUP(Table2[[#This Row],[Code2]],'[2]New Machine sheet'!$F$2:$I$64,3,0),0)</f>
        <v>RE P1</v>
      </c>
      <c r="I519" s="62"/>
      <c r="J519" s="62">
        <v>80</v>
      </c>
      <c r="K519" s="62" t="str">
        <f>IFERROR(VLOOKUP(Table2[[#This Row],[Code3]],'[2]New defect code '!$A$2:$D$129,2,0),0)</f>
        <v xml:space="preserve">Rust </v>
      </c>
      <c r="L519" s="62" t="s">
        <v>217</v>
      </c>
      <c r="M519" s="56">
        <v>46266</v>
      </c>
      <c r="N519" s="62">
        <v>2</v>
      </c>
      <c r="O519" s="62"/>
      <c r="P519" s="62"/>
      <c r="Q519" s="62"/>
      <c r="R519" s="62">
        <f>SUBTOTAL(9,Table2[[#This Row],[1st]:[FQC]])</f>
        <v>2</v>
      </c>
      <c r="S519" s="62">
        <f>IFERROR(VLOOKUP(Table2[[#This Row],[Part No.]],'[2]New Machine sheet'!$G$2:$I$90,3,0),0)</f>
        <v>124.07</v>
      </c>
      <c r="T519" s="62">
        <f>Table2[[#This Row],[cost per piece]]*Table2[[#This Row],[Total Rej. qty]]</f>
        <v>248.14</v>
      </c>
      <c r="U519" s="62">
        <f>IFERROR(VLOOKUP(Table2[[#This Row],[Non Conformance]],'[2]New defect code '!$B$2:$C$129,2,0),0)</f>
        <v>0</v>
      </c>
      <c r="V519" s="62">
        <v>15</v>
      </c>
      <c r="W519" s="62" t="str">
        <f>IFERROR(VLOOKUP(Table2[[#This Row],[Code4]],'[2]New Reason code'!$A$2:$D$77,2,0),0)</f>
        <v>During ACMA (5S) time</v>
      </c>
      <c r="X519" s="62" t="str">
        <f>IFERROR(VLOOKUP(Table2[[#This Row],[Reason]],'[2]New Reason code'!$B$2:$D$77,2,0),0)</f>
        <v>Prod Declared</v>
      </c>
      <c r="Y519" s="62" t="str">
        <f>IFERROR(VLOOKUP(Table2[[#This Row],[Rejection Identified at]],'[2]New Reason code'!$C$2:$D$77,2,0),0)</f>
        <v>Process Issue</v>
      </c>
    </row>
    <row r="520" spans="1:25" ht="20.25" customHeight="1">
      <c r="A520" s="50">
        <v>516</v>
      </c>
      <c r="B520" s="62">
        <v>24</v>
      </c>
      <c r="C520" s="62" t="str">
        <f>IFERROR(VLOOKUP(Table2[[#This Row],[Code]],'[2]New Machine sheet'!$A$1:$D$101,2,0),0)</f>
        <v>ACE-04</v>
      </c>
      <c r="D520" s="62" t="str">
        <f>IFERROR(VLOOKUP(Table2[[#This Row],[M/c No]],'[2]New Machine sheet'!$B$1:$D$101,2,0),0)</f>
        <v>Micromatic</v>
      </c>
      <c r="E520" s="62" t="str">
        <f>IFERROR(VLOOKUP(Table2[[#This Row],[M/c Name]],'[2]New Machine sheet'!$C$1:$D$101,2,0),0)</f>
        <v>Turning</v>
      </c>
      <c r="F520" s="62">
        <v>64</v>
      </c>
      <c r="G520" s="62">
        <f>IFERROR(VLOOKUP(Table2[[#This Row],[Code2]],'[2]New Machine sheet'!$F$2:$I$64,2,),0)</f>
        <v>2464</v>
      </c>
      <c r="H520" s="62" t="str">
        <f>IFERROR(VLOOKUP(Table2[[#This Row],[Code2]],'[2]New Machine sheet'!$F$2:$I$64,3,0),0)</f>
        <v>RE D1</v>
      </c>
      <c r="I520" s="62"/>
      <c r="J520" s="62">
        <v>80</v>
      </c>
      <c r="K520" s="62" t="str">
        <f>IFERROR(VLOOKUP(Table2[[#This Row],[Code3]],'[2]New defect code '!$A$2:$D$129,2,0),0)</f>
        <v xml:space="preserve">Rust </v>
      </c>
      <c r="L520" s="62" t="s">
        <v>217</v>
      </c>
      <c r="M520" s="56">
        <v>46266</v>
      </c>
      <c r="N520" s="62">
        <v>1</v>
      </c>
      <c r="O520" s="62"/>
      <c r="P520" s="62"/>
      <c r="Q520" s="62"/>
      <c r="R520" s="62">
        <f>SUBTOTAL(9,Table2[[#This Row],[1st]:[FQC]])</f>
        <v>1</v>
      </c>
      <c r="S520" s="62">
        <f>IFERROR(VLOOKUP(Table2[[#This Row],[Part No.]],'[2]New Machine sheet'!$G$2:$I$90,3,0),0)</f>
        <v>56.779090909090911</v>
      </c>
      <c r="T520" s="62">
        <f>Table2[[#This Row],[cost per piece]]*Table2[[#This Row],[Total Rej. qty]]</f>
        <v>56.779090909090911</v>
      </c>
      <c r="U520" s="62">
        <f>IFERROR(VLOOKUP(Table2[[#This Row],[Non Conformance]],'[2]New defect code '!$B$2:$C$129,2,0),0)</f>
        <v>0</v>
      </c>
      <c r="V520" s="62">
        <v>15</v>
      </c>
      <c r="W520" s="62" t="str">
        <f>IFERROR(VLOOKUP(Table2[[#This Row],[Code4]],'[2]New Reason code'!$A$2:$D$77,2,0),0)</f>
        <v>During ACMA (5S) time</v>
      </c>
      <c r="X520" s="62" t="str">
        <f>IFERROR(VLOOKUP(Table2[[#This Row],[Reason]],'[2]New Reason code'!$B$2:$D$77,2,0),0)</f>
        <v>Prod Declared</v>
      </c>
      <c r="Y520" s="62" t="str">
        <f>IFERROR(VLOOKUP(Table2[[#This Row],[Rejection Identified at]],'[2]New Reason code'!$C$2:$D$77,2,0),0)</f>
        <v>Process Issue</v>
      </c>
    </row>
    <row r="521" spans="1:25" ht="20.25" customHeight="1">
      <c r="A521" s="50">
        <v>517</v>
      </c>
      <c r="B521" s="62">
        <v>12</v>
      </c>
      <c r="C521" s="62" t="str">
        <f>IFERROR(VLOOKUP(Table2[[#This Row],[Code]],'[2]New Machine sheet'!$A$1:$D$101,2,0),0)</f>
        <v>282-12</v>
      </c>
      <c r="D521" s="62" t="str">
        <f>IFERROR(VLOOKUP(Table2[[#This Row],[M/c No]],'[2]New Machine sheet'!$B$1:$D$101,2,0),0)</f>
        <v>Mazak</v>
      </c>
      <c r="E521" s="62" t="str">
        <f>IFERROR(VLOOKUP(Table2[[#This Row],[M/c Name]],'[2]New Machine sheet'!$C$1:$D$101,2,0),0)</f>
        <v>Turning</v>
      </c>
      <c r="F521" s="62">
        <v>73</v>
      </c>
      <c r="G521" s="62">
        <f>IFERROR(VLOOKUP(Table2[[#This Row],[Code2]],'[2]New Machine sheet'!$F$2:$I$64,2,),0)</f>
        <v>2473</v>
      </c>
      <c r="H521" s="62" t="str">
        <f>IFERROR(VLOOKUP(Table2[[#This Row],[Code2]],'[2]New Machine sheet'!$F$2:$I$64,3,0),0)</f>
        <v>RE P1</v>
      </c>
      <c r="I521" s="62" t="s">
        <v>127</v>
      </c>
      <c r="J521" s="62">
        <v>3</v>
      </c>
      <c r="K521" s="62" t="str">
        <f>IFERROR(VLOOKUP(Table2[[#This Row],[Code3]],'[2]New defect code '!$A$2:$D$129,2,0),0)</f>
        <v>Bore damage</v>
      </c>
      <c r="L521" s="62" t="s">
        <v>217</v>
      </c>
      <c r="M521" s="56">
        <v>46266</v>
      </c>
      <c r="N521" s="62">
        <v>1</v>
      </c>
      <c r="O521" s="62"/>
      <c r="P521" s="62"/>
      <c r="Q521" s="62"/>
      <c r="R521" s="62">
        <f>SUBTOTAL(9,Table2[[#This Row],[1st]:[FQC]])</f>
        <v>1</v>
      </c>
      <c r="S521" s="62">
        <f>IFERROR(VLOOKUP(Table2[[#This Row],[Part No.]],'[2]New Machine sheet'!$G$2:$I$90,3,0),0)</f>
        <v>110.76</v>
      </c>
      <c r="T521" s="62">
        <f>Table2[[#This Row],[cost per piece]]*Table2[[#This Row],[Total Rej. qty]]</f>
        <v>110.76</v>
      </c>
      <c r="U521" s="62">
        <f>IFERROR(VLOOKUP(Table2[[#This Row],[Non Conformance]],'[2]New defect code '!$B$2:$C$129,2,0),0)</f>
        <v>0</v>
      </c>
      <c r="V521" s="62">
        <v>66</v>
      </c>
      <c r="W521" s="62" t="str">
        <f>IFERROR(VLOOKUP(Table2[[#This Row],[Code4]],'[2]New Reason code'!$A$2:$D$77,2,0),0)</f>
        <v>Wrong Loading</v>
      </c>
      <c r="X521" s="62" t="str">
        <f>IFERROR(VLOOKUP(Table2[[#This Row],[Reason]],'[2]New Reason code'!$B$2:$D$77,2,0),0)</f>
        <v>Due to operator</v>
      </c>
      <c r="Y521" s="62" t="str">
        <f>IFERROR(VLOOKUP(Table2[[#This Row],[Rejection Identified at]],'[2]New Reason code'!$C$2:$D$77,2,0),0)</f>
        <v xml:space="preserve">infrastructure </v>
      </c>
    </row>
    <row r="522" spans="1:25" ht="20.25" customHeight="1">
      <c r="A522" s="60">
        <v>518</v>
      </c>
      <c r="B522" s="62">
        <v>5</v>
      </c>
      <c r="C522" s="62" t="str">
        <f>IFERROR(VLOOKUP(Table2[[#This Row],[Code]],'[2]New Machine sheet'!$A$1:$D$101,2,0),0)</f>
        <v>282-05</v>
      </c>
      <c r="D522" s="62" t="str">
        <f>IFERROR(VLOOKUP(Table2[[#This Row],[M/c No]],'[2]New Machine sheet'!$B$1:$D$101,2,0),0)</f>
        <v>Mazak</v>
      </c>
      <c r="E522" s="62" t="str">
        <f>IFERROR(VLOOKUP(Table2[[#This Row],[M/c Name]],'[2]New Machine sheet'!$C$1:$D$101,2,0),0)</f>
        <v>Turning</v>
      </c>
      <c r="F522" s="62">
        <v>119</v>
      </c>
      <c r="G522" s="62">
        <f>IFERROR(VLOOKUP(Table2[[#This Row],[Code2]],'[2]New Machine sheet'!$F$2:$I$64,2,),0)</f>
        <v>24119</v>
      </c>
      <c r="H522" s="62" t="str">
        <f>IFERROR(VLOOKUP(Table2[[#This Row],[Code2]],'[2]New Machine sheet'!$F$2:$I$64,3,0),0)</f>
        <v>RE J1</v>
      </c>
      <c r="I522" s="62" t="s">
        <v>154</v>
      </c>
      <c r="J522" s="62">
        <v>5</v>
      </c>
      <c r="K522" s="62" t="str">
        <f>IFERROR(VLOOKUP(Table2[[#This Row],[Code3]],'[2]New defect code '!$A$2:$D$129,2,0),0)</f>
        <v>Bore Over size</v>
      </c>
      <c r="L522" s="62" t="s">
        <v>217</v>
      </c>
      <c r="M522" s="56">
        <v>46266</v>
      </c>
      <c r="N522" s="62">
        <v>4</v>
      </c>
      <c r="O522" s="62"/>
      <c r="P522" s="62"/>
      <c r="Q522" s="62"/>
      <c r="R522" s="62">
        <f>SUBTOTAL(9,Table2[[#This Row],[1st]:[FQC]])</f>
        <v>4</v>
      </c>
      <c r="S522" s="62">
        <f>IFERROR(VLOOKUP(Table2[[#This Row],[Part No.]],'[2]New Machine sheet'!$G$2:$I$90,3,0),0)</f>
        <v>103.2</v>
      </c>
      <c r="T522" s="62">
        <f>Table2[[#This Row],[cost per piece]]*Table2[[#This Row],[Total Rej. qty]]</f>
        <v>412.8</v>
      </c>
      <c r="U522" s="62">
        <f>IFERROR(VLOOKUP(Table2[[#This Row],[Non Conformance]],'[2]New defect code '!$B$2:$C$129,2,0),0)</f>
        <v>3243</v>
      </c>
      <c r="V522" s="62">
        <v>70</v>
      </c>
      <c r="W522" s="62" t="str">
        <f>IFERROR(VLOOKUP(Table2[[#This Row],[Code4]],'[2]New Reason code'!$A$2:$D$77,2,0),0)</f>
        <v>Insert Wear Out</v>
      </c>
      <c r="X522" s="62" t="str">
        <f>IFERROR(VLOOKUP(Table2[[#This Row],[Reason]],'[2]New Reason code'!$B$2:$D$77,2,0),0)</f>
        <v>Line audit</v>
      </c>
      <c r="Y522" s="62" t="str">
        <f>IFERROR(VLOOKUP(Table2[[#This Row],[Rejection Identified at]],'[2]New Reason code'!$C$2:$D$77,2,0),0)</f>
        <v>Process Issue</v>
      </c>
    </row>
    <row r="523" spans="1:25" ht="20.25" customHeight="1">
      <c r="A523" s="50">
        <v>519</v>
      </c>
      <c r="B523" s="62">
        <v>21</v>
      </c>
      <c r="C523" s="62" t="str">
        <f>IFERROR(VLOOKUP(Table2[[#This Row],[Code]],'[2]New Machine sheet'!$A$1:$D$101,2,0),0)</f>
        <v>ACE-01</v>
      </c>
      <c r="D523" s="62" t="str">
        <f>IFERROR(VLOOKUP(Table2[[#This Row],[M/c No]],'[2]New Machine sheet'!$B$1:$D$101,2,0),0)</f>
        <v>Micromatic</v>
      </c>
      <c r="E523" s="62" t="str">
        <f>IFERROR(VLOOKUP(Table2[[#This Row],[M/c Name]],'[2]New Machine sheet'!$C$1:$D$101,2,0),0)</f>
        <v>Turning</v>
      </c>
      <c r="F523" s="62">
        <v>121</v>
      </c>
      <c r="G523" s="62">
        <f>IFERROR(VLOOKUP(Table2[[#This Row],[Code2]],'[2]New Machine sheet'!$F$2:$I$64,2,),0)</f>
        <v>24121</v>
      </c>
      <c r="H523" s="62" t="str">
        <f>IFERROR(VLOOKUP(Table2[[#This Row],[Code2]],'[2]New Machine sheet'!$F$2:$I$64,3,0),0)</f>
        <v>RE J1</v>
      </c>
      <c r="I523" s="62" t="s">
        <v>122</v>
      </c>
      <c r="J523" s="62">
        <v>5</v>
      </c>
      <c r="K523" s="62" t="str">
        <f>IFERROR(VLOOKUP(Table2[[#This Row],[Code3]],'[2]New defect code '!$A$2:$D$129,2,0),0)</f>
        <v>Bore Over size</v>
      </c>
      <c r="L523" s="62" t="s">
        <v>217</v>
      </c>
      <c r="M523" s="56">
        <v>46266</v>
      </c>
      <c r="N523" s="62">
        <v>1</v>
      </c>
      <c r="O523" s="62"/>
      <c r="P523" s="62"/>
      <c r="Q523" s="62"/>
      <c r="R523" s="62">
        <f>SUBTOTAL(9,Table2[[#This Row],[1st]:[FQC]])</f>
        <v>1</v>
      </c>
      <c r="S523" s="62">
        <f>IFERROR(VLOOKUP(Table2[[#This Row],[Part No.]],'[2]New Machine sheet'!$G$2:$I$90,3,0),0)</f>
        <v>135.66999999999999</v>
      </c>
      <c r="T523" s="62">
        <f>Table2[[#This Row],[cost per piece]]*Table2[[#This Row],[Total Rej. qty]]</f>
        <v>135.66999999999999</v>
      </c>
      <c r="U523" s="62">
        <f>IFERROR(VLOOKUP(Table2[[#This Row],[Non Conformance]],'[2]New defect code '!$B$2:$C$129,2,0),0)</f>
        <v>3243</v>
      </c>
      <c r="V523" s="62">
        <v>12</v>
      </c>
      <c r="W523" s="62" t="str">
        <f>IFERROR(VLOOKUP(Table2[[#This Row],[Code4]],'[2]New Reason code'!$A$2:$D$77,2,0),0)</f>
        <v>Double loading</v>
      </c>
      <c r="X523" s="62" t="str">
        <f>IFERROR(VLOOKUP(Table2[[#This Row],[Reason]],'[2]New Reason code'!$B$2:$D$77,2,0),0)</f>
        <v>Due to operator</v>
      </c>
      <c r="Y523" s="62" t="str">
        <f>IFERROR(VLOOKUP(Table2[[#This Row],[Rejection Identified at]],'[2]New Reason code'!$C$2:$D$77,2,0),0)</f>
        <v xml:space="preserve">infrastructure </v>
      </c>
    </row>
    <row r="524" spans="1:25" ht="20.25" customHeight="1">
      <c r="A524" s="50">
        <v>520</v>
      </c>
      <c r="B524" s="62">
        <v>35</v>
      </c>
      <c r="C524" s="62" t="str">
        <f>IFERROR(VLOOKUP(Table2[[#This Row],[Code]],'[2]New Machine sheet'!$A$1:$D$101,2,0),0)</f>
        <v>ACE-15</v>
      </c>
      <c r="D524" s="62" t="str">
        <f>IFERROR(VLOOKUP(Table2[[#This Row],[M/c No]],'[2]New Machine sheet'!$B$1:$D$101,2,0),0)</f>
        <v>Micromatic</v>
      </c>
      <c r="E524" s="62" t="str">
        <f>IFERROR(VLOOKUP(Table2[[#This Row],[M/c Name]],'[2]New Machine sheet'!$C$1:$D$101,2,0),0)</f>
        <v>Turning</v>
      </c>
      <c r="F524" s="62">
        <v>113</v>
      </c>
      <c r="G524" s="62">
        <f>IFERROR(VLOOKUP(Table2[[#This Row],[Code2]],'[2]New Machine sheet'!$F$2:$I$64,2,),0)</f>
        <v>24113</v>
      </c>
      <c r="H524" s="62" t="str">
        <f>IFERROR(VLOOKUP(Table2[[#This Row],[Code2]],'[2]New Machine sheet'!$F$2:$I$64,3,0),0)</f>
        <v>RE J1</v>
      </c>
      <c r="I524" s="62" t="s">
        <v>126</v>
      </c>
      <c r="J524" s="62">
        <v>5</v>
      </c>
      <c r="K524" s="62" t="str">
        <f>IFERROR(VLOOKUP(Table2[[#This Row],[Code3]],'[2]New defect code '!$A$2:$D$129,2,0),0)</f>
        <v>Bore Over size</v>
      </c>
      <c r="L524" s="62" t="s">
        <v>217</v>
      </c>
      <c r="M524" s="56">
        <v>46266</v>
      </c>
      <c r="N524" s="62">
        <v>1</v>
      </c>
      <c r="O524" s="62"/>
      <c r="P524" s="62"/>
      <c r="Q524" s="62"/>
      <c r="R524" s="62">
        <f>SUBTOTAL(9,Table2[[#This Row],[1st]:[FQC]])</f>
        <v>1</v>
      </c>
      <c r="S524" s="62">
        <f>IFERROR(VLOOKUP(Table2[[#This Row],[Part No.]],'[2]New Machine sheet'!$G$2:$I$90,3,0),0)</f>
        <v>90</v>
      </c>
      <c r="T524" s="62">
        <f>Table2[[#This Row],[cost per piece]]*Table2[[#This Row],[Total Rej. qty]]</f>
        <v>90</v>
      </c>
      <c r="U524" s="62">
        <f>IFERROR(VLOOKUP(Table2[[#This Row],[Non Conformance]],'[2]New defect code '!$B$2:$C$129,2,0),0)</f>
        <v>3243</v>
      </c>
      <c r="V524" s="62">
        <v>18</v>
      </c>
      <c r="W524" s="62" t="str">
        <f>IFERROR(VLOOKUP(Table2[[#This Row],[Code4]],'[2]New Reason code'!$A$2:$D$77,2,0),0)</f>
        <v>During insert change</v>
      </c>
      <c r="X524" s="62" t="str">
        <f>IFERROR(VLOOKUP(Table2[[#This Row],[Reason]],'[2]New Reason code'!$B$2:$D$77,2,0),0)</f>
        <v xml:space="preserve">Due to Settup  </v>
      </c>
      <c r="Y524" s="62" t="str">
        <f>IFERROR(VLOOKUP(Table2[[#This Row],[Rejection Identified at]],'[2]New Reason code'!$C$2:$D$77,2,0),0)</f>
        <v>skill</v>
      </c>
    </row>
    <row r="525" spans="1:25" ht="20.25" customHeight="1">
      <c r="A525" s="60">
        <v>521</v>
      </c>
      <c r="B525" s="62">
        <v>20</v>
      </c>
      <c r="C525" s="62" t="str">
        <f>IFERROR(VLOOKUP(Table2[[#This Row],[Code]],'[2]New Machine sheet'!$A$1:$D$101,2,0),0)</f>
        <v>282-20</v>
      </c>
      <c r="D525" s="62" t="str">
        <f>IFERROR(VLOOKUP(Table2[[#This Row],[M/c No]],'[2]New Machine sheet'!$B$1:$D$101,2,0),0)</f>
        <v>Mazak</v>
      </c>
      <c r="E525" s="62" t="str">
        <f>IFERROR(VLOOKUP(Table2[[#This Row],[M/c Name]],'[2]New Machine sheet'!$C$1:$D$101,2,0),0)</f>
        <v>Turning</v>
      </c>
      <c r="F525" s="62">
        <v>115</v>
      </c>
      <c r="G525" s="62">
        <f>IFERROR(VLOOKUP(Table2[[#This Row],[Code2]],'[2]New Machine sheet'!$F$2:$I$64,2,),0)</f>
        <v>24115</v>
      </c>
      <c r="H525" s="62" t="str">
        <f>IFERROR(VLOOKUP(Table2[[#This Row],[Code2]],'[2]New Machine sheet'!$F$2:$I$64,3,0),0)</f>
        <v>RE J1</v>
      </c>
      <c r="I525" s="62" t="s">
        <v>191</v>
      </c>
      <c r="J525" s="62">
        <v>5</v>
      </c>
      <c r="K525" s="62" t="str">
        <f>IFERROR(VLOOKUP(Table2[[#This Row],[Code3]],'[2]New defect code '!$A$2:$D$129,2,0),0)</f>
        <v>Bore Over size</v>
      </c>
      <c r="L525" s="62" t="s">
        <v>217</v>
      </c>
      <c r="M525" s="56">
        <v>46266</v>
      </c>
      <c r="N525" s="62">
        <v>1</v>
      </c>
      <c r="O525" s="62"/>
      <c r="P525" s="62"/>
      <c r="Q525" s="62"/>
      <c r="R525" s="62">
        <f>SUBTOTAL(9,Table2[[#This Row],[1st]:[FQC]])</f>
        <v>1</v>
      </c>
      <c r="S525" s="62">
        <f>IFERROR(VLOOKUP(Table2[[#This Row],[Part No.]],'[2]New Machine sheet'!$G$2:$I$90,3,0),0)</f>
        <v>66.900000000000006</v>
      </c>
      <c r="T525" s="62">
        <f>Table2[[#This Row],[cost per piece]]*Table2[[#This Row],[Total Rej. qty]]</f>
        <v>66.900000000000006</v>
      </c>
      <c r="U525" s="62">
        <f>IFERROR(VLOOKUP(Table2[[#This Row],[Non Conformance]],'[2]New defect code '!$B$2:$C$129,2,0),0)</f>
        <v>3243</v>
      </c>
      <c r="V525" s="62">
        <v>18</v>
      </c>
      <c r="W525" s="62" t="str">
        <f>IFERROR(VLOOKUP(Table2[[#This Row],[Code4]],'[2]New Reason code'!$A$2:$D$77,2,0),0)</f>
        <v>During insert change</v>
      </c>
      <c r="X525" s="62" t="str">
        <f>IFERROR(VLOOKUP(Table2[[#This Row],[Reason]],'[2]New Reason code'!$B$2:$D$77,2,0),0)</f>
        <v xml:space="preserve">Due to Settup  </v>
      </c>
      <c r="Y525" s="62" t="str">
        <f>IFERROR(VLOOKUP(Table2[[#This Row],[Rejection Identified at]],'[2]New Reason code'!$C$2:$D$77,2,0),0)</f>
        <v>skill</v>
      </c>
    </row>
    <row r="526" spans="1:25" ht="20.25" customHeight="1">
      <c r="A526" s="50">
        <v>522</v>
      </c>
      <c r="B526" s="62">
        <v>18</v>
      </c>
      <c r="C526" s="62" t="str">
        <f>IFERROR(VLOOKUP(Table2[[#This Row],[Code]],'[2]New Machine sheet'!$A$1:$D$101,2,0),0)</f>
        <v>282-18</v>
      </c>
      <c r="D526" s="62" t="str">
        <f>IFERROR(VLOOKUP(Table2[[#This Row],[M/c No]],'[2]New Machine sheet'!$B$1:$D$101,2,0),0)</f>
        <v>Mazak</v>
      </c>
      <c r="E526" s="62" t="str">
        <f>IFERROR(VLOOKUP(Table2[[#This Row],[M/c Name]],'[2]New Machine sheet'!$C$1:$D$101,2,0),0)</f>
        <v>Turning</v>
      </c>
      <c r="F526" s="62">
        <v>178</v>
      </c>
      <c r="G526" s="62">
        <f>IFERROR(VLOOKUP(Table2[[#This Row],[Code2]],'[2]New Machine sheet'!$F$2:$I$64,2,),0)</f>
        <v>24178</v>
      </c>
      <c r="H526" s="62" t="str">
        <f>IFERROR(VLOOKUP(Table2[[#This Row],[Code2]],'[2]New Machine sheet'!$F$2:$I$64,3,0),0)</f>
        <v>RE J1</v>
      </c>
      <c r="I526" s="62"/>
      <c r="J526" s="62">
        <v>5</v>
      </c>
      <c r="K526" s="62" t="str">
        <f>IFERROR(VLOOKUP(Table2[[#This Row],[Code3]],'[2]New defect code '!$A$2:$D$129,2,0),0)</f>
        <v>Bore Over size</v>
      </c>
      <c r="L526" s="62" t="s">
        <v>217</v>
      </c>
      <c r="M526" s="56">
        <v>46266</v>
      </c>
      <c r="N526" s="62">
        <v>1</v>
      </c>
      <c r="O526" s="62"/>
      <c r="P526" s="62"/>
      <c r="Q526" s="62"/>
      <c r="R526" s="62">
        <f>SUBTOTAL(9,Table2[[#This Row],[1st]:[FQC]])</f>
        <v>1</v>
      </c>
      <c r="S526" s="62">
        <f>IFERROR(VLOOKUP(Table2[[#This Row],[Part No.]],'[2]New Machine sheet'!$G$2:$I$90,3,0),0)</f>
        <v>70.62</v>
      </c>
      <c r="T526" s="62">
        <f>Table2[[#This Row],[cost per piece]]*Table2[[#This Row],[Total Rej. qty]]</f>
        <v>70.62</v>
      </c>
      <c r="U526" s="62">
        <f>IFERROR(VLOOKUP(Table2[[#This Row],[Non Conformance]],'[2]New defect code '!$B$2:$C$129,2,0),0)</f>
        <v>3243</v>
      </c>
      <c r="V526" s="62">
        <v>18</v>
      </c>
      <c r="W526" s="62" t="str">
        <f>IFERROR(VLOOKUP(Table2[[#This Row],[Code4]],'[2]New Reason code'!$A$2:$D$77,2,0),0)</f>
        <v>During insert change</v>
      </c>
      <c r="X526" s="62" t="str">
        <f>IFERROR(VLOOKUP(Table2[[#This Row],[Reason]],'[2]New Reason code'!$B$2:$D$77,2,0),0)</f>
        <v xml:space="preserve">Due to Settup  </v>
      </c>
      <c r="Y526" s="62" t="str">
        <f>IFERROR(VLOOKUP(Table2[[#This Row],[Rejection Identified at]],'[2]New Reason code'!$C$2:$D$77,2,0),0)</f>
        <v>skill</v>
      </c>
    </row>
    <row r="527" spans="1:25" ht="20.25" customHeight="1">
      <c r="A527" s="50">
        <v>523</v>
      </c>
      <c r="B527" s="62">
        <v>43</v>
      </c>
      <c r="C527" s="62" t="str">
        <f>IFERROR(VLOOKUP(Table2[[#This Row],[Code]],'[2]New Machine sheet'!$A$1:$D$101,2,0),0)</f>
        <v>252-05</v>
      </c>
      <c r="D527" s="62" t="str">
        <f>IFERROR(VLOOKUP(Table2[[#This Row],[M/c No]],'[2]New Machine sheet'!$B$1:$D$101,2,0),0)</f>
        <v>VMC</v>
      </c>
      <c r="E527" s="62" t="str">
        <f>IFERROR(VLOOKUP(Table2[[#This Row],[M/c Name]],'[2]New Machine sheet'!$C$1:$D$101,2,0),0)</f>
        <v>VMC</v>
      </c>
      <c r="F527" s="62">
        <v>155</v>
      </c>
      <c r="G527" s="62">
        <f>IFERROR(VLOOKUP(Table2[[#This Row],[Code2]],'[2]New Machine sheet'!$F$2:$I$64,2,),0)</f>
        <v>24155</v>
      </c>
      <c r="H527" s="62" t="str">
        <f>IFERROR(VLOOKUP(Table2[[#This Row],[Code2]],'[2]New Machine sheet'!$F$2:$I$64,3,0),0)</f>
        <v>RE J1</v>
      </c>
      <c r="I527" s="62" t="s">
        <v>122</v>
      </c>
      <c r="J527" s="62">
        <v>113</v>
      </c>
      <c r="K527" s="62" t="str">
        <f>IFERROR(VLOOKUP(Table2[[#This Row],[Code3]],'[2]New defect code '!$A$2:$D$129,2,0),0)</f>
        <v>Wrong loading poka yoke not working</v>
      </c>
      <c r="L527" s="62" t="s">
        <v>217</v>
      </c>
      <c r="M527" s="56">
        <v>46266</v>
      </c>
      <c r="N527" s="62">
        <v>1</v>
      </c>
      <c r="O527" s="62"/>
      <c r="P527" s="62"/>
      <c r="Q527" s="62"/>
      <c r="R527" s="62">
        <f>SUBTOTAL(9,Table2[[#This Row],[1st]:[FQC]])</f>
        <v>1</v>
      </c>
      <c r="S527" s="62">
        <f>IFERROR(VLOOKUP(Table2[[#This Row],[Part No.]],'[2]New Machine sheet'!$G$2:$I$90,3,0),0)</f>
        <v>107.67</v>
      </c>
      <c r="T527" s="62">
        <f>Table2[[#This Row],[cost per piece]]*Table2[[#This Row],[Total Rej. qty]]</f>
        <v>107.67</v>
      </c>
      <c r="U527" s="62">
        <f>IFERROR(VLOOKUP(Table2[[#This Row],[Non Conformance]],'[2]New defect code '!$B$2:$C$129,2,0),0)</f>
        <v>0</v>
      </c>
      <c r="V527" s="62">
        <v>66</v>
      </c>
      <c r="W527" s="62" t="str">
        <f>IFERROR(VLOOKUP(Table2[[#This Row],[Code4]],'[2]New Reason code'!$A$2:$D$77,2,0),0)</f>
        <v>Wrong Loading</v>
      </c>
      <c r="X527" s="62" t="str">
        <f>IFERROR(VLOOKUP(Table2[[#This Row],[Reason]],'[2]New Reason code'!$B$2:$D$77,2,0),0)</f>
        <v>Due to operator</v>
      </c>
      <c r="Y527" s="62" t="str">
        <f>IFERROR(VLOOKUP(Table2[[#This Row],[Rejection Identified at]],'[2]New Reason code'!$C$2:$D$77,2,0),0)</f>
        <v xml:space="preserve">infrastructure </v>
      </c>
    </row>
    <row r="528" spans="1:25" ht="20.25" customHeight="1">
      <c r="A528" s="60">
        <v>524</v>
      </c>
      <c r="B528" s="62">
        <v>43</v>
      </c>
      <c r="C528" s="62" t="str">
        <f>IFERROR(VLOOKUP(Table2[[#This Row],[Code]],'[2]New Machine sheet'!$A$1:$D$101,2,0),0)</f>
        <v>252-05</v>
      </c>
      <c r="D528" s="62" t="str">
        <f>IFERROR(VLOOKUP(Table2[[#This Row],[M/c No]],'[2]New Machine sheet'!$B$1:$D$101,2,0),0)</f>
        <v>VMC</v>
      </c>
      <c r="E528" s="62" t="str">
        <f>IFERROR(VLOOKUP(Table2[[#This Row],[M/c Name]],'[2]New Machine sheet'!$C$1:$D$101,2,0),0)</f>
        <v>VMC</v>
      </c>
      <c r="F528" s="62">
        <v>155</v>
      </c>
      <c r="G528" s="62">
        <f>IFERROR(VLOOKUP(Table2[[#This Row],[Code2]],'[2]New Machine sheet'!$F$2:$I$64,2,),0)</f>
        <v>24155</v>
      </c>
      <c r="H528" s="62" t="str">
        <f>IFERROR(VLOOKUP(Table2[[#This Row],[Code2]],'[2]New Machine sheet'!$F$2:$I$64,3,0),0)</f>
        <v>RE J1</v>
      </c>
      <c r="I528" s="62" t="s">
        <v>119</v>
      </c>
      <c r="J528" s="62">
        <v>32</v>
      </c>
      <c r="K528" s="62" t="str">
        <f>IFERROR(VLOOKUP(Table2[[#This Row],[Code3]],'[2]New defect code '!$A$2:$D$129,2,0),0)</f>
        <v>Double Dot Punching</v>
      </c>
      <c r="L528" s="62" t="s">
        <v>217</v>
      </c>
      <c r="M528" s="56">
        <v>46266</v>
      </c>
      <c r="N528" s="62">
        <v>11</v>
      </c>
      <c r="O528" s="62"/>
      <c r="P528" s="62"/>
      <c r="Q528" s="62"/>
      <c r="R528" s="62">
        <f>SUBTOTAL(9,Table2[[#This Row],[1st]:[FQC]])</f>
        <v>11</v>
      </c>
      <c r="S528" s="62">
        <f>IFERROR(VLOOKUP(Table2[[#This Row],[Part No.]],'[2]New Machine sheet'!$G$2:$I$90,3,0),0)</f>
        <v>107.67</v>
      </c>
      <c r="T528" s="62">
        <f>Table2[[#This Row],[cost per piece]]*Table2[[#This Row],[Total Rej. qty]]</f>
        <v>1184.3700000000001</v>
      </c>
      <c r="U528" s="62">
        <f>IFERROR(VLOOKUP(Table2[[#This Row],[Non Conformance]],'[2]New defect code '!$B$2:$C$129,2,0),0)</f>
        <v>0</v>
      </c>
      <c r="V528" s="62">
        <v>19</v>
      </c>
      <c r="W528" s="62" t="str">
        <f>IFERROR(VLOOKUP(Table2[[#This Row],[Code4]],'[2]New Reason code'!$A$2:$D$77,2,0),0)</f>
        <v>During Rework time</v>
      </c>
      <c r="X528" s="62" t="str">
        <f>IFERROR(VLOOKUP(Table2[[#This Row],[Reason]],'[2]New Reason code'!$B$2:$D$77,2,0),0)</f>
        <v>Due to operator</v>
      </c>
      <c r="Y528" s="62" t="str">
        <f>IFERROR(VLOOKUP(Table2[[#This Row],[Rejection Identified at]],'[2]New Reason code'!$C$2:$D$77,2,0),0)</f>
        <v xml:space="preserve">infrastructure </v>
      </c>
    </row>
    <row r="529" spans="1:25" ht="20.25" customHeight="1">
      <c r="A529" s="50">
        <v>525</v>
      </c>
      <c r="B529" s="62">
        <v>15</v>
      </c>
      <c r="C529" s="62" t="str">
        <f>IFERROR(VLOOKUP(Table2[[#This Row],[Code]],'[2]New Machine sheet'!$A$1:$D$101,2,0),0)</f>
        <v>282-15</v>
      </c>
      <c r="D529" s="62" t="str">
        <f>IFERROR(VLOOKUP(Table2[[#This Row],[M/c No]],'[2]New Machine sheet'!$B$1:$D$101,2,0),0)</f>
        <v>Mazak</v>
      </c>
      <c r="E529" s="62" t="str">
        <f>IFERROR(VLOOKUP(Table2[[#This Row],[M/c Name]],'[2]New Machine sheet'!$C$1:$D$101,2,0),0)</f>
        <v>Turning</v>
      </c>
      <c r="F529" s="62">
        <v>122</v>
      </c>
      <c r="G529" s="62">
        <f>IFERROR(VLOOKUP(Table2[[#This Row],[Code2]],'[2]New Machine sheet'!$F$2:$I$64,2,),0)</f>
        <v>24122</v>
      </c>
      <c r="H529" s="62" t="str">
        <f>IFERROR(VLOOKUP(Table2[[#This Row],[Code2]],'[2]New Machine sheet'!$F$2:$I$64,3,0),0)</f>
        <v>RE J1</v>
      </c>
      <c r="I529" s="62"/>
      <c r="J529" s="62">
        <v>93</v>
      </c>
      <c r="K529" s="62" t="str">
        <f>IFERROR(VLOOKUP(Table2[[#This Row],[Code3]],'[2]New defect code '!$A$2:$D$129,2,0),0)</f>
        <v>Thickness Under size</v>
      </c>
      <c r="L529" s="62" t="s">
        <v>217</v>
      </c>
      <c r="M529" s="56">
        <v>46266</v>
      </c>
      <c r="N529" s="62">
        <v>4</v>
      </c>
      <c r="O529" s="62"/>
      <c r="P529" s="62"/>
      <c r="Q529" s="62"/>
      <c r="R529" s="62">
        <f>SUBTOTAL(9,Table2[[#This Row],[1st]:[FQC]])</f>
        <v>4</v>
      </c>
      <c r="S529" s="62">
        <f>IFERROR(VLOOKUP(Table2[[#This Row],[Part No.]],'[2]New Machine sheet'!$G$2:$I$90,3,0),0)</f>
        <v>335.39977528089889</v>
      </c>
      <c r="T529" s="62">
        <f>Table2[[#This Row],[cost per piece]]*Table2[[#This Row],[Total Rej. qty]]</f>
        <v>1341.5991011235956</v>
      </c>
      <c r="U529" s="62">
        <f>IFERROR(VLOOKUP(Table2[[#This Row],[Non Conformance]],'[2]New defect code '!$B$2:$C$129,2,0),0)</f>
        <v>3258</v>
      </c>
      <c r="V529" s="62">
        <v>19</v>
      </c>
      <c r="W529" s="62" t="str">
        <f>IFERROR(VLOOKUP(Table2[[#This Row],[Code4]],'[2]New Reason code'!$A$2:$D$77,2,0),0)</f>
        <v>During Rework time</v>
      </c>
      <c r="X529" s="62" t="str">
        <f>IFERROR(VLOOKUP(Table2[[#This Row],[Reason]],'[2]New Reason code'!$B$2:$D$77,2,0),0)</f>
        <v>Due to operator</v>
      </c>
      <c r="Y529" s="62" t="str">
        <f>IFERROR(VLOOKUP(Table2[[#This Row],[Rejection Identified at]],'[2]New Reason code'!$C$2:$D$77,2,0),0)</f>
        <v xml:space="preserve">infrastructure </v>
      </c>
    </row>
    <row r="530" spans="1:25" ht="20.25" customHeight="1">
      <c r="A530" s="50">
        <v>526</v>
      </c>
      <c r="B530" s="62">
        <v>15</v>
      </c>
      <c r="C530" s="62" t="str">
        <f>IFERROR(VLOOKUP(Table2[[#This Row],[Code]],'[2]New Machine sheet'!$A$1:$D$101,2,0),0)</f>
        <v>282-15</v>
      </c>
      <c r="D530" s="62" t="str">
        <f>IFERROR(VLOOKUP(Table2[[#This Row],[M/c No]],'[2]New Machine sheet'!$B$1:$D$101,2,0),0)</f>
        <v>Mazak</v>
      </c>
      <c r="E530" s="62" t="str">
        <f>IFERROR(VLOOKUP(Table2[[#This Row],[M/c Name]],'[2]New Machine sheet'!$C$1:$D$101,2,0),0)</f>
        <v>Turning</v>
      </c>
      <c r="F530" s="62">
        <v>185</v>
      </c>
      <c r="G530" s="62">
        <f>IFERROR(VLOOKUP(Table2[[#This Row],[Code2]],'[2]New Machine sheet'!$F$2:$I$64,2,),0)</f>
        <v>24185</v>
      </c>
      <c r="H530" s="62" t="str">
        <f>IFERROR(VLOOKUP(Table2[[#This Row],[Code2]],'[2]New Machine sheet'!$F$2:$I$64,3,0),0)</f>
        <v>RE Bush</v>
      </c>
      <c r="I530" s="62"/>
      <c r="J530" s="62">
        <v>21</v>
      </c>
      <c r="K530" s="62" t="str">
        <f>IFERROR(VLOOKUP(Table2[[#This Row],[Code3]],'[2]New defect code '!$A$2:$D$129,2,0),0)</f>
        <v>Bush Reject of defective part</v>
      </c>
      <c r="L530" s="62" t="s">
        <v>217</v>
      </c>
      <c r="M530" s="56">
        <v>46266</v>
      </c>
      <c r="N530" s="62">
        <v>4</v>
      </c>
      <c r="O530" s="62"/>
      <c r="P530" s="62"/>
      <c r="Q530" s="62"/>
      <c r="R530" s="62">
        <f>SUBTOTAL(9,Table2[[#This Row],[1st]:[FQC]])</f>
        <v>4</v>
      </c>
      <c r="S530" s="62">
        <f>IFERROR(VLOOKUP(Table2[[#This Row],[Part No.]],'[2]New Machine sheet'!$G$2:$I$90,3,0),0)</f>
        <v>25.53</v>
      </c>
      <c r="T530" s="62">
        <f>Table2[[#This Row],[cost per piece]]*Table2[[#This Row],[Total Rej. qty]]</f>
        <v>102.12</v>
      </c>
      <c r="U530" s="62">
        <f>IFERROR(VLOOKUP(Table2[[#This Row],[Non Conformance]],'[2]New defect code '!$B$2:$C$129,2,0),0)</f>
        <v>0</v>
      </c>
      <c r="V530" s="62">
        <v>6</v>
      </c>
      <c r="W530" s="62" t="str">
        <f>IFERROR(VLOOKUP(Table2[[#This Row],[Code4]],'[2]New Reason code'!$A$2:$D$77,2,0),0)</f>
        <v>bush will not use again</v>
      </c>
      <c r="X530" s="62" t="str">
        <f>IFERROR(VLOOKUP(Table2[[#This Row],[Reason]],'[2]New Reason code'!$B$2:$D$77,2,0),0)</f>
        <v>Prod Declared</v>
      </c>
      <c r="Y530" s="62" t="str">
        <f>IFERROR(VLOOKUP(Table2[[#This Row],[Rejection Identified at]],'[2]New Reason code'!$C$2:$D$77,2,0),0)</f>
        <v>Process Issue</v>
      </c>
    </row>
    <row r="531" spans="1:25" ht="20.25" customHeight="1">
      <c r="A531" s="60">
        <v>527</v>
      </c>
      <c r="B531" s="62">
        <v>3</v>
      </c>
      <c r="C531" s="62" t="str">
        <f>IFERROR(VLOOKUP(Table2[[#This Row],[Code]],'[2]New Machine sheet'!$A$1:$D$101,2,0),0)</f>
        <v>282-03</v>
      </c>
      <c r="D531" s="62" t="str">
        <f>IFERROR(VLOOKUP(Table2[[#This Row],[M/c No]],'[2]New Machine sheet'!$B$1:$D$101,2,0),0)</f>
        <v>Mazak</v>
      </c>
      <c r="E531" s="62" t="str">
        <f>IFERROR(VLOOKUP(Table2[[#This Row],[M/c Name]],'[2]New Machine sheet'!$C$1:$D$101,2,0),0)</f>
        <v>Turning</v>
      </c>
      <c r="F531" s="62">
        <v>178</v>
      </c>
      <c r="G531" s="62">
        <f>IFERROR(VLOOKUP(Table2[[#This Row],[Code2]],'[2]New Machine sheet'!$F$2:$I$64,2,),0)</f>
        <v>24178</v>
      </c>
      <c r="H531" s="62" t="str">
        <f>IFERROR(VLOOKUP(Table2[[#This Row],[Code2]],'[2]New Machine sheet'!$F$2:$I$64,3,0),0)</f>
        <v>RE J1</v>
      </c>
      <c r="I531" s="62" t="s">
        <v>127</v>
      </c>
      <c r="J531" s="62">
        <v>5</v>
      </c>
      <c r="K531" s="62" t="str">
        <f>IFERROR(VLOOKUP(Table2[[#This Row],[Code3]],'[2]New defect code '!$A$2:$D$129,2,0),0)</f>
        <v>Bore Over size</v>
      </c>
      <c r="L531" s="62" t="s">
        <v>217</v>
      </c>
      <c r="M531" s="56">
        <v>46266</v>
      </c>
      <c r="N531" s="62">
        <v>5</v>
      </c>
      <c r="O531" s="62"/>
      <c r="P531" s="62"/>
      <c r="Q531" s="62"/>
      <c r="R531" s="62">
        <f>SUBTOTAL(9,Table2[[#This Row],[1st]:[FQC]])</f>
        <v>5</v>
      </c>
      <c r="S531" s="62">
        <f>IFERROR(VLOOKUP(Table2[[#This Row],[Part No.]],'[2]New Machine sheet'!$G$2:$I$90,3,0),0)</f>
        <v>70.62</v>
      </c>
      <c r="T531" s="62">
        <f>Table2[[#This Row],[cost per piece]]*Table2[[#This Row],[Total Rej. qty]]</f>
        <v>353.1</v>
      </c>
      <c r="U531" s="62">
        <f>IFERROR(VLOOKUP(Table2[[#This Row],[Non Conformance]],'[2]New defect code '!$B$2:$C$129,2,0),0)</f>
        <v>3243</v>
      </c>
      <c r="V531" s="62">
        <v>45</v>
      </c>
      <c r="W531" s="62" t="str">
        <f>IFERROR(VLOOKUP(Table2[[#This Row],[Code4]],'[2]New Reason code'!$A$2:$D$77,2,0),0)</f>
        <v>Running m/c</v>
      </c>
      <c r="X531" s="62" t="str">
        <f>IFERROR(VLOOKUP(Table2[[#This Row],[Reason]],'[2]New Reason code'!$B$2:$D$77,2,0),0)</f>
        <v xml:space="preserve">Due to machine </v>
      </c>
      <c r="Y531" s="62" t="str">
        <f>IFERROR(VLOOKUP(Table2[[#This Row],[Rejection Identified at]],'[2]New Reason code'!$C$2:$D$77,2,0),0)</f>
        <v>process</v>
      </c>
    </row>
    <row r="532" spans="1:25" ht="20.25" customHeight="1">
      <c r="A532" s="50">
        <v>528</v>
      </c>
      <c r="B532" s="62"/>
      <c r="C532" s="62" t="s">
        <v>116</v>
      </c>
      <c r="D532" s="62" t="s">
        <v>117</v>
      </c>
      <c r="E532" s="62" t="str">
        <f>IFERROR(VLOOKUP(Table2[[#This Row],[M/c Name]],'[2]New Machine sheet'!$C$1:$D$101,2,0),0)</f>
        <v>Turning</v>
      </c>
      <c r="F532" s="62">
        <v>127</v>
      </c>
      <c r="G532" s="62">
        <f>IFERROR(VLOOKUP(Table2[[#This Row],[Code2]],'[2]New Machine sheet'!$F$2:$I$64,2,),0)</f>
        <v>24127</v>
      </c>
      <c r="H532" s="62" t="str">
        <f>IFERROR(VLOOKUP(Table2[[#This Row],[Code2]],'[2]New Machine sheet'!$F$2:$I$64,3,0),0)</f>
        <v>RE J1</v>
      </c>
      <c r="I532" s="62" t="s">
        <v>129</v>
      </c>
      <c r="J532" s="62">
        <v>5</v>
      </c>
      <c r="K532" s="62" t="str">
        <f>IFERROR(VLOOKUP(Table2[[#This Row],[Code3]],'[2]New defect code '!$A$2:$D$129,2,0),0)</f>
        <v>Bore Over size</v>
      </c>
      <c r="L532" s="62" t="s">
        <v>217</v>
      </c>
      <c r="M532" s="56">
        <v>46266</v>
      </c>
      <c r="N532" s="62"/>
      <c r="O532" s="62">
        <v>1</v>
      </c>
      <c r="P532" s="62"/>
      <c r="Q532" s="62"/>
      <c r="R532" s="62">
        <f>SUBTOTAL(9,Table2[[#This Row],[1st]:[FQC]])</f>
        <v>1</v>
      </c>
      <c r="S532" s="62">
        <f>IFERROR(VLOOKUP(Table2[[#This Row],[Part No.]],'[2]New Machine sheet'!$G$2:$I$90,3,0),0)</f>
        <v>262.81200000000001</v>
      </c>
      <c r="T532" s="62">
        <f>Table2[[#This Row],[cost per piece]]*Table2[[#This Row],[Total Rej. qty]]</f>
        <v>262.81200000000001</v>
      </c>
      <c r="U532" s="62">
        <f>IFERROR(VLOOKUP(Table2[[#This Row],[Non Conformance]],'[2]New defect code '!$B$2:$C$129,2,0),0)</f>
        <v>3243</v>
      </c>
      <c r="V532" s="62">
        <v>18</v>
      </c>
      <c r="W532" s="62" t="str">
        <f>IFERROR(VLOOKUP(Table2[[#This Row],[Code4]],'[2]New Reason code'!$A$2:$D$77,2,0),0)</f>
        <v>During insert change</v>
      </c>
      <c r="X532" s="62" t="str">
        <f>IFERROR(VLOOKUP(Table2[[#This Row],[Reason]],'[2]New Reason code'!$B$2:$D$77,2,0),0)</f>
        <v xml:space="preserve">Due to Settup  </v>
      </c>
      <c r="Y532" s="62" t="str">
        <f>IFERROR(VLOOKUP(Table2[[#This Row],[Rejection Identified at]],'[2]New Reason code'!$C$2:$D$77,2,0),0)</f>
        <v>skill</v>
      </c>
    </row>
    <row r="533" spans="1:25" ht="20.25" customHeight="1">
      <c r="A533" s="50">
        <v>529</v>
      </c>
      <c r="B533" s="62">
        <v>4</v>
      </c>
      <c r="C533" s="62" t="str">
        <f>IFERROR(VLOOKUP(Table2[[#This Row],[Code]],'[2]New Machine sheet'!$A$1:$D$101,2,0),0)</f>
        <v>282-04</v>
      </c>
      <c r="D533" s="62" t="str">
        <f>IFERROR(VLOOKUP(Table2[[#This Row],[M/c No]],'[2]New Machine sheet'!$B$1:$D$101,2,0),0)</f>
        <v>Mazak</v>
      </c>
      <c r="E533" s="62" t="str">
        <f>IFERROR(VLOOKUP(Table2[[#This Row],[M/c Name]],'[2]New Machine sheet'!$C$1:$D$101,2,0),0)</f>
        <v>Turning</v>
      </c>
      <c r="F533" s="62">
        <v>32</v>
      </c>
      <c r="G533" s="62">
        <f>IFERROR(VLOOKUP(Table2[[#This Row],[Code2]],'[2]New Machine sheet'!$F$2:$I$64,2,),0)</f>
        <v>2432</v>
      </c>
      <c r="H533" s="62" t="str">
        <f>IFERROR(VLOOKUP(Table2[[#This Row],[Code2]],'[2]New Machine sheet'!$F$2:$I$64,3,0),0)</f>
        <v>RE P1</v>
      </c>
      <c r="I533" s="62" t="s">
        <v>151</v>
      </c>
      <c r="J533" s="62">
        <v>5</v>
      </c>
      <c r="K533" s="62" t="str">
        <f>IFERROR(VLOOKUP(Table2[[#This Row],[Code3]],'[2]New defect code '!$A$2:$D$129,2,0),0)</f>
        <v>Bore Over size</v>
      </c>
      <c r="L533" s="62" t="s">
        <v>217</v>
      </c>
      <c r="M533" s="56">
        <v>46266</v>
      </c>
      <c r="N533" s="62"/>
      <c r="O533" s="62">
        <v>1</v>
      </c>
      <c r="P533" s="62"/>
      <c r="Q533" s="62"/>
      <c r="R533" s="62">
        <f>SUBTOTAL(9,Table2[[#This Row],[1st]:[FQC]])</f>
        <v>1</v>
      </c>
      <c r="S533" s="62">
        <f>IFERROR(VLOOKUP(Table2[[#This Row],[Part No.]],'[2]New Machine sheet'!$G$2:$I$90,3,0),0)</f>
        <v>168.54</v>
      </c>
      <c r="T533" s="62">
        <f>Table2[[#This Row],[cost per piece]]*Table2[[#This Row],[Total Rej. qty]]</f>
        <v>168.54</v>
      </c>
      <c r="U533" s="62">
        <f>IFERROR(VLOOKUP(Table2[[#This Row],[Non Conformance]],'[2]New defect code '!$B$2:$C$129,2,0),0)</f>
        <v>3243</v>
      </c>
      <c r="V533" s="62">
        <v>18</v>
      </c>
      <c r="W533" s="62" t="str">
        <f>IFERROR(VLOOKUP(Table2[[#This Row],[Code4]],'[2]New Reason code'!$A$2:$D$77,2,0),0)</f>
        <v>During insert change</v>
      </c>
      <c r="X533" s="62" t="str">
        <f>IFERROR(VLOOKUP(Table2[[#This Row],[Reason]],'[2]New Reason code'!$B$2:$D$77,2,0),0)</f>
        <v xml:space="preserve">Due to Settup  </v>
      </c>
      <c r="Y533" s="62" t="str">
        <f>IFERROR(VLOOKUP(Table2[[#This Row],[Rejection Identified at]],'[2]New Reason code'!$C$2:$D$77,2,0),0)</f>
        <v>skill</v>
      </c>
    </row>
    <row r="534" spans="1:25" ht="20.25" customHeight="1">
      <c r="A534" s="60">
        <v>530</v>
      </c>
      <c r="B534" s="62">
        <v>35</v>
      </c>
      <c r="C534" s="62" t="str">
        <f>IFERROR(VLOOKUP(Table2[[#This Row],[Code]],'[2]New Machine sheet'!$A$1:$D$101,2,0),0)</f>
        <v>ACE-15</v>
      </c>
      <c r="D534" s="62" t="str">
        <f>IFERROR(VLOOKUP(Table2[[#This Row],[M/c No]],'[2]New Machine sheet'!$B$1:$D$101,2,0),0)</f>
        <v>Micromatic</v>
      </c>
      <c r="E534" s="62" t="str">
        <f>IFERROR(VLOOKUP(Table2[[#This Row],[M/c Name]],'[2]New Machine sheet'!$C$1:$D$101,2,0),0)</f>
        <v>Turning</v>
      </c>
      <c r="F534" s="62">
        <v>113</v>
      </c>
      <c r="G534" s="62">
        <f>IFERROR(VLOOKUP(Table2[[#This Row],[Code2]],'[2]New Machine sheet'!$F$2:$I$64,2,),0)</f>
        <v>24113</v>
      </c>
      <c r="H534" s="62" t="str">
        <f>IFERROR(VLOOKUP(Table2[[#This Row],[Code2]],'[2]New Machine sheet'!$F$2:$I$64,3,0),0)</f>
        <v>RE J1</v>
      </c>
      <c r="I534" s="62" t="s">
        <v>129</v>
      </c>
      <c r="J534" s="62">
        <v>5</v>
      </c>
      <c r="K534" s="62" t="str">
        <f>IFERROR(VLOOKUP(Table2[[#This Row],[Code3]],'[2]New defect code '!$A$2:$D$129,2,0),0)</f>
        <v>Bore Over size</v>
      </c>
      <c r="L534" s="62" t="s">
        <v>217</v>
      </c>
      <c r="M534" s="56">
        <v>46266</v>
      </c>
      <c r="N534" s="62"/>
      <c r="O534" s="62">
        <v>1</v>
      </c>
      <c r="P534" s="62"/>
      <c r="Q534" s="62"/>
      <c r="R534" s="62">
        <f>SUBTOTAL(9,Table2[[#This Row],[1st]:[FQC]])</f>
        <v>1</v>
      </c>
      <c r="S534" s="62">
        <f>IFERROR(VLOOKUP(Table2[[#This Row],[Part No.]],'[2]New Machine sheet'!$G$2:$I$90,3,0),0)</f>
        <v>90</v>
      </c>
      <c r="T534" s="62">
        <f>Table2[[#This Row],[cost per piece]]*Table2[[#This Row],[Total Rej. qty]]</f>
        <v>90</v>
      </c>
      <c r="U534" s="62">
        <f>IFERROR(VLOOKUP(Table2[[#This Row],[Non Conformance]],'[2]New defect code '!$B$2:$C$129,2,0),0)</f>
        <v>3243</v>
      </c>
      <c r="V534" s="62">
        <v>12</v>
      </c>
      <c r="W534" s="62" t="str">
        <f>IFERROR(VLOOKUP(Table2[[#This Row],[Code4]],'[2]New Reason code'!$A$2:$D$77,2,0),0)</f>
        <v>Double loading</v>
      </c>
      <c r="X534" s="62" t="str">
        <f>IFERROR(VLOOKUP(Table2[[#This Row],[Reason]],'[2]New Reason code'!$B$2:$D$77,2,0),0)</f>
        <v>Due to operator</v>
      </c>
      <c r="Y534" s="62" t="str">
        <f>IFERROR(VLOOKUP(Table2[[#This Row],[Rejection Identified at]],'[2]New Reason code'!$C$2:$D$77,2,0),0)</f>
        <v xml:space="preserve">infrastructure </v>
      </c>
    </row>
    <row r="535" spans="1:25" ht="20.25" customHeight="1">
      <c r="A535" s="50">
        <v>531</v>
      </c>
      <c r="B535" s="62">
        <v>43</v>
      </c>
      <c r="C535" s="62" t="str">
        <f>IFERROR(VLOOKUP(Table2[[#This Row],[Code]],'[2]New Machine sheet'!$A$1:$D$101,2,0),0)</f>
        <v>252-05</v>
      </c>
      <c r="D535" s="62" t="str">
        <f>IFERROR(VLOOKUP(Table2[[#This Row],[M/c No]],'[2]New Machine sheet'!$B$1:$D$101,2,0),0)</f>
        <v>VMC</v>
      </c>
      <c r="E535" s="62" t="str">
        <f>IFERROR(VLOOKUP(Table2[[#This Row],[M/c Name]],'[2]New Machine sheet'!$C$1:$D$101,2,0),0)</f>
        <v>VMC</v>
      </c>
      <c r="F535" s="62">
        <v>155</v>
      </c>
      <c r="G535" s="62">
        <f>IFERROR(VLOOKUP(Table2[[#This Row],[Code2]],'[2]New Machine sheet'!$F$2:$I$64,2,),0)</f>
        <v>24155</v>
      </c>
      <c r="H535" s="62" t="str">
        <f>IFERROR(VLOOKUP(Table2[[#This Row],[Code2]],'[2]New Machine sheet'!$F$2:$I$64,3,0),0)</f>
        <v>RE J1</v>
      </c>
      <c r="I535" s="62" t="s">
        <v>182</v>
      </c>
      <c r="J535" s="62">
        <v>72</v>
      </c>
      <c r="K535" s="62" t="str">
        <f>IFERROR(VLOOKUP(Table2[[#This Row],[Code3]],'[2]New defect code '!$A$2:$D$129,2,0),0)</f>
        <v xml:space="preserve">PG No Go pass </v>
      </c>
      <c r="L535" s="62" t="s">
        <v>217</v>
      </c>
      <c r="M535" s="56">
        <v>46266</v>
      </c>
      <c r="N535" s="62"/>
      <c r="O535" s="62">
        <v>1</v>
      </c>
      <c r="P535" s="62"/>
      <c r="Q535" s="62"/>
      <c r="R535" s="62">
        <f>SUBTOTAL(9,Table2[[#This Row],[1st]:[FQC]])</f>
        <v>1</v>
      </c>
      <c r="S535" s="62">
        <f>IFERROR(VLOOKUP(Table2[[#This Row],[Part No.]],'[2]New Machine sheet'!$G$2:$I$90,3,0),0)</f>
        <v>107.67</v>
      </c>
      <c r="T535" s="62">
        <f>Table2[[#This Row],[cost per piece]]*Table2[[#This Row],[Total Rej. qty]]</f>
        <v>107.67</v>
      </c>
      <c r="U535" s="62">
        <f>IFERROR(VLOOKUP(Table2[[#This Row],[Non Conformance]],'[2]New defect code '!$B$2:$C$129,2,0),0)</f>
        <v>0</v>
      </c>
      <c r="V535" s="62">
        <v>19</v>
      </c>
      <c r="W535" s="62" t="str">
        <f>IFERROR(VLOOKUP(Table2[[#This Row],[Code4]],'[2]New Reason code'!$A$2:$D$77,2,0),0)</f>
        <v>During Rework time</v>
      </c>
      <c r="X535" s="62" t="str">
        <f>IFERROR(VLOOKUP(Table2[[#This Row],[Reason]],'[2]New Reason code'!$B$2:$D$77,2,0),0)</f>
        <v>Due to operator</v>
      </c>
      <c r="Y535" s="62" t="str">
        <f>IFERROR(VLOOKUP(Table2[[#This Row],[Rejection Identified at]],'[2]New Reason code'!$C$2:$D$77,2,0),0)</f>
        <v xml:space="preserve">infrastructure </v>
      </c>
    </row>
    <row r="536" spans="1:25" ht="20.25" customHeight="1">
      <c r="A536" s="50">
        <v>532</v>
      </c>
      <c r="B536" s="62">
        <v>21</v>
      </c>
      <c r="C536" s="62" t="str">
        <f>IFERROR(VLOOKUP(Table2[[#This Row],[Code]],'[2]New Machine sheet'!$A$1:$D$101,2,0),0)</f>
        <v>ACE-01</v>
      </c>
      <c r="D536" s="62" t="str">
        <f>IFERROR(VLOOKUP(Table2[[#This Row],[M/c No]],'[2]New Machine sheet'!$B$1:$D$101,2,0),0)</f>
        <v>Micromatic</v>
      </c>
      <c r="E536" s="62" t="str">
        <f>IFERROR(VLOOKUP(Table2[[#This Row],[M/c Name]],'[2]New Machine sheet'!$C$1:$D$101,2,0),0)</f>
        <v>Turning</v>
      </c>
      <c r="F536" s="62">
        <v>42</v>
      </c>
      <c r="G536" s="62">
        <f>IFERROR(VLOOKUP(Table2[[#This Row],[Code2]],'[2]New Machine sheet'!$F$2:$I$64,2,),0)</f>
        <v>2442</v>
      </c>
      <c r="H536" s="62" t="str">
        <f>IFERROR(VLOOKUP(Table2[[#This Row],[Code2]],'[2]New Machine sheet'!$F$2:$I$64,3,0),0)</f>
        <v>RE P1</v>
      </c>
      <c r="I536" s="62" t="s">
        <v>221</v>
      </c>
      <c r="J536" s="62">
        <v>5</v>
      </c>
      <c r="K536" s="62" t="str">
        <f>IFERROR(VLOOKUP(Table2[[#This Row],[Code3]],'[2]New defect code '!$A$2:$D$129,2,0),0)</f>
        <v>Bore Over size</v>
      </c>
      <c r="L536" s="62" t="s">
        <v>217</v>
      </c>
      <c r="M536" s="56">
        <v>46266</v>
      </c>
      <c r="N536" s="62"/>
      <c r="O536" s="62">
        <v>2</v>
      </c>
      <c r="P536" s="62"/>
      <c r="Q536" s="62"/>
      <c r="R536" s="62">
        <f>SUBTOTAL(9,Table2[[#This Row],[1st]:[FQC]])</f>
        <v>2</v>
      </c>
      <c r="S536" s="62">
        <f>IFERROR(VLOOKUP(Table2[[#This Row],[Part No.]],'[2]New Machine sheet'!$G$2:$I$90,3,0),0)</f>
        <v>164.83</v>
      </c>
      <c r="T536" s="62">
        <f>Table2[[#This Row],[cost per piece]]*Table2[[#This Row],[Total Rej. qty]]</f>
        <v>329.66</v>
      </c>
      <c r="U536" s="62">
        <f>IFERROR(VLOOKUP(Table2[[#This Row],[Non Conformance]],'[2]New defect code '!$B$2:$C$129,2,0),0)</f>
        <v>3243</v>
      </c>
      <c r="V536" s="62">
        <v>12</v>
      </c>
      <c r="W536" s="62" t="str">
        <f>IFERROR(VLOOKUP(Table2[[#This Row],[Code4]],'[2]New Reason code'!$A$2:$D$77,2,0),0)</f>
        <v>Double loading</v>
      </c>
      <c r="X536" s="62" t="str">
        <f>IFERROR(VLOOKUP(Table2[[#This Row],[Reason]],'[2]New Reason code'!$B$2:$D$77,2,0),0)</f>
        <v>Due to operator</v>
      </c>
      <c r="Y536" s="62" t="str">
        <f>IFERROR(VLOOKUP(Table2[[#This Row],[Rejection Identified at]],'[2]New Reason code'!$C$2:$D$77,2,0),0)</f>
        <v xml:space="preserve">infrastructure </v>
      </c>
    </row>
    <row r="537" spans="1:25" ht="20.25" customHeight="1">
      <c r="A537" s="60">
        <v>533</v>
      </c>
      <c r="B537" s="62"/>
      <c r="C537" s="62" t="s">
        <v>156</v>
      </c>
      <c r="D537" s="62" t="str">
        <f>IFERROR(VLOOKUP(Table2[[#This Row],[M/c No]],'[2]New Machine sheet'!$B$1:$D$101,2,0),0)</f>
        <v>VMC</v>
      </c>
      <c r="E537" s="62" t="str">
        <f>IFERROR(VLOOKUP(Table2[[#This Row],[M/c Name]],'[2]New Machine sheet'!$C$1:$D$101,2,0),0)</f>
        <v>VMC</v>
      </c>
      <c r="F537" s="62">
        <v>28</v>
      </c>
      <c r="G537" s="62">
        <f>IFERROR(VLOOKUP(Table2[[#This Row],[Code2]],'[2]New Machine sheet'!$F$2:$I$64,2,),0)</f>
        <v>2428</v>
      </c>
      <c r="H537" s="62" t="str">
        <f>IFERROR(VLOOKUP(Table2[[#This Row],[Code2]],'[2]New Machine sheet'!$F$2:$I$64,3,0),0)</f>
        <v>RE P1</v>
      </c>
      <c r="I537" s="62" t="s">
        <v>190</v>
      </c>
      <c r="J537" s="62">
        <v>48</v>
      </c>
      <c r="K537" s="62" t="str">
        <f>IFERROR(VLOOKUP(Table2[[#This Row],[Code3]],'[2]New defect code '!$A$2:$D$129,2,0),0)</f>
        <v>Heavy Dot Punching</v>
      </c>
      <c r="L537" s="62" t="s">
        <v>217</v>
      </c>
      <c r="M537" s="56">
        <v>46266</v>
      </c>
      <c r="N537" s="62"/>
      <c r="O537" s="62">
        <v>1</v>
      </c>
      <c r="P537" s="62"/>
      <c r="Q537" s="62"/>
      <c r="R537" s="62">
        <f>SUBTOTAL(9,Table2[[#This Row],[1st]:[FQC]])</f>
        <v>1</v>
      </c>
      <c r="S537" s="62">
        <f>IFERROR(VLOOKUP(Table2[[#This Row],[Part No.]],'[2]New Machine sheet'!$G$2:$I$90,3,0),0)</f>
        <v>124.07</v>
      </c>
      <c r="T537" s="62">
        <f>Table2[[#This Row],[cost per piece]]*Table2[[#This Row],[Total Rej. qty]]</f>
        <v>124.07</v>
      </c>
      <c r="U537" s="62">
        <f>IFERROR(VLOOKUP(Table2[[#This Row],[Non Conformance]],'[2]New defect code '!$B$2:$C$129,2,0),0)</f>
        <v>3246</v>
      </c>
      <c r="V537" s="62">
        <v>66</v>
      </c>
      <c r="W537" s="62" t="str">
        <f>IFERROR(VLOOKUP(Table2[[#This Row],[Code4]],'[2]New Reason code'!$A$2:$D$77,2,0),0)</f>
        <v>Wrong Loading</v>
      </c>
      <c r="X537" s="62" t="str">
        <f>IFERROR(VLOOKUP(Table2[[#This Row],[Reason]],'[2]New Reason code'!$B$2:$D$77,2,0),0)</f>
        <v>Due to operator</v>
      </c>
      <c r="Y537" s="62" t="str">
        <f>IFERROR(VLOOKUP(Table2[[#This Row],[Rejection Identified at]],'[2]New Reason code'!$C$2:$D$77,2,0),0)</f>
        <v xml:space="preserve">infrastructure </v>
      </c>
    </row>
    <row r="538" spans="1:25" ht="20.25" customHeight="1">
      <c r="A538" s="50">
        <v>534</v>
      </c>
      <c r="B538" s="62">
        <v>10</v>
      </c>
      <c r="C538" s="62" t="str">
        <f>IFERROR(VLOOKUP(Table2[[#This Row],[Code]],'[2]New Machine sheet'!$A$1:$D$101,2,0),0)</f>
        <v>282-10</v>
      </c>
      <c r="D538" s="62" t="str">
        <f>IFERROR(VLOOKUP(Table2[[#This Row],[M/c No]],'[2]New Machine sheet'!$B$1:$D$101,2,0),0)</f>
        <v>Mazak</v>
      </c>
      <c r="E538" s="62" t="str">
        <f>IFERROR(VLOOKUP(Table2[[#This Row],[M/c Name]],'[2]New Machine sheet'!$C$1:$D$101,2,0),0)</f>
        <v>Turning</v>
      </c>
      <c r="F538" s="62">
        <v>155</v>
      </c>
      <c r="G538" s="62">
        <f>IFERROR(VLOOKUP(Table2[[#This Row],[Code2]],'[2]New Machine sheet'!$F$2:$I$64,2,),0)</f>
        <v>24155</v>
      </c>
      <c r="H538" s="62" t="str">
        <f>IFERROR(VLOOKUP(Table2[[#This Row],[Code2]],'[2]New Machine sheet'!$F$2:$I$64,3,0),0)</f>
        <v>RE J1</v>
      </c>
      <c r="I538" s="62" t="s">
        <v>187</v>
      </c>
      <c r="J538" s="62">
        <v>5</v>
      </c>
      <c r="K538" s="62" t="str">
        <f>IFERROR(VLOOKUP(Table2[[#This Row],[Code3]],'[2]New defect code '!$A$2:$D$129,2,0),0)</f>
        <v>Bore Over size</v>
      </c>
      <c r="L538" s="62" t="s">
        <v>217</v>
      </c>
      <c r="M538" s="56">
        <v>46266</v>
      </c>
      <c r="N538" s="62"/>
      <c r="O538" s="62">
        <v>2</v>
      </c>
      <c r="P538" s="62"/>
      <c r="Q538" s="62"/>
      <c r="R538" s="62">
        <f>SUBTOTAL(9,Table2[[#This Row],[1st]:[FQC]])</f>
        <v>2</v>
      </c>
      <c r="S538" s="62">
        <f>IFERROR(VLOOKUP(Table2[[#This Row],[Part No.]],'[2]New Machine sheet'!$G$2:$I$90,3,0),0)</f>
        <v>107.67</v>
      </c>
      <c r="T538" s="62">
        <f>Table2[[#This Row],[cost per piece]]*Table2[[#This Row],[Total Rej. qty]]</f>
        <v>215.34</v>
      </c>
      <c r="U538" s="62">
        <f>IFERROR(VLOOKUP(Table2[[#This Row],[Non Conformance]],'[2]New defect code '!$B$2:$C$129,2,0),0)</f>
        <v>3243</v>
      </c>
      <c r="V538" s="62">
        <v>19</v>
      </c>
      <c r="W538" s="62" t="str">
        <f>IFERROR(VLOOKUP(Table2[[#This Row],[Code4]],'[2]New Reason code'!$A$2:$D$77,2,0),0)</f>
        <v>During Rework time</v>
      </c>
      <c r="X538" s="62" t="str">
        <f>IFERROR(VLOOKUP(Table2[[#This Row],[Reason]],'[2]New Reason code'!$B$2:$D$77,2,0),0)</f>
        <v>Due to operator</v>
      </c>
      <c r="Y538" s="62" t="str">
        <f>IFERROR(VLOOKUP(Table2[[#This Row],[Rejection Identified at]],'[2]New Reason code'!$C$2:$D$77,2,0),0)</f>
        <v xml:space="preserve">infrastructure </v>
      </c>
    </row>
    <row r="539" spans="1:25" ht="20.25" customHeight="1">
      <c r="A539" s="50">
        <v>535</v>
      </c>
      <c r="B539" s="62">
        <v>15</v>
      </c>
      <c r="C539" s="62" t="str">
        <f>IFERROR(VLOOKUP(Table2[[#This Row],[Code]],'[2]New Machine sheet'!$A$1:$D$101,2,0),0)</f>
        <v>282-15</v>
      </c>
      <c r="D539" s="62" t="str">
        <f>IFERROR(VLOOKUP(Table2[[#This Row],[M/c No]],'[2]New Machine sheet'!$B$1:$D$101,2,0),0)</f>
        <v>Mazak</v>
      </c>
      <c r="E539" s="62" t="str">
        <f>IFERROR(VLOOKUP(Table2[[#This Row],[M/c Name]],'[2]New Machine sheet'!$C$1:$D$101,2,0),0)</f>
        <v>Turning</v>
      </c>
      <c r="F539" s="62">
        <v>122</v>
      </c>
      <c r="G539" s="62">
        <f>IFERROR(VLOOKUP(Table2[[#This Row],[Code2]],'[2]New Machine sheet'!$F$2:$I$64,2,),0)</f>
        <v>24122</v>
      </c>
      <c r="H539" s="62" t="str">
        <f>IFERROR(VLOOKUP(Table2[[#This Row],[Code2]],'[2]New Machine sheet'!$F$2:$I$64,3,0),0)</f>
        <v>RE J1</v>
      </c>
      <c r="I539" s="62"/>
      <c r="J539" s="62">
        <v>93</v>
      </c>
      <c r="K539" s="62" t="str">
        <f>IFERROR(VLOOKUP(Table2[[#This Row],[Code3]],'[2]New defect code '!$A$2:$D$129,2,0),0)</f>
        <v>Thickness Under size</v>
      </c>
      <c r="L539" s="62" t="s">
        <v>217</v>
      </c>
      <c r="M539" s="56">
        <v>46266</v>
      </c>
      <c r="N539" s="62"/>
      <c r="O539" s="62">
        <v>5</v>
      </c>
      <c r="P539" s="62"/>
      <c r="Q539" s="62"/>
      <c r="R539" s="62">
        <f>SUBTOTAL(9,Table2[[#This Row],[1st]:[FQC]])</f>
        <v>5</v>
      </c>
      <c r="S539" s="62">
        <f>IFERROR(VLOOKUP(Table2[[#This Row],[Part No.]],'[2]New Machine sheet'!$G$2:$I$90,3,0),0)</f>
        <v>335.39977528089889</v>
      </c>
      <c r="T539" s="62">
        <f>Table2[[#This Row],[cost per piece]]*Table2[[#This Row],[Total Rej. qty]]</f>
        <v>1676.9988764044945</v>
      </c>
      <c r="U539" s="62">
        <f>IFERROR(VLOOKUP(Table2[[#This Row],[Non Conformance]],'[2]New defect code '!$B$2:$C$129,2,0),0)</f>
        <v>3258</v>
      </c>
      <c r="V539" s="62">
        <v>19</v>
      </c>
      <c r="W539" s="62" t="str">
        <f>IFERROR(VLOOKUP(Table2[[#This Row],[Code4]],'[2]New Reason code'!$A$2:$D$77,2,0),0)</f>
        <v>During Rework time</v>
      </c>
      <c r="X539" s="62" t="str">
        <f>IFERROR(VLOOKUP(Table2[[#This Row],[Reason]],'[2]New Reason code'!$B$2:$D$77,2,0),0)</f>
        <v>Due to operator</v>
      </c>
      <c r="Y539" s="62" t="str">
        <f>IFERROR(VLOOKUP(Table2[[#This Row],[Rejection Identified at]],'[2]New Reason code'!$C$2:$D$77,2,0),0)</f>
        <v xml:space="preserve">infrastructure </v>
      </c>
    </row>
    <row r="540" spans="1:25" ht="20.25" customHeight="1">
      <c r="A540" s="60">
        <v>536</v>
      </c>
      <c r="B540" s="62">
        <v>15</v>
      </c>
      <c r="C540" s="62" t="str">
        <f>IFERROR(VLOOKUP(Table2[[#This Row],[Code]],'[2]New Machine sheet'!$A$1:$D$101,2,0),0)</f>
        <v>282-15</v>
      </c>
      <c r="D540" s="62" t="str">
        <f>IFERROR(VLOOKUP(Table2[[#This Row],[M/c No]],'[2]New Machine sheet'!$B$1:$D$101,2,0),0)</f>
        <v>Mazak</v>
      </c>
      <c r="E540" s="62" t="str">
        <f>IFERROR(VLOOKUP(Table2[[#This Row],[M/c Name]],'[2]New Machine sheet'!$C$1:$D$101,2,0),0)</f>
        <v>Turning</v>
      </c>
      <c r="F540" s="62">
        <v>122</v>
      </c>
      <c r="G540" s="62">
        <f>IFERROR(VLOOKUP(Table2[[#This Row],[Code2]],'[2]New Machine sheet'!$F$2:$I$64,2,),0)</f>
        <v>24122</v>
      </c>
      <c r="H540" s="62" t="str">
        <f>IFERROR(VLOOKUP(Table2[[#This Row],[Code2]],'[2]New Machine sheet'!$F$2:$I$64,3,0),0)</f>
        <v>RE J1</v>
      </c>
      <c r="I540" s="62"/>
      <c r="J540" s="62">
        <v>66</v>
      </c>
      <c r="K540" s="62" t="str">
        <f>IFERROR(VLOOKUP(Table2[[#This Row],[Code3]],'[2]New defect code '!$A$2:$D$129,2,0),0)</f>
        <v>OD Under Size</v>
      </c>
      <c r="L540" s="62" t="s">
        <v>217</v>
      </c>
      <c r="M540" s="56">
        <v>46266</v>
      </c>
      <c r="N540" s="62"/>
      <c r="O540" s="62">
        <v>5</v>
      </c>
      <c r="P540" s="62"/>
      <c r="Q540" s="62"/>
      <c r="R540" s="62">
        <f>SUBTOTAL(9,Table2[[#This Row],[1st]:[FQC]])</f>
        <v>5</v>
      </c>
      <c r="S540" s="62">
        <f>IFERROR(VLOOKUP(Table2[[#This Row],[Part No.]],'[2]New Machine sheet'!$G$2:$I$90,3,0),0)</f>
        <v>335.39977528089889</v>
      </c>
      <c r="T540" s="62">
        <f>Table2[[#This Row],[cost per piece]]*Table2[[#This Row],[Total Rej. qty]]</f>
        <v>1676.9988764044945</v>
      </c>
      <c r="U540" s="62">
        <f>IFERROR(VLOOKUP(Table2[[#This Row],[Non Conformance]],'[2]New defect code '!$B$2:$C$129,2,0),0)</f>
        <v>3242</v>
      </c>
      <c r="V540" s="62">
        <v>19</v>
      </c>
      <c r="W540" s="62" t="str">
        <f>IFERROR(VLOOKUP(Table2[[#This Row],[Code4]],'[2]New Reason code'!$A$2:$D$77,2,0),0)</f>
        <v>During Rework time</v>
      </c>
      <c r="X540" s="62" t="str">
        <f>IFERROR(VLOOKUP(Table2[[#This Row],[Reason]],'[2]New Reason code'!$B$2:$D$77,2,0),0)</f>
        <v>Due to operator</v>
      </c>
      <c r="Y540" s="62" t="str">
        <f>IFERROR(VLOOKUP(Table2[[#This Row],[Rejection Identified at]],'[2]New Reason code'!$C$2:$D$77,2,0),0)</f>
        <v xml:space="preserve">infrastructure </v>
      </c>
    </row>
    <row r="541" spans="1:25" ht="20.25" customHeight="1">
      <c r="A541" s="50">
        <v>537</v>
      </c>
      <c r="B541" s="62">
        <v>25</v>
      </c>
      <c r="C541" s="62" t="str">
        <f>IFERROR(VLOOKUP(Table2[[#This Row],[Code]],'[2]New Machine sheet'!$A$1:$D$101,2,0),0)</f>
        <v>ACE-05</v>
      </c>
      <c r="D541" s="62" t="str">
        <f>IFERROR(VLOOKUP(Table2[[#This Row],[M/c No]],'[2]New Machine sheet'!$B$1:$D$101,2,0),0)</f>
        <v>Micromatic</v>
      </c>
      <c r="E541" s="62" t="str">
        <f>IFERROR(VLOOKUP(Table2[[#This Row],[M/c Name]],'[2]New Machine sheet'!$C$1:$D$101,2,0),0)</f>
        <v>Turning</v>
      </c>
      <c r="F541" s="62">
        <v>122</v>
      </c>
      <c r="G541" s="62">
        <f>IFERROR(VLOOKUP(Table2[[#This Row],[Code2]],'[2]New Machine sheet'!$F$2:$I$64,2,),0)</f>
        <v>24122</v>
      </c>
      <c r="H541" s="62" t="str">
        <f>IFERROR(VLOOKUP(Table2[[#This Row],[Code2]],'[2]New Machine sheet'!$F$2:$I$64,3,0),0)</f>
        <v>RE J1</v>
      </c>
      <c r="I541" s="62"/>
      <c r="J541" s="62">
        <v>5</v>
      </c>
      <c r="K541" s="62" t="str">
        <f>IFERROR(VLOOKUP(Table2[[#This Row],[Code3]],'[2]New defect code '!$A$2:$D$129,2,0),0)</f>
        <v>Bore Over size</v>
      </c>
      <c r="L541" s="62" t="s">
        <v>217</v>
      </c>
      <c r="M541" s="56">
        <v>46266</v>
      </c>
      <c r="N541" s="62"/>
      <c r="O541" s="62">
        <v>4</v>
      </c>
      <c r="P541" s="62"/>
      <c r="Q541" s="62"/>
      <c r="R541" s="62">
        <f>SUBTOTAL(9,Table2[[#This Row],[1st]:[FQC]])</f>
        <v>4</v>
      </c>
      <c r="S541" s="62">
        <f>IFERROR(VLOOKUP(Table2[[#This Row],[Part No.]],'[2]New Machine sheet'!$G$2:$I$90,3,0),0)</f>
        <v>335.39977528089889</v>
      </c>
      <c r="T541" s="62">
        <f>Table2[[#This Row],[cost per piece]]*Table2[[#This Row],[Total Rej. qty]]</f>
        <v>1341.5991011235956</v>
      </c>
      <c r="U541" s="62">
        <f>IFERROR(VLOOKUP(Table2[[#This Row],[Non Conformance]],'[2]New defect code '!$B$2:$C$129,2,0),0)</f>
        <v>3243</v>
      </c>
      <c r="V541" s="62">
        <v>2</v>
      </c>
      <c r="W541" s="62" t="str">
        <f>IFERROR(VLOOKUP(Table2[[#This Row],[Code4]],'[2]New Reason code'!$A$2:$D$77,2,0),0)</f>
        <v>APG unit disturb</v>
      </c>
      <c r="X541" s="62" t="str">
        <f>IFERROR(VLOOKUP(Table2[[#This Row],[Reason]],'[2]New Reason code'!$B$2:$D$77,2,0),0)</f>
        <v>Line audit</v>
      </c>
      <c r="Y541" s="62" t="str">
        <f>IFERROR(VLOOKUP(Table2[[#This Row],[Rejection Identified at]],'[2]New Reason code'!$C$2:$D$77,2,0),0)</f>
        <v>Process Issue</v>
      </c>
    </row>
    <row r="542" spans="1:25" ht="20.25" customHeight="1">
      <c r="A542" s="50">
        <v>538</v>
      </c>
      <c r="B542" s="62">
        <v>25</v>
      </c>
      <c r="C542" s="62" t="str">
        <f>IFERROR(VLOOKUP(Table2[[#This Row],[Code]],'[2]New Machine sheet'!$A$1:$D$101,2,0),0)</f>
        <v>ACE-05</v>
      </c>
      <c r="D542" s="62" t="str">
        <f>IFERROR(VLOOKUP(Table2[[#This Row],[M/c No]],'[2]New Machine sheet'!$B$1:$D$101,2,0),0)</f>
        <v>Micromatic</v>
      </c>
      <c r="E542" s="62" t="str">
        <f>IFERROR(VLOOKUP(Table2[[#This Row],[M/c Name]],'[2]New Machine sheet'!$C$1:$D$101,2,0),0)</f>
        <v>Turning</v>
      </c>
      <c r="F542" s="62">
        <v>185</v>
      </c>
      <c r="G542" s="62">
        <f>IFERROR(VLOOKUP(Table2[[#This Row],[Code2]],'[2]New Machine sheet'!$F$2:$I$64,2,),0)</f>
        <v>24185</v>
      </c>
      <c r="H542" s="62" t="str">
        <f>IFERROR(VLOOKUP(Table2[[#This Row],[Code2]],'[2]New Machine sheet'!$F$2:$I$64,3,0),0)</f>
        <v>RE Bush</v>
      </c>
      <c r="I542" s="62"/>
      <c r="J542" s="62">
        <v>21</v>
      </c>
      <c r="K542" s="62" t="str">
        <f>IFERROR(VLOOKUP(Table2[[#This Row],[Code3]],'[2]New defect code '!$A$2:$D$129,2,0),0)</f>
        <v>Bush Reject of defective part</v>
      </c>
      <c r="L542" s="62" t="s">
        <v>217</v>
      </c>
      <c r="M542" s="56">
        <v>46266</v>
      </c>
      <c r="N542" s="62"/>
      <c r="O542" s="62">
        <v>10</v>
      </c>
      <c r="P542" s="62"/>
      <c r="Q542" s="62"/>
      <c r="R542" s="62">
        <f>SUBTOTAL(9,Table2[[#This Row],[1st]:[FQC]])</f>
        <v>10</v>
      </c>
      <c r="S542" s="62">
        <f>IFERROR(VLOOKUP(Table2[[#This Row],[Part No.]],'[2]New Machine sheet'!$G$2:$I$90,3,0),0)</f>
        <v>25.53</v>
      </c>
      <c r="T542" s="62">
        <f>Table2[[#This Row],[cost per piece]]*Table2[[#This Row],[Total Rej. qty]]</f>
        <v>255.3</v>
      </c>
      <c r="U542" s="62">
        <f>IFERROR(VLOOKUP(Table2[[#This Row],[Non Conformance]],'[2]New defect code '!$B$2:$C$129,2,0),0)</f>
        <v>0</v>
      </c>
      <c r="V542" s="62">
        <v>6</v>
      </c>
      <c r="W542" s="62" t="str">
        <f>IFERROR(VLOOKUP(Table2[[#This Row],[Code4]],'[2]New Reason code'!$A$2:$D$77,2,0),0)</f>
        <v>bush will not use again</v>
      </c>
      <c r="X542" s="62" t="str">
        <f>IFERROR(VLOOKUP(Table2[[#This Row],[Reason]],'[2]New Reason code'!$B$2:$D$77,2,0),0)</f>
        <v>Prod Declared</v>
      </c>
      <c r="Y542" s="62" t="str">
        <f>IFERROR(VLOOKUP(Table2[[#This Row],[Rejection Identified at]],'[2]New Reason code'!$C$2:$D$77,2,0),0)</f>
        <v>Process Issue</v>
      </c>
    </row>
    <row r="543" spans="1:25" ht="20.25" customHeight="1">
      <c r="A543" s="60">
        <v>539</v>
      </c>
      <c r="B543" s="62">
        <v>6</v>
      </c>
      <c r="C543" s="62" t="str">
        <f>IFERROR(VLOOKUP(Table2[[#This Row],[Code]],'[2]New Machine sheet'!$A$1:$D$101,2,0),0)</f>
        <v>282-06</v>
      </c>
      <c r="D543" s="62" t="str">
        <f>IFERROR(VLOOKUP(Table2[[#This Row],[M/c No]],'[2]New Machine sheet'!$B$1:$D$101,2,0),0)</f>
        <v>Mazak</v>
      </c>
      <c r="E543" s="62" t="str">
        <f>IFERROR(VLOOKUP(Table2[[#This Row],[M/c Name]],'[2]New Machine sheet'!$C$1:$D$101,2,0),0)</f>
        <v>Turning</v>
      </c>
      <c r="F543" s="62">
        <v>178</v>
      </c>
      <c r="G543" s="62">
        <f>IFERROR(VLOOKUP(Table2[[#This Row],[Code2]],'[2]New Machine sheet'!$F$2:$I$64,2,),0)</f>
        <v>24178</v>
      </c>
      <c r="H543" s="62" t="str">
        <f>IFERROR(VLOOKUP(Table2[[#This Row],[Code2]],'[2]New Machine sheet'!$F$2:$I$64,3,0),0)</f>
        <v>RE J1</v>
      </c>
      <c r="I543" s="62"/>
      <c r="J543" s="62">
        <v>5</v>
      </c>
      <c r="K543" s="62" t="str">
        <f>IFERROR(VLOOKUP(Table2[[#This Row],[Code3]],'[2]New defect code '!$A$2:$D$129,2,0),0)</f>
        <v>Bore Over size</v>
      </c>
      <c r="L543" s="62" t="s">
        <v>217</v>
      </c>
      <c r="M543" s="56">
        <v>46266</v>
      </c>
      <c r="N543" s="62"/>
      <c r="O543" s="62">
        <v>2</v>
      </c>
      <c r="P543" s="62"/>
      <c r="Q543" s="62"/>
      <c r="R543" s="62">
        <f>SUBTOTAL(9,Table2[[#This Row],[1st]:[FQC]])</f>
        <v>2</v>
      </c>
      <c r="S543" s="62">
        <f>IFERROR(VLOOKUP(Table2[[#This Row],[Part No.]],'[2]New Machine sheet'!$G$2:$I$90,3,0),0)</f>
        <v>70.62</v>
      </c>
      <c r="T543" s="62">
        <f>Table2[[#This Row],[cost per piece]]*Table2[[#This Row],[Total Rej. qty]]</f>
        <v>141.24</v>
      </c>
      <c r="U543" s="62">
        <f>IFERROR(VLOOKUP(Table2[[#This Row],[Non Conformance]],'[2]New defect code '!$B$2:$C$129,2,0),0)</f>
        <v>3243</v>
      </c>
      <c r="V543" s="62">
        <v>18</v>
      </c>
      <c r="W543" s="62" t="str">
        <f>IFERROR(VLOOKUP(Table2[[#This Row],[Code4]],'[2]New Reason code'!$A$2:$D$77,2,0),0)</f>
        <v>During insert change</v>
      </c>
      <c r="X543" s="62" t="str">
        <f>IFERROR(VLOOKUP(Table2[[#This Row],[Reason]],'[2]New Reason code'!$B$2:$D$77,2,0),0)</f>
        <v xml:space="preserve">Due to Settup  </v>
      </c>
      <c r="Y543" s="62" t="str">
        <f>IFERROR(VLOOKUP(Table2[[#This Row],[Rejection Identified at]],'[2]New Reason code'!$C$2:$D$77,2,0),0)</f>
        <v>skill</v>
      </c>
    </row>
    <row r="544" spans="1:25" ht="20.25" customHeight="1">
      <c r="A544" s="50">
        <v>540</v>
      </c>
      <c r="B544" s="62">
        <v>2</v>
      </c>
      <c r="C544" s="62" t="str">
        <f>IFERROR(VLOOKUP(Table2[[#This Row],[Code]],'[2]New Machine sheet'!$A$1:$D$101,2,0),0)</f>
        <v>282-02</v>
      </c>
      <c r="D544" s="62" t="str">
        <f>IFERROR(VLOOKUP(Table2[[#This Row],[M/c No]],'[2]New Machine sheet'!$B$1:$D$101,2,0),0)</f>
        <v>Mazak</v>
      </c>
      <c r="E544" s="62" t="str">
        <f>IFERROR(VLOOKUP(Table2[[#This Row],[M/c Name]],'[2]New Machine sheet'!$C$1:$D$101,2,0),0)</f>
        <v>Turning</v>
      </c>
      <c r="F544" s="62">
        <v>117</v>
      </c>
      <c r="G544" s="62">
        <f>IFERROR(VLOOKUP(Table2[[#This Row],[Code2]],'[2]New Machine sheet'!$F$2:$I$64,2,),0)</f>
        <v>24117</v>
      </c>
      <c r="H544" s="62" t="str">
        <f>IFERROR(VLOOKUP(Table2[[#This Row],[Code2]],'[2]New Machine sheet'!$F$2:$I$64,3,0),0)</f>
        <v>RE J1</v>
      </c>
      <c r="I544" s="62" t="s">
        <v>147</v>
      </c>
      <c r="J544" s="62">
        <v>5</v>
      </c>
      <c r="K544" s="62" t="str">
        <f>IFERROR(VLOOKUP(Table2[[#This Row],[Code3]],'[2]New defect code '!$A$2:$D$129,2,0),0)</f>
        <v>Bore Over size</v>
      </c>
      <c r="L544" s="62" t="s">
        <v>217</v>
      </c>
      <c r="M544" s="56">
        <v>46266</v>
      </c>
      <c r="N544" s="62"/>
      <c r="O544" s="62"/>
      <c r="P544" s="62">
        <v>2</v>
      </c>
      <c r="Q544" s="62"/>
      <c r="R544" s="62">
        <f>SUBTOTAL(9,Table2[[#This Row],[1st]:[FQC]])</f>
        <v>2</v>
      </c>
      <c r="S544" s="62">
        <f>IFERROR(VLOOKUP(Table2[[#This Row],[Part No.]],'[2]New Machine sheet'!$G$2:$I$90,3,0),0)</f>
        <v>111.97</v>
      </c>
      <c r="T544" s="62">
        <f>Table2[[#This Row],[cost per piece]]*Table2[[#This Row],[Total Rej. qty]]</f>
        <v>223.94</v>
      </c>
      <c r="U544" s="62">
        <f>IFERROR(VLOOKUP(Table2[[#This Row],[Non Conformance]],'[2]New defect code '!$B$2:$C$129,2,0),0)</f>
        <v>3243</v>
      </c>
      <c r="V544" s="62">
        <v>18</v>
      </c>
      <c r="W544" s="62" t="str">
        <f>IFERROR(VLOOKUP(Table2[[#This Row],[Code4]],'[2]New Reason code'!$A$2:$D$77,2,0),0)</f>
        <v>During insert change</v>
      </c>
      <c r="X544" s="62" t="str">
        <f>IFERROR(VLOOKUP(Table2[[#This Row],[Reason]],'[2]New Reason code'!$B$2:$D$77,2,0),0)</f>
        <v xml:space="preserve">Due to Settup  </v>
      </c>
      <c r="Y544" s="62" t="str">
        <f>IFERROR(VLOOKUP(Table2[[#This Row],[Rejection Identified at]],'[2]New Reason code'!$C$2:$D$77,2,0),0)</f>
        <v>skill</v>
      </c>
    </row>
    <row r="545" spans="1:25" ht="20.25" customHeight="1">
      <c r="A545" s="50">
        <v>541</v>
      </c>
      <c r="B545" s="62">
        <v>1</v>
      </c>
      <c r="C545" s="62" t="str">
        <f>IFERROR(VLOOKUP(Table2[[#This Row],[Code]],'[2]New Machine sheet'!$A$1:$D$101,2,0),0)</f>
        <v>282-01</v>
      </c>
      <c r="D545" s="62" t="str">
        <f>IFERROR(VLOOKUP(Table2[[#This Row],[M/c No]],'[2]New Machine sheet'!$B$1:$D$101,2,0),0)</f>
        <v>Mazak</v>
      </c>
      <c r="E545" s="62" t="str">
        <f>IFERROR(VLOOKUP(Table2[[#This Row],[M/c Name]],'[2]New Machine sheet'!$C$1:$D$101,2,0),0)</f>
        <v>Turning</v>
      </c>
      <c r="F545" s="62">
        <v>52</v>
      </c>
      <c r="G545" s="62">
        <f>IFERROR(VLOOKUP(Table2[[#This Row],[Code2]],'[2]New Machine sheet'!$F$2:$I$64,2,),0)</f>
        <v>2452</v>
      </c>
      <c r="H545" s="62" t="str">
        <f>IFERROR(VLOOKUP(Table2[[#This Row],[Code2]],'[2]New Machine sheet'!$F$2:$I$64,3,0),0)</f>
        <v>RE P1</v>
      </c>
      <c r="I545" s="62" t="s">
        <v>171</v>
      </c>
      <c r="J545" s="62">
        <v>5</v>
      </c>
      <c r="K545" s="62" t="str">
        <f>IFERROR(VLOOKUP(Table2[[#This Row],[Code3]],'[2]New defect code '!$A$2:$D$129,2,0),0)</f>
        <v>Bore Over size</v>
      </c>
      <c r="L545" s="62" t="s">
        <v>217</v>
      </c>
      <c r="M545" s="56">
        <v>46266</v>
      </c>
      <c r="N545" s="62"/>
      <c r="O545" s="62"/>
      <c r="P545" s="62">
        <v>2</v>
      </c>
      <c r="Q545" s="62"/>
      <c r="R545" s="62">
        <f>SUBTOTAL(9,Table2[[#This Row],[1st]:[FQC]])</f>
        <v>2</v>
      </c>
      <c r="S545" s="62">
        <f>IFERROR(VLOOKUP(Table2[[#This Row],[Part No.]],'[2]New Machine sheet'!$G$2:$I$90,3,0),0)</f>
        <v>400</v>
      </c>
      <c r="T545" s="62">
        <f>Table2[[#This Row],[cost per piece]]*Table2[[#This Row],[Total Rej. qty]]</f>
        <v>800</v>
      </c>
      <c r="U545" s="62">
        <f>IFERROR(VLOOKUP(Table2[[#This Row],[Non Conformance]],'[2]New defect code '!$B$2:$C$129,2,0),0)</f>
        <v>3243</v>
      </c>
      <c r="V545" s="62">
        <v>18</v>
      </c>
      <c r="W545" s="62" t="str">
        <f>IFERROR(VLOOKUP(Table2[[#This Row],[Code4]],'[2]New Reason code'!$A$2:$D$77,2,0),0)</f>
        <v>During insert change</v>
      </c>
      <c r="X545" s="62" t="str">
        <f>IFERROR(VLOOKUP(Table2[[#This Row],[Reason]],'[2]New Reason code'!$B$2:$D$77,2,0),0)</f>
        <v xml:space="preserve">Due to Settup  </v>
      </c>
      <c r="Y545" s="62" t="str">
        <f>IFERROR(VLOOKUP(Table2[[#This Row],[Rejection Identified at]],'[2]New Reason code'!$C$2:$D$77,2,0),0)</f>
        <v>skill</v>
      </c>
    </row>
    <row r="546" spans="1:25" ht="20.25" customHeight="1">
      <c r="A546" s="60">
        <v>542</v>
      </c>
      <c r="B546" s="62">
        <v>62</v>
      </c>
      <c r="C546" s="62" t="str">
        <f>IFERROR(VLOOKUP(Table2[[#This Row],[Code]],'[2]New Machine sheet'!$A$1:$D$101,2,0),0)</f>
        <v>FQC</v>
      </c>
      <c r="D546" s="62" t="str">
        <f>IFERROR(VLOOKUP(Table2[[#This Row],[M/c No]],'[2]New Machine sheet'!$B$1:$D$101,2,0),0)</f>
        <v>FQC</v>
      </c>
      <c r="E546" s="62" t="str">
        <f>IFERROR(VLOOKUP(Table2[[#This Row],[M/c Name]],'[2]New Machine sheet'!$C$1:$D$101,2,0),0)</f>
        <v>fqc</v>
      </c>
      <c r="F546" s="62">
        <v>78</v>
      </c>
      <c r="G546" s="62">
        <f>IFERROR(VLOOKUP(Table2[[#This Row],[Code2]],'[2]New Machine sheet'!$F$2:$I$64,2,),0)</f>
        <v>2478</v>
      </c>
      <c r="H546" s="62" t="str">
        <f>IFERROR(VLOOKUP(Table2[[#This Row],[Code2]],'[2]New Machine sheet'!$F$2:$I$64,3,0),0)</f>
        <v>RE P1</v>
      </c>
      <c r="I546" s="62"/>
      <c r="J546" s="62">
        <v>5</v>
      </c>
      <c r="K546" s="62" t="str">
        <f>IFERROR(VLOOKUP(Table2[[#This Row],[Code3]],'[2]New defect code '!$A$2:$D$129,2,0),0)</f>
        <v>Bore Over size</v>
      </c>
      <c r="L546" s="62" t="s">
        <v>217</v>
      </c>
      <c r="M546" s="56">
        <v>46266</v>
      </c>
      <c r="N546" s="62"/>
      <c r="O546" s="62"/>
      <c r="P546" s="62"/>
      <c r="Q546" s="62">
        <v>1</v>
      </c>
      <c r="R546" s="62">
        <f>SUBTOTAL(9,Table2[[#This Row],[1st]:[FQC]])</f>
        <v>1</v>
      </c>
      <c r="S546" s="62">
        <f>IFERROR(VLOOKUP(Table2[[#This Row],[Part No.]],'[2]New Machine sheet'!$G$2:$I$90,3,0),0)</f>
        <v>468.06</v>
      </c>
      <c r="T546" s="62">
        <f>Table2[[#This Row],[cost per piece]]*Table2[[#This Row],[Total Rej. qty]]</f>
        <v>468.06</v>
      </c>
      <c r="U546" s="62">
        <f>IFERROR(VLOOKUP(Table2[[#This Row],[Non Conformance]],'[2]New defect code '!$B$2:$C$129,2,0),0)</f>
        <v>3243</v>
      </c>
      <c r="V546" s="62">
        <v>24</v>
      </c>
      <c r="W546" s="62" t="str">
        <f>IFERROR(VLOOKUP(Table2[[#This Row],[Code4]],'[2]New Reason code'!$A$2:$D$77,2,0),0)</f>
        <v>FQC return</v>
      </c>
      <c r="X546" s="62" t="str">
        <f>IFERROR(VLOOKUP(Table2[[#This Row],[Reason]],'[2]New Reason code'!$B$2:$D$77,2,0),0)</f>
        <v>Due to operator</v>
      </c>
      <c r="Y546" s="62" t="str">
        <f>IFERROR(VLOOKUP(Table2[[#This Row],[Rejection Identified at]],'[2]New Reason code'!$C$2:$D$77,2,0),0)</f>
        <v xml:space="preserve">infrastructure </v>
      </c>
    </row>
    <row r="547" spans="1:25" ht="20.25" customHeight="1">
      <c r="A547" s="50">
        <v>543</v>
      </c>
      <c r="B547" s="62">
        <v>8</v>
      </c>
      <c r="C547" s="62" t="str">
        <f>IFERROR(VLOOKUP(Table2[[#This Row],[Code]],'[2]New Machine sheet'!$A$1:$D$101,2,0),0)</f>
        <v>282-08</v>
      </c>
      <c r="D547" s="62" t="str">
        <f>IFERROR(VLOOKUP(Table2[[#This Row],[M/c No]],'[2]New Machine sheet'!$B$1:$D$101,2,0),0)</f>
        <v>Mazak</v>
      </c>
      <c r="E547" s="62" t="str">
        <f>IFERROR(VLOOKUP(Table2[[#This Row],[M/c Name]],'[2]New Machine sheet'!$C$1:$D$101,2,0),0)</f>
        <v>Turning</v>
      </c>
      <c r="F547" s="62">
        <v>117</v>
      </c>
      <c r="G547" s="62">
        <f>IFERROR(VLOOKUP(Table2[[#This Row],[Code2]],'[2]New Machine sheet'!$F$2:$I$64,2,),0)</f>
        <v>24117</v>
      </c>
      <c r="H547" s="62" t="str">
        <f>IFERROR(VLOOKUP(Table2[[#This Row],[Code2]],'[2]New Machine sheet'!$F$2:$I$64,3,0),0)</f>
        <v>RE J1</v>
      </c>
      <c r="I547" s="62" t="s">
        <v>113</v>
      </c>
      <c r="J547" s="62">
        <v>5</v>
      </c>
      <c r="K547" s="62" t="str">
        <f>IFERROR(VLOOKUP(Table2[[#This Row],[Code3]],'[2]New defect code '!$A$2:$D$129,2,0),0)</f>
        <v>Bore Over size</v>
      </c>
      <c r="L547" s="62" t="s">
        <v>217</v>
      </c>
      <c r="M547" s="56">
        <v>46266</v>
      </c>
      <c r="N547" s="62"/>
      <c r="O547" s="62"/>
      <c r="P547" s="62">
        <v>1</v>
      </c>
      <c r="Q547" s="62"/>
      <c r="R547" s="62">
        <f>SUBTOTAL(9,Table2[[#This Row],[1st]:[FQC]])</f>
        <v>1</v>
      </c>
      <c r="S547" s="62">
        <f>IFERROR(VLOOKUP(Table2[[#This Row],[Part No.]],'[2]New Machine sheet'!$G$2:$I$90,3,0),0)</f>
        <v>111.97</v>
      </c>
      <c r="T547" s="62">
        <f>Table2[[#This Row],[cost per piece]]*Table2[[#This Row],[Total Rej. qty]]</f>
        <v>111.97</v>
      </c>
      <c r="U547" s="62">
        <f>IFERROR(VLOOKUP(Table2[[#This Row],[Non Conformance]],'[2]New defect code '!$B$2:$C$129,2,0),0)</f>
        <v>3243</v>
      </c>
      <c r="V547" s="62">
        <v>18</v>
      </c>
      <c r="W547" s="62" t="str">
        <f>IFERROR(VLOOKUP(Table2[[#This Row],[Code4]],'[2]New Reason code'!$A$2:$D$77,2,0),0)</f>
        <v>During insert change</v>
      </c>
      <c r="X547" s="62" t="str">
        <f>IFERROR(VLOOKUP(Table2[[#This Row],[Reason]],'[2]New Reason code'!$B$2:$D$77,2,0),0)</f>
        <v xml:space="preserve">Due to Settup  </v>
      </c>
      <c r="Y547" s="62" t="str">
        <f>IFERROR(VLOOKUP(Table2[[#This Row],[Rejection Identified at]],'[2]New Reason code'!$C$2:$D$77,2,0),0)</f>
        <v>skill</v>
      </c>
    </row>
    <row r="548" spans="1:25" ht="20.25" customHeight="1">
      <c r="A548" s="50">
        <v>544</v>
      </c>
      <c r="B548" s="62">
        <v>62</v>
      </c>
      <c r="C548" s="62" t="str">
        <f>IFERROR(VLOOKUP(Table2[[#This Row],[Code]],'[2]New Machine sheet'!$A$1:$D$101,2,0),0)</f>
        <v>FQC</v>
      </c>
      <c r="D548" s="62" t="str">
        <f>IFERROR(VLOOKUP(Table2[[#This Row],[M/c No]],'[2]New Machine sheet'!$B$1:$D$101,2,0),0)</f>
        <v>FQC</v>
      </c>
      <c r="E548" s="62" t="str">
        <f>IFERROR(VLOOKUP(Table2[[#This Row],[M/c Name]],'[2]New Machine sheet'!$C$1:$D$101,2,0),0)</f>
        <v>fqc</v>
      </c>
      <c r="F548" s="62">
        <v>28</v>
      </c>
      <c r="G548" s="62">
        <f>IFERROR(VLOOKUP(Table2[[#This Row],[Code2]],'[2]New Machine sheet'!$F$2:$I$64,2,),0)</f>
        <v>2428</v>
      </c>
      <c r="H548" s="62" t="str">
        <f>IFERROR(VLOOKUP(Table2[[#This Row],[Code2]],'[2]New Machine sheet'!$F$2:$I$64,3,0),0)</f>
        <v>RE P1</v>
      </c>
      <c r="I548" s="62"/>
      <c r="J548" s="62">
        <v>5</v>
      </c>
      <c r="K548" s="62" t="str">
        <f>IFERROR(VLOOKUP(Table2[[#This Row],[Code3]],'[2]New defect code '!$A$2:$D$129,2,0),0)</f>
        <v>Bore Over size</v>
      </c>
      <c r="L548" s="62" t="s">
        <v>217</v>
      </c>
      <c r="M548" s="56">
        <v>46266</v>
      </c>
      <c r="N548" s="62"/>
      <c r="O548" s="62"/>
      <c r="P548" s="62"/>
      <c r="Q548" s="62">
        <v>4</v>
      </c>
      <c r="R548" s="62">
        <f>SUBTOTAL(9,Table2[[#This Row],[1st]:[FQC]])</f>
        <v>4</v>
      </c>
      <c r="S548" s="62">
        <f>IFERROR(VLOOKUP(Table2[[#This Row],[Part No.]],'[2]New Machine sheet'!$G$2:$I$90,3,0),0)</f>
        <v>124.07</v>
      </c>
      <c r="T548" s="62">
        <f>Table2[[#This Row],[cost per piece]]*Table2[[#This Row],[Total Rej. qty]]</f>
        <v>496.28</v>
      </c>
      <c r="U548" s="62">
        <f>IFERROR(VLOOKUP(Table2[[#This Row],[Non Conformance]],'[2]New defect code '!$B$2:$C$129,2,0),0)</f>
        <v>3243</v>
      </c>
      <c r="V548" s="62">
        <v>24</v>
      </c>
      <c r="W548" s="62" t="str">
        <f>IFERROR(VLOOKUP(Table2[[#This Row],[Code4]],'[2]New Reason code'!$A$2:$D$77,2,0),0)</f>
        <v>FQC return</v>
      </c>
      <c r="X548" s="62" t="str">
        <f>IFERROR(VLOOKUP(Table2[[#This Row],[Reason]],'[2]New Reason code'!$B$2:$D$77,2,0),0)</f>
        <v>Due to operator</v>
      </c>
      <c r="Y548" s="62" t="str">
        <f>IFERROR(VLOOKUP(Table2[[#This Row],[Rejection Identified at]],'[2]New Reason code'!$C$2:$D$77,2,0),0)</f>
        <v xml:space="preserve">infrastructure </v>
      </c>
    </row>
    <row r="549" spans="1:25" ht="20.25" customHeight="1">
      <c r="A549" s="60">
        <v>545</v>
      </c>
      <c r="B549" s="62">
        <v>44</v>
      </c>
      <c r="C549" s="62" t="str">
        <f>IFERROR(VLOOKUP(Table2[[#This Row],[Code]],'[2]New Machine sheet'!$A$1:$D$101,2,0),0)</f>
        <v>LT20-NEW</v>
      </c>
      <c r="D549" s="62" t="str">
        <f>IFERROR(VLOOKUP(Table2[[#This Row],[M/c No]],'[2]New Machine sheet'!$B$1:$D$101,2,0),0)</f>
        <v>ACE</v>
      </c>
      <c r="E549" s="62" t="str">
        <f>IFERROR(VLOOKUP(Table2[[#This Row],[M/c Name]],'[2]New Machine sheet'!$C$1:$D$101,2,0),0)</f>
        <v xml:space="preserve">turning </v>
      </c>
      <c r="F549" s="62">
        <v>82</v>
      </c>
      <c r="G549" s="62">
        <f>IFERROR(VLOOKUP(Table2[[#This Row],[Code2]],'[2]New Machine sheet'!$F$2:$I$64,2,),0)</f>
        <v>2482</v>
      </c>
      <c r="H549" s="62" t="str">
        <f>IFERROR(VLOOKUP(Table2[[#This Row],[Code2]],'[2]New Machine sheet'!$F$2:$I$64,3,0),0)</f>
        <v>RE P1</v>
      </c>
      <c r="I549" s="62" t="s">
        <v>134</v>
      </c>
      <c r="J549" s="62">
        <v>66</v>
      </c>
      <c r="K549" s="62" t="str">
        <f>IFERROR(VLOOKUP(Table2[[#This Row],[Code3]],'[2]New defect code '!$A$2:$D$129,2,0),0)</f>
        <v>OD Under Size</v>
      </c>
      <c r="L549" s="62" t="s">
        <v>217</v>
      </c>
      <c r="M549" s="56">
        <v>46266</v>
      </c>
      <c r="N549" s="62"/>
      <c r="O549" s="62"/>
      <c r="P549" s="62">
        <v>1</v>
      </c>
      <c r="Q549" s="62"/>
      <c r="R549" s="62">
        <f>SUBTOTAL(9,Table2[[#This Row],[1st]:[FQC]])</f>
        <v>1</v>
      </c>
      <c r="S549" s="62">
        <f>IFERROR(VLOOKUP(Table2[[#This Row],[Part No.]],'[2]New Machine sheet'!$G$2:$I$90,3,0),0)</f>
        <v>303.45333333333332</v>
      </c>
      <c r="T549" s="62">
        <f>Table2[[#This Row],[cost per piece]]*Table2[[#This Row],[Total Rej. qty]]</f>
        <v>303.45333333333332</v>
      </c>
      <c r="U549" s="62">
        <f>IFERROR(VLOOKUP(Table2[[#This Row],[Non Conformance]],'[2]New defect code '!$B$2:$C$129,2,0),0)</f>
        <v>3242</v>
      </c>
      <c r="V549" s="62">
        <v>18</v>
      </c>
      <c r="W549" s="62" t="str">
        <f>IFERROR(VLOOKUP(Table2[[#This Row],[Code4]],'[2]New Reason code'!$A$2:$D$77,2,0),0)</f>
        <v>During insert change</v>
      </c>
      <c r="X549" s="62" t="str">
        <f>IFERROR(VLOOKUP(Table2[[#This Row],[Reason]],'[2]New Reason code'!$B$2:$D$77,2,0),0)</f>
        <v xml:space="preserve">Due to Settup  </v>
      </c>
      <c r="Y549" s="62" t="str">
        <f>IFERROR(VLOOKUP(Table2[[#This Row],[Rejection Identified at]],'[2]New Reason code'!$C$2:$D$77,2,0),0)</f>
        <v>skill</v>
      </c>
    </row>
    <row r="550" spans="1:25" ht="20.25" customHeight="1">
      <c r="A550" s="50">
        <v>546</v>
      </c>
      <c r="B550" s="62">
        <v>5</v>
      </c>
      <c r="C550" s="62" t="str">
        <f>IFERROR(VLOOKUP(Table2[[#This Row],[Code]],'[2]New Machine sheet'!$A$1:$D$101,2,0),0)</f>
        <v>282-05</v>
      </c>
      <c r="D550" s="62" t="str">
        <f>IFERROR(VLOOKUP(Table2[[#This Row],[M/c No]],'[2]New Machine sheet'!$B$1:$D$101,2,0),0)</f>
        <v>Mazak</v>
      </c>
      <c r="E550" s="62" t="str">
        <f>IFERROR(VLOOKUP(Table2[[#This Row],[M/c Name]],'[2]New Machine sheet'!$C$1:$D$101,2,0),0)</f>
        <v>Turning</v>
      </c>
      <c r="F550" s="62">
        <v>119</v>
      </c>
      <c r="G550" s="62">
        <f>IFERROR(VLOOKUP(Table2[[#This Row],[Code2]],'[2]New Machine sheet'!$F$2:$I$64,2,),0)</f>
        <v>24119</v>
      </c>
      <c r="H550" s="62" t="str">
        <f>IFERROR(VLOOKUP(Table2[[#This Row],[Code2]],'[2]New Machine sheet'!$F$2:$I$64,3,0),0)</f>
        <v>RE J1</v>
      </c>
      <c r="I550" s="62" t="s">
        <v>113</v>
      </c>
      <c r="J550" s="62">
        <v>5</v>
      </c>
      <c r="K550" s="62" t="str">
        <f>IFERROR(VLOOKUP(Table2[[#This Row],[Code3]],'[2]New defect code '!$A$2:$D$129,2,0),0)</f>
        <v>Bore Over size</v>
      </c>
      <c r="L550" s="62" t="s">
        <v>217</v>
      </c>
      <c r="M550" s="56">
        <v>46266</v>
      </c>
      <c r="N550" s="62"/>
      <c r="O550" s="62"/>
      <c r="P550" s="62">
        <v>1</v>
      </c>
      <c r="Q550" s="62"/>
      <c r="R550" s="62">
        <f>SUBTOTAL(9,Table2[[#This Row],[1st]:[FQC]])</f>
        <v>1</v>
      </c>
      <c r="S550" s="62">
        <f>IFERROR(VLOOKUP(Table2[[#This Row],[Part No.]],'[2]New Machine sheet'!$G$2:$I$90,3,0),0)</f>
        <v>103.2</v>
      </c>
      <c r="T550" s="62">
        <f>Table2[[#This Row],[cost per piece]]*Table2[[#This Row],[Total Rej. qty]]</f>
        <v>103.2</v>
      </c>
      <c r="U550" s="62">
        <f>IFERROR(VLOOKUP(Table2[[#This Row],[Non Conformance]],'[2]New defect code '!$B$2:$C$129,2,0),0)</f>
        <v>3243</v>
      </c>
      <c r="V550" s="62">
        <v>18</v>
      </c>
      <c r="W550" s="62" t="str">
        <f>IFERROR(VLOOKUP(Table2[[#This Row],[Code4]],'[2]New Reason code'!$A$2:$D$77,2,0),0)</f>
        <v>During insert change</v>
      </c>
      <c r="X550" s="62" t="str">
        <f>IFERROR(VLOOKUP(Table2[[#This Row],[Reason]],'[2]New Reason code'!$B$2:$D$77,2,0),0)</f>
        <v xml:space="preserve">Due to Settup  </v>
      </c>
      <c r="Y550" s="62" t="str">
        <f>IFERROR(VLOOKUP(Table2[[#This Row],[Rejection Identified at]],'[2]New Reason code'!$C$2:$D$77,2,0),0)</f>
        <v>skill</v>
      </c>
    </row>
    <row r="551" spans="1:25" ht="20.25" customHeight="1">
      <c r="A551" s="50">
        <v>547</v>
      </c>
      <c r="B551" s="62">
        <v>21</v>
      </c>
      <c r="C551" s="62" t="str">
        <f>IFERROR(VLOOKUP(Table2[[#This Row],[Code]],'[2]New Machine sheet'!$A$1:$D$101,2,0),0)</f>
        <v>ACE-01</v>
      </c>
      <c r="D551" s="62" t="str">
        <f>IFERROR(VLOOKUP(Table2[[#This Row],[M/c No]],'[2]New Machine sheet'!$B$1:$D$101,2,0),0)</f>
        <v>Micromatic</v>
      </c>
      <c r="E551" s="62" t="str">
        <f>IFERROR(VLOOKUP(Table2[[#This Row],[M/c Name]],'[2]New Machine sheet'!$C$1:$D$101,2,0),0)</f>
        <v>Turning</v>
      </c>
      <c r="F551" s="62">
        <v>42</v>
      </c>
      <c r="G551" s="62">
        <f>IFERROR(VLOOKUP(Table2[[#This Row],[Code2]],'[2]New Machine sheet'!$F$2:$I$64,2,),0)</f>
        <v>2442</v>
      </c>
      <c r="H551" s="62" t="str">
        <f>IFERROR(VLOOKUP(Table2[[#This Row],[Code2]],'[2]New Machine sheet'!$F$2:$I$64,3,0),0)</f>
        <v>RE P1</v>
      </c>
      <c r="I551" s="62" t="s">
        <v>146</v>
      </c>
      <c r="J551" s="62">
        <v>5</v>
      </c>
      <c r="K551" s="62" t="str">
        <f>IFERROR(VLOOKUP(Table2[[#This Row],[Code3]],'[2]New defect code '!$A$2:$D$129,2,0),0)</f>
        <v>Bore Over size</v>
      </c>
      <c r="L551" s="62" t="s">
        <v>217</v>
      </c>
      <c r="M551" s="56">
        <v>46266</v>
      </c>
      <c r="N551" s="62"/>
      <c r="O551" s="62"/>
      <c r="P551" s="62">
        <v>3</v>
      </c>
      <c r="Q551" s="62"/>
      <c r="R551" s="62">
        <f>SUBTOTAL(9,Table2[[#This Row],[1st]:[FQC]])</f>
        <v>3</v>
      </c>
      <c r="S551" s="62">
        <f>IFERROR(VLOOKUP(Table2[[#This Row],[Part No.]],'[2]New Machine sheet'!$G$2:$I$90,3,0),0)</f>
        <v>164.83</v>
      </c>
      <c r="T551" s="62">
        <f>Table2[[#This Row],[cost per piece]]*Table2[[#This Row],[Total Rej. qty]]</f>
        <v>494.49</v>
      </c>
      <c r="U551" s="62">
        <f>IFERROR(VLOOKUP(Table2[[#This Row],[Non Conformance]],'[2]New defect code '!$B$2:$C$129,2,0),0)</f>
        <v>3243</v>
      </c>
      <c r="V551" s="62">
        <v>64</v>
      </c>
      <c r="W551" s="62" t="str">
        <f>IFERROR(VLOOKUP(Table2[[#This Row],[Code4]],'[2]New Reason code'!$A$2:$D$77,2,0),0)</f>
        <v>Wrong correction</v>
      </c>
      <c r="X551" s="62" t="str">
        <f>IFERROR(VLOOKUP(Table2[[#This Row],[Reason]],'[2]New Reason code'!$B$2:$D$77,2,0),0)</f>
        <v>Due to operator</v>
      </c>
      <c r="Y551" s="62" t="str">
        <f>IFERROR(VLOOKUP(Table2[[#This Row],[Rejection Identified at]],'[2]New Reason code'!$C$2:$D$77,2,0),0)</f>
        <v xml:space="preserve">infrastructure </v>
      </c>
    </row>
    <row r="552" spans="1:25" ht="20.25" customHeight="1">
      <c r="A552" s="60">
        <v>548</v>
      </c>
      <c r="B552" s="62">
        <v>15</v>
      </c>
      <c r="C552" s="62" t="str">
        <f>IFERROR(VLOOKUP(Table2[[#This Row],[Code]],'[2]New Machine sheet'!$A$1:$D$101,2,0),0)</f>
        <v>282-15</v>
      </c>
      <c r="D552" s="62" t="str">
        <f>IFERROR(VLOOKUP(Table2[[#This Row],[M/c No]],'[2]New Machine sheet'!$B$1:$D$101,2,0),0)</f>
        <v>Mazak</v>
      </c>
      <c r="E552" s="62" t="str">
        <f>IFERROR(VLOOKUP(Table2[[#This Row],[M/c Name]],'[2]New Machine sheet'!$C$1:$D$101,2,0),0)</f>
        <v>Turning</v>
      </c>
      <c r="F552" s="62">
        <v>122</v>
      </c>
      <c r="G552" s="62">
        <f>IFERROR(VLOOKUP(Table2[[#This Row],[Code2]],'[2]New Machine sheet'!$F$2:$I$64,2,),0)</f>
        <v>24122</v>
      </c>
      <c r="H552" s="62" t="str">
        <f>IFERROR(VLOOKUP(Table2[[#This Row],[Code2]],'[2]New Machine sheet'!$F$2:$I$64,3,0),0)</f>
        <v>RE J1</v>
      </c>
      <c r="I552" s="62"/>
      <c r="J552" s="62">
        <v>93</v>
      </c>
      <c r="K552" s="62" t="str">
        <f>IFERROR(VLOOKUP(Table2[[#This Row],[Code3]],'[2]New defect code '!$A$2:$D$129,2,0),0)</f>
        <v>Thickness Under size</v>
      </c>
      <c r="L552" s="62" t="s">
        <v>217</v>
      </c>
      <c r="M552" s="56">
        <v>46266</v>
      </c>
      <c r="N552" s="62"/>
      <c r="O552" s="62"/>
      <c r="P552" s="62">
        <v>5</v>
      </c>
      <c r="Q552" s="62"/>
      <c r="R552" s="62">
        <f>SUBTOTAL(9,Table2[[#This Row],[1st]:[FQC]])</f>
        <v>5</v>
      </c>
      <c r="S552" s="62">
        <f>IFERROR(VLOOKUP(Table2[[#This Row],[Part No.]],'[2]New Machine sheet'!$G$2:$I$90,3,0),0)</f>
        <v>335.39977528089889</v>
      </c>
      <c r="T552" s="62">
        <f>Table2[[#This Row],[cost per piece]]*Table2[[#This Row],[Total Rej. qty]]</f>
        <v>1676.9988764044945</v>
      </c>
      <c r="U552" s="62">
        <f>IFERROR(VLOOKUP(Table2[[#This Row],[Non Conformance]],'[2]New defect code '!$B$2:$C$129,2,0),0)</f>
        <v>3258</v>
      </c>
      <c r="V552" s="62">
        <v>19</v>
      </c>
      <c r="W552" s="62" t="str">
        <f>IFERROR(VLOOKUP(Table2[[#This Row],[Code4]],'[2]New Reason code'!$A$2:$D$77,2,0),0)</f>
        <v>During Rework time</v>
      </c>
      <c r="X552" s="62" t="str">
        <f>IFERROR(VLOOKUP(Table2[[#This Row],[Reason]],'[2]New Reason code'!$B$2:$D$77,2,0),0)</f>
        <v>Due to operator</v>
      </c>
      <c r="Y552" s="62" t="str">
        <f>IFERROR(VLOOKUP(Table2[[#This Row],[Rejection Identified at]],'[2]New Reason code'!$C$2:$D$77,2,0),0)</f>
        <v xml:space="preserve">infrastructure </v>
      </c>
    </row>
    <row r="553" spans="1:25" ht="20.25" customHeight="1">
      <c r="A553" s="50">
        <v>549</v>
      </c>
      <c r="B553" s="62">
        <v>15</v>
      </c>
      <c r="C553" s="62" t="str">
        <f>IFERROR(VLOOKUP(Table2[[#This Row],[Code]],'[2]New Machine sheet'!$A$1:$D$101,2,0),0)</f>
        <v>282-15</v>
      </c>
      <c r="D553" s="62" t="str">
        <f>IFERROR(VLOOKUP(Table2[[#This Row],[M/c No]],'[2]New Machine sheet'!$B$1:$D$101,2,0),0)</f>
        <v>Mazak</v>
      </c>
      <c r="E553" s="62" t="str">
        <f>IFERROR(VLOOKUP(Table2[[#This Row],[M/c Name]],'[2]New Machine sheet'!$C$1:$D$101,2,0),0)</f>
        <v>Turning</v>
      </c>
      <c r="F553" s="62">
        <v>122</v>
      </c>
      <c r="G553" s="62">
        <f>IFERROR(VLOOKUP(Table2[[#This Row],[Code2]],'[2]New Machine sheet'!$F$2:$I$64,2,),0)</f>
        <v>24122</v>
      </c>
      <c r="H553" s="62" t="str">
        <f>IFERROR(VLOOKUP(Table2[[#This Row],[Code2]],'[2]New Machine sheet'!$F$2:$I$64,3,0),0)</f>
        <v>RE J1</v>
      </c>
      <c r="I553" s="62"/>
      <c r="J553" s="62">
        <v>66</v>
      </c>
      <c r="K553" s="62" t="str">
        <f>IFERROR(VLOOKUP(Table2[[#This Row],[Code3]],'[2]New defect code '!$A$2:$D$129,2,0),0)</f>
        <v>OD Under Size</v>
      </c>
      <c r="L553" s="62" t="s">
        <v>217</v>
      </c>
      <c r="M553" s="56">
        <v>46266</v>
      </c>
      <c r="N553" s="62"/>
      <c r="O553" s="62"/>
      <c r="P553" s="62">
        <v>5</v>
      </c>
      <c r="Q553" s="62"/>
      <c r="R553" s="62">
        <f>SUBTOTAL(9,Table2[[#This Row],[1st]:[FQC]])</f>
        <v>5</v>
      </c>
      <c r="S553" s="62">
        <f>IFERROR(VLOOKUP(Table2[[#This Row],[Part No.]],'[2]New Machine sheet'!$G$2:$I$90,3,0),0)</f>
        <v>335.39977528089889</v>
      </c>
      <c r="T553" s="62">
        <f>Table2[[#This Row],[cost per piece]]*Table2[[#This Row],[Total Rej. qty]]</f>
        <v>1676.9988764044945</v>
      </c>
      <c r="U553" s="62">
        <f>IFERROR(VLOOKUP(Table2[[#This Row],[Non Conformance]],'[2]New defect code '!$B$2:$C$129,2,0),0)</f>
        <v>3242</v>
      </c>
      <c r="V553" s="62">
        <v>19</v>
      </c>
      <c r="W553" s="62" t="str">
        <f>IFERROR(VLOOKUP(Table2[[#This Row],[Code4]],'[2]New Reason code'!$A$2:$D$77,2,0),0)</f>
        <v>During Rework time</v>
      </c>
      <c r="X553" s="62" t="str">
        <f>IFERROR(VLOOKUP(Table2[[#This Row],[Reason]],'[2]New Reason code'!$B$2:$D$77,2,0),0)</f>
        <v>Due to operator</v>
      </c>
      <c r="Y553" s="62" t="str">
        <f>IFERROR(VLOOKUP(Table2[[#This Row],[Rejection Identified at]],'[2]New Reason code'!$C$2:$D$77,2,0),0)</f>
        <v xml:space="preserve">infrastructure </v>
      </c>
    </row>
    <row r="554" spans="1:25" ht="20.25" customHeight="1">
      <c r="A554" s="50">
        <v>550</v>
      </c>
      <c r="B554" s="62">
        <v>25</v>
      </c>
      <c r="C554" s="62" t="str">
        <f>IFERROR(VLOOKUP(Table2[[#This Row],[Code]],'[2]New Machine sheet'!$A$1:$D$101,2,0),0)</f>
        <v>ACE-05</v>
      </c>
      <c r="D554" s="62" t="str">
        <f>IFERROR(VLOOKUP(Table2[[#This Row],[M/c No]],'[2]New Machine sheet'!$B$1:$D$101,2,0),0)</f>
        <v>Micromatic</v>
      </c>
      <c r="E554" s="62" t="str">
        <f>IFERROR(VLOOKUP(Table2[[#This Row],[M/c Name]],'[2]New Machine sheet'!$C$1:$D$101,2,0),0)</f>
        <v>Turning</v>
      </c>
      <c r="F554" s="62">
        <v>122</v>
      </c>
      <c r="G554" s="62">
        <f>IFERROR(VLOOKUP(Table2[[#This Row],[Code2]],'[2]New Machine sheet'!$F$2:$I$64,2,),0)</f>
        <v>24122</v>
      </c>
      <c r="H554" s="62" t="str">
        <f>IFERROR(VLOOKUP(Table2[[#This Row],[Code2]],'[2]New Machine sheet'!$F$2:$I$64,3,0),0)</f>
        <v>RE J1</v>
      </c>
      <c r="I554" s="62"/>
      <c r="J554" s="62">
        <v>5</v>
      </c>
      <c r="K554" s="62" t="str">
        <f>IFERROR(VLOOKUP(Table2[[#This Row],[Code3]],'[2]New defect code '!$A$2:$D$129,2,0),0)</f>
        <v>Bore Over size</v>
      </c>
      <c r="L554" s="62" t="s">
        <v>217</v>
      </c>
      <c r="M554" s="56">
        <v>46266</v>
      </c>
      <c r="N554" s="62"/>
      <c r="O554" s="62"/>
      <c r="P554" s="62">
        <v>3</v>
      </c>
      <c r="Q554" s="62"/>
      <c r="R554" s="62">
        <f>SUBTOTAL(9,Table2[[#This Row],[1st]:[FQC]])</f>
        <v>3</v>
      </c>
      <c r="S554" s="62">
        <f>IFERROR(VLOOKUP(Table2[[#This Row],[Part No.]],'[2]New Machine sheet'!$G$2:$I$90,3,0),0)</f>
        <v>335.39977528089889</v>
      </c>
      <c r="T554" s="62">
        <f>Table2[[#This Row],[cost per piece]]*Table2[[#This Row],[Total Rej. qty]]</f>
        <v>1006.1993258426967</v>
      </c>
      <c r="U554" s="62">
        <f>IFERROR(VLOOKUP(Table2[[#This Row],[Non Conformance]],'[2]New defect code '!$B$2:$C$129,2,0),0)</f>
        <v>3243</v>
      </c>
      <c r="V554" s="62">
        <v>18</v>
      </c>
      <c r="W554" s="62" t="str">
        <f>IFERROR(VLOOKUP(Table2[[#This Row],[Code4]],'[2]New Reason code'!$A$2:$D$77,2,0),0)</f>
        <v>During insert change</v>
      </c>
      <c r="X554" s="62" t="str">
        <f>IFERROR(VLOOKUP(Table2[[#This Row],[Reason]],'[2]New Reason code'!$B$2:$D$77,2,0),0)</f>
        <v xml:space="preserve">Due to Settup  </v>
      </c>
      <c r="Y554" s="62" t="str">
        <f>IFERROR(VLOOKUP(Table2[[#This Row],[Rejection Identified at]],'[2]New Reason code'!$C$2:$D$77,2,0),0)</f>
        <v>skill</v>
      </c>
    </row>
    <row r="555" spans="1:25" ht="20.25" customHeight="1">
      <c r="A555" s="60">
        <v>551</v>
      </c>
      <c r="B555" s="62">
        <v>6</v>
      </c>
      <c r="C555" s="62" t="str">
        <f>IFERROR(VLOOKUP(Table2[[#This Row],[Code]],'[2]New Machine sheet'!$A$1:$D$101,2,0),0)</f>
        <v>282-06</v>
      </c>
      <c r="D555" s="62" t="str">
        <f>IFERROR(VLOOKUP(Table2[[#This Row],[M/c No]],'[2]New Machine sheet'!$B$1:$D$101,2,0),0)</f>
        <v>Mazak</v>
      </c>
      <c r="E555" s="62" t="str">
        <f>IFERROR(VLOOKUP(Table2[[#This Row],[M/c Name]],'[2]New Machine sheet'!$C$1:$D$101,2,0),0)</f>
        <v>Turning</v>
      </c>
      <c r="F555" s="62">
        <v>178</v>
      </c>
      <c r="G555" s="62">
        <f>IFERROR(VLOOKUP(Table2[[#This Row],[Code2]],'[2]New Machine sheet'!$F$2:$I$64,2,),0)</f>
        <v>24178</v>
      </c>
      <c r="H555" s="62" t="str">
        <f>IFERROR(VLOOKUP(Table2[[#This Row],[Code2]],'[2]New Machine sheet'!$F$2:$I$64,3,0),0)</f>
        <v>RE J1</v>
      </c>
      <c r="I555" s="62"/>
      <c r="J555" s="62">
        <v>5</v>
      </c>
      <c r="K555" s="62" t="str">
        <f>IFERROR(VLOOKUP(Table2[[#This Row],[Code3]],'[2]New defect code '!$A$2:$D$129,2,0),0)</f>
        <v>Bore Over size</v>
      </c>
      <c r="L555" s="62" t="s">
        <v>217</v>
      </c>
      <c r="M555" s="56">
        <v>46266</v>
      </c>
      <c r="N555" s="62"/>
      <c r="O555" s="62"/>
      <c r="P555" s="62">
        <v>1</v>
      </c>
      <c r="Q555" s="62"/>
      <c r="R555" s="62">
        <f>SUBTOTAL(9,Table2[[#This Row],[1st]:[FQC]])</f>
        <v>1</v>
      </c>
      <c r="S555" s="62">
        <f>IFERROR(VLOOKUP(Table2[[#This Row],[Part No.]],'[2]New Machine sheet'!$G$2:$I$90,3,0),0)</f>
        <v>70.62</v>
      </c>
      <c r="T555" s="62">
        <f>Table2[[#This Row],[cost per piece]]*Table2[[#This Row],[Total Rej. qty]]</f>
        <v>70.62</v>
      </c>
      <c r="U555" s="62">
        <f>IFERROR(VLOOKUP(Table2[[#This Row],[Non Conformance]],'[2]New defect code '!$B$2:$C$129,2,0),0)</f>
        <v>3243</v>
      </c>
      <c r="V555" s="62">
        <v>18</v>
      </c>
      <c r="W555" s="62" t="str">
        <f>IFERROR(VLOOKUP(Table2[[#This Row],[Code4]],'[2]New Reason code'!$A$2:$D$77,2,0),0)</f>
        <v>During insert change</v>
      </c>
      <c r="X555" s="62" t="str">
        <f>IFERROR(VLOOKUP(Table2[[#This Row],[Reason]],'[2]New Reason code'!$B$2:$D$77,2,0),0)</f>
        <v xml:space="preserve">Due to Settup  </v>
      </c>
      <c r="Y555" s="62" t="str">
        <f>IFERROR(VLOOKUP(Table2[[#This Row],[Rejection Identified at]],'[2]New Reason code'!$C$2:$D$77,2,0),0)</f>
        <v>skill</v>
      </c>
    </row>
  </sheetData>
  <dataConsolidate/>
  <mergeCells count="1">
    <mergeCell ref="N3:R3"/>
  </mergeCells>
  <pageMargins left="0.11811023622047244" right="0" top="0.74803149606299213" bottom="0" header="0.31496062992125984" footer="0.31496062992125984"/>
  <pageSetup paperSize="9" scale="51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3:AB18"/>
  <sheetViews>
    <sheetView topLeftCell="H1" workbookViewId="0">
      <selection activeCell="H22" sqref="H22"/>
    </sheetView>
  </sheetViews>
  <sheetFormatPr defaultRowHeight="15"/>
  <cols>
    <col min="1" max="1" width="19.375" bestFit="1" customWidth="1"/>
    <col min="2" max="2" width="16.125" customWidth="1"/>
    <col min="3" max="5" width="8.75" customWidth="1"/>
    <col min="6" max="6" width="8.75" bestFit="1" customWidth="1"/>
    <col min="7" max="7" width="8.625" customWidth="1"/>
    <col min="8" max="8" width="8.625" bestFit="1" customWidth="1"/>
    <col min="9" max="9" width="8.75" customWidth="1"/>
    <col min="10" max="16" width="8.75" bestFit="1" customWidth="1"/>
    <col min="17" max="18" width="8.625" bestFit="1" customWidth="1"/>
    <col min="19" max="26" width="8.75" bestFit="1" customWidth="1"/>
    <col min="27" max="27" width="8.625" bestFit="1" customWidth="1"/>
    <col min="28" max="28" width="11.25" bestFit="1" customWidth="1"/>
  </cols>
  <sheetData>
    <row r="3" spans="1:28">
      <c r="A3" s="58" t="s">
        <v>85</v>
      </c>
      <c r="B3" s="58" t="s">
        <v>86</v>
      </c>
    </row>
    <row r="4" spans="1:28">
      <c r="A4" s="58" t="s">
        <v>83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103</v>
      </c>
      <c r="S4" t="s">
        <v>104</v>
      </c>
      <c r="T4" t="s">
        <v>105</v>
      </c>
      <c r="U4" t="s">
        <v>106</v>
      </c>
      <c r="V4" t="s">
        <v>107</v>
      </c>
      <c r="W4" t="s">
        <v>108</v>
      </c>
      <c r="X4" t="s">
        <v>109</v>
      </c>
      <c r="Y4" t="s">
        <v>110</v>
      </c>
      <c r="Z4" t="s">
        <v>111</v>
      </c>
      <c r="AA4" t="s">
        <v>112</v>
      </c>
      <c r="AB4" t="s">
        <v>84</v>
      </c>
    </row>
    <row r="5" spans="1:28">
      <c r="A5" s="59">
        <v>0</v>
      </c>
      <c r="B5">
        <v>0</v>
      </c>
      <c r="AB5">
        <v>0</v>
      </c>
    </row>
    <row r="6" spans="1:28">
      <c r="A6" s="59">
        <v>2428</v>
      </c>
      <c r="C6">
        <v>5</v>
      </c>
      <c r="G6">
        <v>1</v>
      </c>
      <c r="J6">
        <v>32</v>
      </c>
      <c r="K6">
        <v>1</v>
      </c>
      <c r="M6">
        <v>1</v>
      </c>
      <c r="S6">
        <v>1</v>
      </c>
      <c r="T6">
        <v>2</v>
      </c>
      <c r="W6">
        <v>2</v>
      </c>
      <c r="AB6">
        <v>45</v>
      </c>
    </row>
    <row r="7" spans="1:28">
      <c r="A7" s="59">
        <v>2452</v>
      </c>
      <c r="C7">
        <v>6</v>
      </c>
      <c r="E7">
        <v>3</v>
      </c>
      <c r="I7">
        <v>11</v>
      </c>
      <c r="J7">
        <v>7</v>
      </c>
      <c r="M7">
        <v>8</v>
      </c>
      <c r="N7">
        <v>4</v>
      </c>
      <c r="O7">
        <v>4</v>
      </c>
      <c r="P7">
        <v>5</v>
      </c>
      <c r="Q7">
        <v>7</v>
      </c>
      <c r="R7">
        <v>3</v>
      </c>
      <c r="S7">
        <v>9</v>
      </c>
      <c r="T7">
        <v>3</v>
      </c>
      <c r="U7">
        <v>12</v>
      </c>
      <c r="V7">
        <v>1</v>
      </c>
      <c r="W7">
        <v>1</v>
      </c>
      <c r="Z7">
        <v>2</v>
      </c>
      <c r="AB7">
        <v>86</v>
      </c>
    </row>
    <row r="8" spans="1:28">
      <c r="A8" s="59">
        <v>2477</v>
      </c>
      <c r="M8">
        <v>1</v>
      </c>
      <c r="N8">
        <v>3</v>
      </c>
      <c r="O8">
        <v>11</v>
      </c>
      <c r="W8">
        <v>1</v>
      </c>
      <c r="X8">
        <v>1</v>
      </c>
      <c r="AB8">
        <v>17</v>
      </c>
    </row>
    <row r="9" spans="1:28">
      <c r="A9" s="59">
        <v>2478</v>
      </c>
      <c r="E9">
        <v>2</v>
      </c>
      <c r="G9">
        <v>4</v>
      </c>
      <c r="K9">
        <v>5</v>
      </c>
      <c r="L9">
        <v>6</v>
      </c>
      <c r="M9">
        <v>1</v>
      </c>
      <c r="N9">
        <v>15</v>
      </c>
      <c r="O9">
        <v>13</v>
      </c>
      <c r="S9">
        <v>1</v>
      </c>
      <c r="U9">
        <v>3</v>
      </c>
      <c r="V9">
        <v>1</v>
      </c>
      <c r="W9">
        <v>1</v>
      </c>
      <c r="Z9">
        <v>2</v>
      </c>
      <c r="AA9">
        <v>5</v>
      </c>
      <c r="AB9">
        <v>59</v>
      </c>
    </row>
    <row r="10" spans="1:28">
      <c r="A10" s="59">
        <v>24102</v>
      </c>
      <c r="D10">
        <v>10</v>
      </c>
      <c r="E10">
        <v>20</v>
      </c>
      <c r="F10">
        <v>6</v>
      </c>
      <c r="G10">
        <v>2</v>
      </c>
      <c r="H10">
        <v>3</v>
      </c>
      <c r="I10">
        <v>32</v>
      </c>
      <c r="J10">
        <v>4</v>
      </c>
      <c r="L10">
        <v>1</v>
      </c>
      <c r="N10">
        <v>1</v>
      </c>
      <c r="P10">
        <v>2</v>
      </c>
      <c r="S10">
        <v>1</v>
      </c>
      <c r="T10">
        <v>3</v>
      </c>
      <c r="U10">
        <v>1</v>
      </c>
      <c r="V10">
        <v>8</v>
      </c>
      <c r="W10">
        <v>1</v>
      </c>
      <c r="X10">
        <v>2</v>
      </c>
      <c r="Y10">
        <v>1</v>
      </c>
      <c r="Z10">
        <v>1</v>
      </c>
      <c r="AA10">
        <v>2</v>
      </c>
      <c r="AB10">
        <v>101</v>
      </c>
    </row>
    <row r="11" spans="1:28">
      <c r="A11" s="59">
        <v>24122</v>
      </c>
      <c r="C11">
        <v>5</v>
      </c>
      <c r="E11">
        <v>1</v>
      </c>
      <c r="G11">
        <v>7</v>
      </c>
      <c r="H11">
        <v>1</v>
      </c>
      <c r="I11">
        <v>12</v>
      </c>
      <c r="J11">
        <v>1</v>
      </c>
      <c r="K11">
        <v>16</v>
      </c>
      <c r="L11">
        <v>2</v>
      </c>
      <c r="M11">
        <v>2</v>
      </c>
      <c r="N11">
        <v>2</v>
      </c>
      <c r="O11">
        <v>3</v>
      </c>
      <c r="P11">
        <v>2</v>
      </c>
      <c r="Q11">
        <v>4</v>
      </c>
      <c r="R11">
        <v>2</v>
      </c>
      <c r="S11">
        <v>2</v>
      </c>
      <c r="U11">
        <v>7</v>
      </c>
      <c r="V11">
        <v>1</v>
      </c>
      <c r="W11">
        <v>20</v>
      </c>
      <c r="Y11">
        <v>9</v>
      </c>
      <c r="Z11">
        <v>21</v>
      </c>
      <c r="AA11">
        <v>1</v>
      </c>
      <c r="AB11">
        <v>121</v>
      </c>
    </row>
    <row r="12" spans="1:28">
      <c r="A12" s="59">
        <v>24152</v>
      </c>
      <c r="C12">
        <v>1</v>
      </c>
      <c r="D12">
        <v>11</v>
      </c>
      <c r="F12">
        <v>12</v>
      </c>
      <c r="G12">
        <v>7</v>
      </c>
      <c r="H12">
        <v>15</v>
      </c>
      <c r="J12">
        <v>3</v>
      </c>
      <c r="K12">
        <v>25</v>
      </c>
      <c r="L12">
        <v>5</v>
      </c>
      <c r="AB12">
        <v>79</v>
      </c>
    </row>
    <row r="13" spans="1:28">
      <c r="A13" s="59">
        <v>24154</v>
      </c>
      <c r="C13">
        <v>59</v>
      </c>
      <c r="D13">
        <v>1</v>
      </c>
      <c r="E13">
        <v>1</v>
      </c>
      <c r="F13">
        <v>2</v>
      </c>
      <c r="G13">
        <v>3</v>
      </c>
      <c r="H13">
        <v>8</v>
      </c>
      <c r="I13">
        <v>1</v>
      </c>
      <c r="K13">
        <v>5</v>
      </c>
      <c r="L13">
        <v>13</v>
      </c>
      <c r="M13">
        <v>44</v>
      </c>
      <c r="N13">
        <v>4</v>
      </c>
      <c r="O13">
        <v>2</v>
      </c>
      <c r="P13">
        <v>6</v>
      </c>
      <c r="Q13">
        <v>4</v>
      </c>
      <c r="R13">
        <v>3</v>
      </c>
      <c r="S13">
        <v>24</v>
      </c>
      <c r="T13">
        <v>85</v>
      </c>
      <c r="U13">
        <v>21</v>
      </c>
      <c r="V13">
        <v>21</v>
      </c>
      <c r="W13">
        <v>27</v>
      </c>
      <c r="X13">
        <v>15</v>
      </c>
      <c r="Y13">
        <v>8</v>
      </c>
      <c r="Z13">
        <v>17</v>
      </c>
      <c r="AA13">
        <v>112</v>
      </c>
      <c r="AB13">
        <v>486</v>
      </c>
    </row>
    <row r="14" spans="1:28">
      <c r="A14" s="59">
        <v>24155</v>
      </c>
      <c r="C14">
        <v>3</v>
      </c>
      <c r="E14">
        <v>1</v>
      </c>
      <c r="F14">
        <v>6</v>
      </c>
      <c r="J14">
        <v>21</v>
      </c>
      <c r="K14">
        <v>24</v>
      </c>
      <c r="L14">
        <v>3</v>
      </c>
      <c r="M14">
        <v>16</v>
      </c>
      <c r="N14">
        <v>8</v>
      </c>
      <c r="P14">
        <v>2</v>
      </c>
      <c r="Q14">
        <v>1</v>
      </c>
      <c r="R14">
        <v>1</v>
      </c>
      <c r="S14">
        <v>1</v>
      </c>
      <c r="U14">
        <v>2</v>
      </c>
      <c r="V14">
        <v>2</v>
      </c>
      <c r="W14">
        <v>18</v>
      </c>
      <c r="X14">
        <v>19</v>
      </c>
      <c r="Y14">
        <v>1</v>
      </c>
      <c r="Z14">
        <v>20</v>
      </c>
      <c r="AA14">
        <v>1</v>
      </c>
      <c r="AB14">
        <v>150</v>
      </c>
    </row>
    <row r="15" spans="1:28">
      <c r="A15" s="59">
        <v>24185</v>
      </c>
      <c r="C15">
        <v>1</v>
      </c>
      <c r="J15">
        <v>1</v>
      </c>
      <c r="K15">
        <v>16</v>
      </c>
      <c r="L15">
        <v>2</v>
      </c>
      <c r="M15">
        <v>2</v>
      </c>
      <c r="O15">
        <v>1</v>
      </c>
      <c r="Q15">
        <v>2</v>
      </c>
      <c r="Y15">
        <v>9</v>
      </c>
      <c r="Z15">
        <v>21</v>
      </c>
      <c r="AB15">
        <v>55</v>
      </c>
    </row>
    <row r="16" spans="1:28">
      <c r="A16" s="59">
        <v>2434</v>
      </c>
      <c r="C16">
        <v>3</v>
      </c>
      <c r="D16">
        <v>1</v>
      </c>
      <c r="H16">
        <v>1</v>
      </c>
      <c r="AB16">
        <v>5</v>
      </c>
    </row>
    <row r="17" spans="1:28">
      <c r="A17" s="59">
        <v>2472</v>
      </c>
      <c r="D17">
        <v>1</v>
      </c>
      <c r="E17">
        <v>17</v>
      </c>
      <c r="F17">
        <v>4</v>
      </c>
      <c r="H17">
        <v>2</v>
      </c>
      <c r="I17">
        <v>3</v>
      </c>
      <c r="J17">
        <v>1</v>
      </c>
      <c r="K17">
        <v>6</v>
      </c>
      <c r="L17">
        <v>7</v>
      </c>
      <c r="M17">
        <v>7</v>
      </c>
      <c r="U17">
        <v>1</v>
      </c>
      <c r="V17">
        <v>1</v>
      </c>
      <c r="W17">
        <v>21</v>
      </c>
      <c r="X17">
        <v>12</v>
      </c>
      <c r="Z17">
        <v>10</v>
      </c>
      <c r="AA17">
        <v>4</v>
      </c>
      <c r="AB17">
        <v>97</v>
      </c>
    </row>
    <row r="18" spans="1:28">
      <c r="A18" s="59" t="s">
        <v>84</v>
      </c>
      <c r="B18">
        <v>0</v>
      </c>
      <c r="C18">
        <v>83</v>
      </c>
      <c r="D18">
        <v>24</v>
      </c>
      <c r="E18">
        <v>45</v>
      </c>
      <c r="F18">
        <v>30</v>
      </c>
      <c r="G18">
        <v>24</v>
      </c>
      <c r="H18">
        <v>30</v>
      </c>
      <c r="I18">
        <v>59</v>
      </c>
      <c r="J18">
        <v>70</v>
      </c>
      <c r="K18">
        <v>98</v>
      </c>
      <c r="L18">
        <v>39</v>
      </c>
      <c r="M18">
        <v>82</v>
      </c>
      <c r="N18">
        <v>37</v>
      </c>
      <c r="O18">
        <v>34</v>
      </c>
      <c r="P18">
        <v>17</v>
      </c>
      <c r="Q18">
        <v>18</v>
      </c>
      <c r="R18">
        <v>9</v>
      </c>
      <c r="S18">
        <v>39</v>
      </c>
      <c r="T18">
        <v>93</v>
      </c>
      <c r="U18">
        <v>47</v>
      </c>
      <c r="V18">
        <v>35</v>
      </c>
      <c r="W18">
        <v>92</v>
      </c>
      <c r="X18">
        <v>49</v>
      </c>
      <c r="Y18">
        <v>28</v>
      </c>
      <c r="Z18">
        <v>94</v>
      </c>
      <c r="AA18">
        <v>125</v>
      </c>
      <c r="AB18">
        <v>1301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Y246"/>
  <sheetViews>
    <sheetView tabSelected="1" zoomScale="96" zoomScaleNormal="96" workbookViewId="0">
      <pane ySplit="4" topLeftCell="A238" activePane="bottomLeft" state="frozen"/>
      <selection activeCell="F35" sqref="F35"/>
      <selection pane="bottomLeft" activeCell="F4" sqref="F4"/>
    </sheetView>
  </sheetViews>
  <sheetFormatPr defaultColWidth="11.625" defaultRowHeight="20.25" customHeight="1"/>
  <cols>
    <col min="1" max="1" width="9.625" style="42" customWidth="1"/>
    <col min="2" max="2" width="9.25" style="42" customWidth="1"/>
    <col min="3" max="3" width="10.875" style="42" bestFit="1" customWidth="1"/>
    <col min="4" max="4" width="12.875" style="42" customWidth="1"/>
    <col min="5" max="5" width="10" style="42" customWidth="1"/>
    <col min="6" max="6" width="9.25" style="42" customWidth="1"/>
    <col min="7" max="7" width="11.125" style="42" bestFit="1" customWidth="1"/>
    <col min="8" max="8" width="12.375" style="42" customWidth="1"/>
    <col min="9" max="9" width="11.75" style="42" customWidth="1"/>
    <col min="10" max="10" width="9.75" style="42" customWidth="1"/>
    <col min="11" max="11" width="22.375" style="42" bestFit="1" customWidth="1"/>
    <col min="12" max="12" width="11.5" style="42" bestFit="1" customWidth="1"/>
    <col min="13" max="13" width="11.5" style="42" customWidth="1"/>
    <col min="14" max="17" width="9.75" style="42" customWidth="1"/>
    <col min="18" max="18" width="14.5" style="42" bestFit="1" customWidth="1"/>
    <col min="19" max="19" width="15.25" style="42" customWidth="1"/>
    <col min="20" max="20" width="17.5" style="42" customWidth="1"/>
    <col min="21" max="21" width="12.375" style="42" customWidth="1"/>
    <col min="22" max="22" width="9.75" style="42" customWidth="1"/>
    <col min="23" max="23" width="16.75" style="41" customWidth="1"/>
    <col min="24" max="24" width="21.25" style="42" bestFit="1" customWidth="1"/>
    <col min="25" max="25" width="17.75" style="42" bestFit="1" customWidth="1"/>
    <col min="26" max="26" width="11.625" style="42"/>
    <col min="27" max="27" width="15.25" style="42" bestFit="1" customWidth="1"/>
    <col min="28" max="16384" width="11.625" style="42"/>
  </cols>
  <sheetData>
    <row r="1" spans="1:25" ht="20.25" customHeight="1">
      <c r="A1" s="37" t="s">
        <v>0</v>
      </c>
      <c r="B1" s="37" t="s">
        <v>0</v>
      </c>
      <c r="C1" s="37" t="s">
        <v>0</v>
      </c>
      <c r="D1" s="37" t="s">
        <v>0</v>
      </c>
      <c r="E1" s="37" t="s">
        <v>0</v>
      </c>
      <c r="F1" s="37" t="s">
        <v>0</v>
      </c>
      <c r="G1" s="37" t="s">
        <v>0</v>
      </c>
      <c r="H1" s="37" t="s">
        <v>0</v>
      </c>
      <c r="I1" s="37" t="s">
        <v>0</v>
      </c>
      <c r="J1" s="37" t="s">
        <v>0</v>
      </c>
      <c r="L1" s="39"/>
      <c r="M1" s="46">
        <v>46266</v>
      </c>
      <c r="N1" s="47" t="s">
        <v>1</v>
      </c>
      <c r="O1" s="47" t="s">
        <v>2</v>
      </c>
      <c r="P1" s="47" t="s">
        <v>3</v>
      </c>
      <c r="Q1" s="47" t="s">
        <v>4</v>
      </c>
      <c r="R1" s="47" t="s">
        <v>22</v>
      </c>
      <c r="S1" s="39"/>
      <c r="T1" s="48" t="s">
        <v>5</v>
      </c>
      <c r="U1" s="40"/>
      <c r="V1" s="40"/>
    </row>
    <row r="2" spans="1:25" ht="20.25" customHeight="1">
      <c r="L2" s="39"/>
      <c r="M2" s="47" t="s">
        <v>6</v>
      </c>
      <c r="N2" s="49">
        <f>SUBTOTAL(9,Table25[1st])</f>
        <v>410</v>
      </c>
      <c r="O2" s="49">
        <f>SUBTOTAL(9,Table25[2nd])</f>
        <v>168</v>
      </c>
      <c r="P2" s="49">
        <f>SUBTOTAL(9,Table25[3rd])</f>
        <v>126</v>
      </c>
      <c r="Q2" s="49">
        <f>SUBTOTAL(9,Table25[FQC])</f>
        <v>0</v>
      </c>
      <c r="R2" s="49">
        <f>N2+O2+P2+Q2</f>
        <v>704</v>
      </c>
      <c r="S2" s="38"/>
      <c r="T2" s="49">
        <f>SUBTOTAL(9,Table25[[Total cost ]])</f>
        <v>101966.71247265916</v>
      </c>
      <c r="U2" s="43"/>
      <c r="V2" s="43"/>
    </row>
    <row r="3" spans="1:25" ht="20.25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4"/>
      <c r="N3" s="71" t="s">
        <v>82</v>
      </c>
      <c r="O3" s="72"/>
      <c r="P3" s="72"/>
      <c r="Q3" s="72"/>
      <c r="R3" s="73"/>
      <c r="S3" s="40"/>
      <c r="T3" s="39"/>
      <c r="U3" s="39"/>
      <c r="V3" s="39"/>
    </row>
    <row r="4" spans="1:25" ht="20.25" customHeight="1">
      <c r="A4" s="51" t="s">
        <v>31</v>
      </c>
      <c r="B4" s="52" t="s">
        <v>13</v>
      </c>
      <c r="C4" s="52" t="s">
        <v>10</v>
      </c>
      <c r="D4" s="52" t="s">
        <v>11</v>
      </c>
      <c r="E4" s="52" t="s">
        <v>12</v>
      </c>
      <c r="F4" s="52" t="s">
        <v>79</v>
      </c>
      <c r="G4" s="52" t="s">
        <v>14</v>
      </c>
      <c r="H4" s="52" t="s">
        <v>15</v>
      </c>
      <c r="I4" s="52" t="s">
        <v>30</v>
      </c>
      <c r="J4" s="52" t="s">
        <v>80</v>
      </c>
      <c r="K4" s="53" t="s">
        <v>17</v>
      </c>
      <c r="L4" s="53" t="s">
        <v>18</v>
      </c>
      <c r="M4" s="54" t="s">
        <v>78</v>
      </c>
      <c r="N4" s="54" t="s">
        <v>19</v>
      </c>
      <c r="O4" s="54" t="s">
        <v>20</v>
      </c>
      <c r="P4" s="54" t="s">
        <v>21</v>
      </c>
      <c r="Q4" s="54" t="s">
        <v>4</v>
      </c>
      <c r="R4" s="54" t="s">
        <v>22</v>
      </c>
      <c r="S4" s="54" t="s">
        <v>23</v>
      </c>
      <c r="T4" s="54" t="s">
        <v>24</v>
      </c>
      <c r="U4" s="54" t="s">
        <v>25</v>
      </c>
      <c r="V4" s="54" t="s">
        <v>81</v>
      </c>
      <c r="W4" s="54" t="s">
        <v>27</v>
      </c>
      <c r="X4" s="54" t="s">
        <v>32</v>
      </c>
      <c r="Y4" s="55" t="s">
        <v>33</v>
      </c>
    </row>
    <row r="5" spans="1:25" ht="20.25" customHeight="1">
      <c r="A5" s="50">
        <v>1</v>
      </c>
      <c r="B5" s="36"/>
      <c r="C5" s="45" t="s">
        <v>116</v>
      </c>
      <c r="D5" s="45" t="s">
        <v>117</v>
      </c>
      <c r="E5" s="45" t="str">
        <f>IFERROR(VLOOKUP(Table25[[#This Row],[M/c Name]],'[2]New Machine sheet'!$C$1:$D$101,2,0),0)</f>
        <v>Turning</v>
      </c>
      <c r="F5" s="45">
        <v>127</v>
      </c>
      <c r="G5" s="45">
        <f>IFERROR(VLOOKUP(Table25[[#This Row],[Code2]],'[2]New Machine sheet'!$F$2:$I$64,2,),0)</f>
        <v>24127</v>
      </c>
      <c r="H5" s="45" t="str">
        <f>IFERROR(VLOOKUP(Table25[[#This Row],[Code2]],'[2]New Machine sheet'!$F$2:$I$64,3,0),0)</f>
        <v>RE J1</v>
      </c>
      <c r="I5" s="45" t="s">
        <v>120</v>
      </c>
      <c r="J5" s="45">
        <v>10</v>
      </c>
      <c r="K5" s="45" t="str">
        <f>IFERROR(VLOOKUP(Table25[[#This Row],[Code3]],'[2]New defect code '!$A$2:$D$129,2,0),0)</f>
        <v xml:space="preserve">Bore u/s </v>
      </c>
      <c r="L5" s="45" t="s">
        <v>114</v>
      </c>
      <c r="M5" s="56">
        <v>46266</v>
      </c>
      <c r="N5" s="45">
        <v>2</v>
      </c>
      <c r="O5" s="45"/>
      <c r="P5" s="45"/>
      <c r="Q5" s="45"/>
      <c r="R5" s="45">
        <f>SUBTOTAL(9,Table25[[#This Row],[1st]:[FQC]])</f>
        <v>2</v>
      </c>
      <c r="S5" s="45">
        <f>IFERROR(VLOOKUP(Table25[[#This Row],[Part No.]],'[2]New Machine sheet'!$G$2:$I$90,3,0),0)</f>
        <v>262.81200000000001</v>
      </c>
      <c r="T5" s="45">
        <f>Table25[[#This Row],[cost per piece]]*Table25[[#This Row],[Total Rej. qty]]</f>
        <v>525.62400000000002</v>
      </c>
      <c r="U5" s="45">
        <f>IFERROR(VLOOKUP(Table25[[#This Row],[Non Conformance]],'[2]New defect code '!$B$2:$C$129,2,0),0)</f>
        <v>0</v>
      </c>
      <c r="V5" s="45">
        <v>47</v>
      </c>
      <c r="W5" s="45" t="str">
        <f>IFERROR(VLOOKUP(Table25[[#This Row],[Code4]],'[2]New Reason code'!$A$2:$D$77,2,0),0)</f>
        <v>Running m/c stop</v>
      </c>
      <c r="X5" s="45">
        <f ca="1">#REF!+Table25[[#This Row],[Rejection Identified at]]</f>
        <v>0</v>
      </c>
      <c r="Y5" s="45">
        <f>IFERROR(VLOOKUP(Table25[[#This Row],[Reason]],Coding!A2:C59,3,0),0)</f>
        <v>0</v>
      </c>
    </row>
    <row r="6" spans="1:25" ht="20.25" customHeight="1">
      <c r="A6" s="60">
        <v>2</v>
      </c>
      <c r="B6" s="61"/>
      <c r="C6" s="45" t="s">
        <v>116</v>
      </c>
      <c r="D6" s="45" t="s">
        <v>117</v>
      </c>
      <c r="E6" s="61" t="str">
        <f>IFERROR(VLOOKUP(Table25[[#This Row],[M/c Name]],'[2]New Machine sheet'!$C$1:$D$101,2,0),0)</f>
        <v>Turning</v>
      </c>
      <c r="F6" s="61">
        <v>127</v>
      </c>
      <c r="G6" s="61">
        <f>IFERROR(VLOOKUP(Table25[[#This Row],[Code2]],'[2]New Machine sheet'!$F$2:$I$64,2,),0)</f>
        <v>24127</v>
      </c>
      <c r="H6" s="61" t="str">
        <f>IFERROR(VLOOKUP(Table25[[#This Row],[Code2]],'[2]New Machine sheet'!$F$2:$I$64,3,0),0)</f>
        <v>RE J1</v>
      </c>
      <c r="I6" s="61" t="s">
        <v>120</v>
      </c>
      <c r="J6" s="61">
        <v>45</v>
      </c>
      <c r="K6" s="61" t="str">
        <f>IFERROR(VLOOKUP(Table25[[#This Row],[Code3]],'[2]New defect code '!$A$2:$D$129,2,0),0)</f>
        <v>Face step part</v>
      </c>
      <c r="L6" s="45" t="s">
        <v>114</v>
      </c>
      <c r="M6" s="56">
        <v>46266</v>
      </c>
      <c r="N6" s="61">
        <v>1</v>
      </c>
      <c r="O6" s="61"/>
      <c r="P6" s="61"/>
      <c r="Q6" s="61"/>
      <c r="R6" s="61">
        <f>SUBTOTAL(9,Table25[[#This Row],[1st]:[FQC]])</f>
        <v>1</v>
      </c>
      <c r="S6" s="61">
        <f>IFERROR(VLOOKUP(Table25[[#This Row],[Part No.]],'[2]New Machine sheet'!$G$2:$I$90,3,0),0)</f>
        <v>262.81200000000001</v>
      </c>
      <c r="T6" s="61">
        <f>Table25[[#This Row],[cost per piece]]*Table25[[#This Row],[Total Rej. qty]]</f>
        <v>262.81200000000001</v>
      </c>
      <c r="U6" s="61">
        <f>IFERROR(VLOOKUP(Table25[[#This Row],[Non Conformance]],'[2]New defect code '!$B$2:$C$129,2,0),0)</f>
        <v>0</v>
      </c>
      <c r="V6" s="61">
        <v>47</v>
      </c>
      <c r="W6" s="61" t="str">
        <f>IFERROR(VLOOKUP(Table25[[#This Row],[Code4]],'[2]New Reason code'!$A$2:$D$77,2,0),0)</f>
        <v>Running m/c stop</v>
      </c>
      <c r="X6" s="61">
        <f ca="1">#REF!+Table25[[#This Row],[Rejection Identified at]]</f>
        <v>0</v>
      </c>
      <c r="Y6" s="63">
        <f>IFERROR(VLOOKUP(Table25[[#This Row],[Reason]],Coding!A3:C60,3,0),0)</f>
        <v>0</v>
      </c>
    </row>
    <row r="7" spans="1:25" ht="20.25" customHeight="1">
      <c r="A7" s="50">
        <v>3</v>
      </c>
      <c r="B7" s="61">
        <v>23</v>
      </c>
      <c r="C7" s="61" t="str">
        <f>IFERROR(VLOOKUP(Table25[[#This Row],[Code]],'[2]New Machine sheet'!$A$1:$D$101,2,0),0)</f>
        <v>ACE-03</v>
      </c>
      <c r="D7" s="61" t="str">
        <f>IFERROR(VLOOKUP(Table25[[#This Row],[M/c No]],'[2]New Machine sheet'!$B$1:$D$101,2,0),0)</f>
        <v>Micromatic</v>
      </c>
      <c r="E7" s="61" t="str">
        <f>IFERROR(VLOOKUP(Table25[[#This Row],[M/c Name]],'[2]New Machine sheet'!$C$1:$D$101,2,0),0)</f>
        <v>Turning</v>
      </c>
      <c r="F7" s="61">
        <v>178</v>
      </c>
      <c r="G7" s="61">
        <f>IFERROR(VLOOKUP(Table25[[#This Row],[Code2]],'[2]New Machine sheet'!$F$2:$I$64,2,),0)</f>
        <v>24178</v>
      </c>
      <c r="H7" s="61" t="str">
        <f>IFERROR(VLOOKUP(Table25[[#This Row],[Code2]],'[2]New Machine sheet'!$F$2:$I$64,3,0),0)</f>
        <v>RE J1</v>
      </c>
      <c r="I7" s="61" t="s">
        <v>131</v>
      </c>
      <c r="J7" s="61">
        <v>71</v>
      </c>
      <c r="K7" s="61" t="str">
        <f>IFERROR(VLOOKUP(Table25[[#This Row],[Code3]],'[2]New defect code '!$A$2:$D$129,2,0),0)</f>
        <v>PG go not qualify</v>
      </c>
      <c r="L7" s="45" t="s">
        <v>114</v>
      </c>
      <c r="M7" s="56">
        <v>46266</v>
      </c>
      <c r="N7" s="61">
        <v>11</v>
      </c>
      <c r="O7" s="61"/>
      <c r="P7" s="61"/>
      <c r="Q7" s="61"/>
      <c r="R7" s="61">
        <f>SUBTOTAL(9,Table25[[#This Row],[1st]:[FQC]])</f>
        <v>11</v>
      </c>
      <c r="S7" s="61">
        <f>IFERROR(VLOOKUP(Table25[[#This Row],[Part No.]],'[2]New Machine sheet'!$G$2:$I$90,3,0),0)</f>
        <v>70.62</v>
      </c>
      <c r="T7" s="61">
        <f>Table25[[#This Row],[cost per piece]]*Table25[[#This Row],[Total Rej. qty]]</f>
        <v>776.82</v>
      </c>
      <c r="U7" s="61">
        <f>IFERROR(VLOOKUP(Table25[[#This Row],[Non Conformance]],'[2]New defect code '!$B$2:$C$129,2,0),0)</f>
        <v>0</v>
      </c>
      <c r="V7" s="61">
        <v>42</v>
      </c>
      <c r="W7" s="61" t="str">
        <f>IFERROR(VLOOKUP(Table25[[#This Row],[Code4]],'[2]New Reason code'!$A$2:$D$77,2,0),0)</f>
        <v>part not checked by operator</v>
      </c>
      <c r="X7" s="61">
        <f ca="1">#REF!+Table25[[#This Row],[Rejection Identified at]]</f>
        <v>0</v>
      </c>
      <c r="Y7" s="63" t="str">
        <f>IFERROR(VLOOKUP(Table25[[#This Row],[Reason]],Coding!A4:C61,3,0),0)</f>
        <v>Process Issue</v>
      </c>
    </row>
    <row r="8" spans="1:25" ht="20.25" customHeight="1">
      <c r="A8" s="60">
        <v>4</v>
      </c>
      <c r="B8" s="61">
        <v>17</v>
      </c>
      <c r="C8" s="61" t="str">
        <f>IFERROR(VLOOKUP(Table25[[#This Row],[Code]],'[2]New Machine sheet'!$A$1:$D$101,2,0),0)</f>
        <v>282-17</v>
      </c>
      <c r="D8" s="61" t="str">
        <f>IFERROR(VLOOKUP(Table25[[#This Row],[M/c No]],'[2]New Machine sheet'!$B$1:$D$101,2,0),0)</f>
        <v>Mazak</v>
      </c>
      <c r="E8" s="61" t="str">
        <f>IFERROR(VLOOKUP(Table25[[#This Row],[M/c Name]],'[2]New Machine sheet'!$C$1:$D$101,2,0),0)</f>
        <v>Turning</v>
      </c>
      <c r="F8" s="61">
        <v>113</v>
      </c>
      <c r="G8" s="61">
        <f>IFERROR(VLOOKUP(Table25[[#This Row],[Code2]],'[2]New Machine sheet'!$F$2:$I$64,2,),0)</f>
        <v>24113</v>
      </c>
      <c r="H8" s="61" t="str">
        <f>IFERROR(VLOOKUP(Table25[[#This Row],[Code2]],'[2]New Machine sheet'!$F$2:$I$64,3,0),0)</f>
        <v>RE J1</v>
      </c>
      <c r="I8" s="61"/>
      <c r="J8" s="61">
        <v>70</v>
      </c>
      <c r="K8" s="61" t="str">
        <f>IFERROR(VLOOKUP(Table25[[#This Row],[Code3]],'[2]New defect code '!$A$2:$D$129,2,0),0)</f>
        <v>PCD R/O More</v>
      </c>
      <c r="L8" s="45" t="s">
        <v>114</v>
      </c>
      <c r="M8" s="56">
        <v>46266</v>
      </c>
      <c r="N8" s="61">
        <v>60</v>
      </c>
      <c r="O8" s="61"/>
      <c r="P8" s="61"/>
      <c r="Q8" s="61"/>
      <c r="R8" s="61">
        <f>SUBTOTAL(9,Table25[[#This Row],[1st]:[FQC]])</f>
        <v>60</v>
      </c>
      <c r="S8" s="61">
        <f>IFERROR(VLOOKUP(Table25[[#This Row],[Part No.]],'[2]New Machine sheet'!$G$2:$I$90,3,0),0)</f>
        <v>90</v>
      </c>
      <c r="T8" s="61">
        <f>Table25[[#This Row],[cost per piece]]*Table25[[#This Row],[Total Rej. qty]]</f>
        <v>5400</v>
      </c>
      <c r="U8" s="61">
        <f>IFERROR(VLOOKUP(Table25[[#This Row],[Non Conformance]],'[2]New defect code '!$B$2:$C$129,2,0),0)</f>
        <v>3203</v>
      </c>
      <c r="V8" s="61">
        <v>45</v>
      </c>
      <c r="W8" s="61" t="str">
        <f>IFERROR(VLOOKUP(Table25[[#This Row],[Code4]],'[2]New Reason code'!$A$2:$D$77,2,0),0)</f>
        <v>Running m/c</v>
      </c>
      <c r="X8" s="61">
        <f ca="1">#REF!+Table25[[#This Row],[Rejection Identified at]]</f>
        <v>0</v>
      </c>
      <c r="Y8" s="63" t="str">
        <f>IFERROR(VLOOKUP(Table25[[#This Row],[Reason]],Coding!A5:C62,3,0),0)</f>
        <v>Process Issue</v>
      </c>
    </row>
    <row r="9" spans="1:25" ht="20.25" customHeight="1">
      <c r="A9" s="50">
        <v>5</v>
      </c>
      <c r="B9" s="61">
        <v>22</v>
      </c>
      <c r="C9" s="61" t="str">
        <f>IFERROR(VLOOKUP(Table25[[#This Row],[Code]],'[2]New Machine sheet'!$A$1:$D$101,2,0),0)</f>
        <v>ACE-02</v>
      </c>
      <c r="D9" s="61" t="str">
        <f>IFERROR(VLOOKUP(Table25[[#This Row],[M/c No]],'[2]New Machine sheet'!$B$1:$D$101,2,0),0)</f>
        <v>Micromatic</v>
      </c>
      <c r="E9" s="61" t="str">
        <f>IFERROR(VLOOKUP(Table25[[#This Row],[M/c Name]],'[2]New Machine sheet'!$C$1:$D$101,2,0),0)</f>
        <v>Turning</v>
      </c>
      <c r="F9" s="61">
        <v>115</v>
      </c>
      <c r="G9" s="61">
        <f>IFERROR(VLOOKUP(Table25[[#This Row],[Code2]],'[2]New Machine sheet'!$F$2:$I$64,2,),0)</f>
        <v>24115</v>
      </c>
      <c r="H9" s="61" t="str">
        <f>IFERROR(VLOOKUP(Table25[[#This Row],[Code2]],'[2]New Machine sheet'!$F$2:$I$64,3,0),0)</f>
        <v>RE J1</v>
      </c>
      <c r="I9" s="61" t="s">
        <v>128</v>
      </c>
      <c r="J9" s="61">
        <v>41</v>
      </c>
      <c r="K9" s="61" t="str">
        <f>IFERROR(VLOOKUP(Table25[[#This Row],[Code3]],'[2]New defect code '!$A$2:$D$129,2,0),0)</f>
        <v>Face Less metal</v>
      </c>
      <c r="L9" s="45" t="s">
        <v>114</v>
      </c>
      <c r="M9" s="56">
        <v>46266</v>
      </c>
      <c r="N9" s="61">
        <v>22</v>
      </c>
      <c r="O9" s="61"/>
      <c r="P9" s="61"/>
      <c r="Q9" s="61"/>
      <c r="R9" s="61">
        <f>SUBTOTAL(9,Table25[[#This Row],[1st]:[FQC]])</f>
        <v>22</v>
      </c>
      <c r="S9" s="61">
        <f>IFERROR(VLOOKUP(Table25[[#This Row],[Part No.]],'[2]New Machine sheet'!$G$2:$I$90,3,0),0)</f>
        <v>66.900000000000006</v>
      </c>
      <c r="T9" s="61">
        <f>Table25[[#This Row],[cost per piece]]*Table25[[#This Row],[Total Rej. qty]]</f>
        <v>1471.8000000000002</v>
      </c>
      <c r="U9" s="61">
        <f>IFERROR(VLOOKUP(Table25[[#This Row],[Non Conformance]],'[2]New defect code '!$B$2:$C$129,2,0),0)</f>
        <v>3259</v>
      </c>
      <c r="V9" s="61">
        <v>17</v>
      </c>
      <c r="W9" s="61" t="str">
        <f>IFERROR(VLOOKUP(Table25[[#This Row],[Code4]],'[2]New Reason code'!$A$2:$D$77,2,0),0)</f>
        <v>during insert broken</v>
      </c>
      <c r="X9" s="61">
        <f ca="1">#REF!+Table25[[#This Row],[Rejection Identified at]]</f>
        <v>0</v>
      </c>
      <c r="Y9" s="63" t="str">
        <f>IFERROR(VLOOKUP(Table25[[#This Row],[Reason]],Coding!A6:C63,3,0),0)</f>
        <v>Process Issue</v>
      </c>
    </row>
    <row r="10" spans="1:25" ht="20.25" customHeight="1">
      <c r="A10" s="60">
        <v>6</v>
      </c>
      <c r="B10" s="61">
        <v>22</v>
      </c>
      <c r="C10" s="61" t="str">
        <f>IFERROR(VLOOKUP(Table25[[#This Row],[Code]],'[2]New Machine sheet'!$A$1:$D$101,2,0),0)</f>
        <v>ACE-02</v>
      </c>
      <c r="D10" s="61" t="str">
        <f>IFERROR(VLOOKUP(Table25[[#This Row],[M/c No]],'[2]New Machine sheet'!$B$1:$D$101,2,0),0)</f>
        <v>Micromatic</v>
      </c>
      <c r="E10" s="61" t="str">
        <f>IFERROR(VLOOKUP(Table25[[#This Row],[M/c Name]],'[2]New Machine sheet'!$C$1:$D$101,2,0),0)</f>
        <v>Turning</v>
      </c>
      <c r="F10" s="61">
        <v>119</v>
      </c>
      <c r="G10" s="61">
        <f>IFERROR(VLOOKUP(Table25[[#This Row],[Code2]],'[2]New Machine sheet'!$F$2:$I$64,2,),0)</f>
        <v>24119</v>
      </c>
      <c r="H10" s="61" t="str">
        <f>IFERROR(VLOOKUP(Table25[[#This Row],[Code2]],'[2]New Machine sheet'!$F$2:$I$64,3,0),0)</f>
        <v>RE J1</v>
      </c>
      <c r="I10" s="61" t="s">
        <v>128</v>
      </c>
      <c r="J10" s="61">
        <v>10</v>
      </c>
      <c r="K10" s="61" t="str">
        <f>IFERROR(VLOOKUP(Table25[[#This Row],[Code3]],'[2]New defect code '!$A$2:$D$129,2,0),0)</f>
        <v xml:space="preserve">Bore u/s </v>
      </c>
      <c r="L10" s="45" t="s">
        <v>114</v>
      </c>
      <c r="M10" s="56">
        <v>46266</v>
      </c>
      <c r="N10" s="61">
        <v>3</v>
      </c>
      <c r="O10" s="61"/>
      <c r="P10" s="61"/>
      <c r="Q10" s="61"/>
      <c r="R10" s="61">
        <f>SUBTOTAL(9,Table25[[#This Row],[1st]:[FQC]])</f>
        <v>3</v>
      </c>
      <c r="S10" s="61">
        <f>IFERROR(VLOOKUP(Table25[[#This Row],[Part No.]],'[2]New Machine sheet'!$G$2:$I$90,3,0),0)</f>
        <v>103.2</v>
      </c>
      <c r="T10" s="61">
        <f>Table25[[#This Row],[cost per piece]]*Table25[[#This Row],[Total Rej. qty]]</f>
        <v>309.60000000000002</v>
      </c>
      <c r="U10" s="61">
        <f>IFERROR(VLOOKUP(Table25[[#This Row],[Non Conformance]],'[2]New defect code '!$B$2:$C$129,2,0),0)</f>
        <v>0</v>
      </c>
      <c r="V10" s="61">
        <v>42</v>
      </c>
      <c r="W10" s="61" t="str">
        <f>IFERROR(VLOOKUP(Table25[[#This Row],[Code4]],'[2]New Reason code'!$A$2:$D$77,2,0),0)</f>
        <v>part not checked by operator</v>
      </c>
      <c r="X10" s="61">
        <f ca="1">#REF!+Table25[[#This Row],[Rejection Identified at]]</f>
        <v>0</v>
      </c>
      <c r="Y10" s="63" t="str">
        <f>IFERROR(VLOOKUP(Table25[[#This Row],[Reason]],Coding!A7:C64,3,0),0)</f>
        <v>Process Issue</v>
      </c>
    </row>
    <row r="11" spans="1:25" ht="20.25" customHeight="1">
      <c r="A11" s="50">
        <v>7</v>
      </c>
      <c r="B11" s="61">
        <v>21</v>
      </c>
      <c r="C11" s="61" t="str">
        <f>IFERROR(VLOOKUP(Table25[[#This Row],[Code]],'[2]New Machine sheet'!$A$1:$D$101,2,0),0)</f>
        <v>ACE-01</v>
      </c>
      <c r="D11" s="61" t="str">
        <f>IFERROR(VLOOKUP(Table25[[#This Row],[M/c No]],'[2]New Machine sheet'!$B$1:$D$101,2,0),0)</f>
        <v>Micromatic</v>
      </c>
      <c r="E11" s="61" t="str">
        <f>IFERROR(VLOOKUP(Table25[[#This Row],[M/c Name]],'[2]New Machine sheet'!$C$1:$D$101,2,0),0)</f>
        <v>Turning</v>
      </c>
      <c r="F11" s="61">
        <v>121</v>
      </c>
      <c r="G11" s="61">
        <f>IFERROR(VLOOKUP(Table25[[#This Row],[Code2]],'[2]New Machine sheet'!$F$2:$I$64,2,),0)</f>
        <v>24121</v>
      </c>
      <c r="H11" s="61" t="str">
        <f>IFERROR(VLOOKUP(Table25[[#This Row],[Code2]],'[2]New Machine sheet'!$F$2:$I$64,3,0),0)</f>
        <v>RE J1</v>
      </c>
      <c r="I11" s="61" t="s">
        <v>144</v>
      </c>
      <c r="J11" s="61">
        <v>10</v>
      </c>
      <c r="K11" s="61" t="str">
        <f>IFERROR(VLOOKUP(Table25[[#This Row],[Code3]],'[2]New defect code '!$A$2:$D$129,2,0),0)</f>
        <v xml:space="preserve">Bore u/s </v>
      </c>
      <c r="L11" s="45" t="s">
        <v>114</v>
      </c>
      <c r="M11" s="56">
        <v>46266</v>
      </c>
      <c r="N11" s="61">
        <v>2</v>
      </c>
      <c r="O11" s="61"/>
      <c r="P11" s="61"/>
      <c r="Q11" s="61"/>
      <c r="R11" s="61">
        <f>SUBTOTAL(9,Table25[[#This Row],[1st]:[FQC]])</f>
        <v>2</v>
      </c>
      <c r="S11" s="61">
        <f>IFERROR(VLOOKUP(Table25[[#This Row],[Part No.]],'[2]New Machine sheet'!$G$2:$I$90,3,0),0)</f>
        <v>135.66999999999999</v>
      </c>
      <c r="T11" s="61">
        <f>Table25[[#This Row],[cost per piece]]*Table25[[#This Row],[Total Rej. qty]]</f>
        <v>271.33999999999997</v>
      </c>
      <c r="U11" s="61">
        <f>IFERROR(VLOOKUP(Table25[[#This Row],[Non Conformance]],'[2]New defect code '!$B$2:$C$129,2,0),0)</f>
        <v>0</v>
      </c>
      <c r="V11" s="61">
        <v>64</v>
      </c>
      <c r="W11" s="61" t="str">
        <f>IFERROR(VLOOKUP(Table25[[#This Row],[Code4]],'[2]New Reason code'!$A$2:$D$77,2,0),0)</f>
        <v>Wrong correction</v>
      </c>
      <c r="X11" s="61">
        <f ca="1">#REF!+Table25[[#This Row],[Rejection Identified at]]</f>
        <v>0</v>
      </c>
      <c r="Y11" s="63" t="str">
        <f>IFERROR(VLOOKUP(Table25[[#This Row],[Reason]],Coding!A8:C65,3,0),0)</f>
        <v>Process Issue</v>
      </c>
    </row>
    <row r="12" spans="1:25" ht="20.25" customHeight="1">
      <c r="A12" s="60">
        <v>8</v>
      </c>
      <c r="B12" s="61">
        <v>11</v>
      </c>
      <c r="C12" s="61" t="str">
        <f>IFERROR(VLOOKUP(Table25[[#This Row],[Code]],'[2]New Machine sheet'!$A$1:$D$101,2,0),0)</f>
        <v>282-11</v>
      </c>
      <c r="D12" s="61" t="str">
        <f>IFERROR(VLOOKUP(Table25[[#This Row],[M/c No]],'[2]New Machine sheet'!$B$1:$D$101,2,0),0)</f>
        <v>Mazak</v>
      </c>
      <c r="E12" s="61" t="str">
        <f>IFERROR(VLOOKUP(Table25[[#This Row],[M/c Name]],'[2]New Machine sheet'!$C$1:$D$101,2,0),0)</f>
        <v>Turning</v>
      </c>
      <c r="F12" s="61">
        <v>121</v>
      </c>
      <c r="G12" s="61">
        <f>IFERROR(VLOOKUP(Table25[[#This Row],[Code2]],'[2]New Machine sheet'!$F$2:$I$64,2,),0)</f>
        <v>24121</v>
      </c>
      <c r="H12" s="61" t="str">
        <f>IFERROR(VLOOKUP(Table25[[#This Row],[Code2]],'[2]New Machine sheet'!$F$2:$I$64,3,0),0)</f>
        <v>RE J1</v>
      </c>
      <c r="I12" s="61" t="s">
        <v>145</v>
      </c>
      <c r="J12" s="61">
        <v>49</v>
      </c>
      <c r="K12" s="61" t="str">
        <f>IFERROR(VLOOKUP(Table25[[#This Row],[Code3]],'[2]New defect code '!$A$2:$D$129,2,0),0)</f>
        <v>Thickness over size</v>
      </c>
      <c r="L12" s="45" t="s">
        <v>114</v>
      </c>
      <c r="M12" s="56">
        <v>46266</v>
      </c>
      <c r="N12" s="61">
        <v>1</v>
      </c>
      <c r="O12" s="61"/>
      <c r="P12" s="61"/>
      <c r="Q12" s="61"/>
      <c r="R12" s="61">
        <f>SUBTOTAL(9,Table25[[#This Row],[1st]:[FQC]])</f>
        <v>1</v>
      </c>
      <c r="S12" s="61">
        <f>IFERROR(VLOOKUP(Table25[[#This Row],[Part No.]],'[2]New Machine sheet'!$G$2:$I$90,3,0),0)</f>
        <v>135.66999999999999</v>
      </c>
      <c r="T12" s="61">
        <f>Table25[[#This Row],[cost per piece]]*Table25[[#This Row],[Total Rej. qty]]</f>
        <v>135.66999999999999</v>
      </c>
      <c r="U12" s="61">
        <f>IFERROR(VLOOKUP(Table25[[#This Row],[Non Conformance]],'[2]New defect code '!$B$2:$C$129,2,0),0)</f>
        <v>0</v>
      </c>
      <c r="V12" s="61">
        <v>64</v>
      </c>
      <c r="W12" s="61" t="str">
        <f>IFERROR(VLOOKUP(Table25[[#This Row],[Code4]],'[2]New Reason code'!$A$2:$D$77,2,0),0)</f>
        <v>Wrong correction</v>
      </c>
      <c r="X12" s="61">
        <f ca="1">#REF!+Table25[[#This Row],[Rejection Identified at]]</f>
        <v>0</v>
      </c>
      <c r="Y12" s="63" t="str">
        <f>IFERROR(VLOOKUP(Table25[[#This Row],[Reason]],Coding!A9:C66,3,0),0)</f>
        <v>Process Issue</v>
      </c>
    </row>
    <row r="13" spans="1:25" ht="20.25" customHeight="1">
      <c r="A13" s="50">
        <v>9</v>
      </c>
      <c r="B13" s="61">
        <v>5</v>
      </c>
      <c r="C13" s="61" t="str">
        <f>IFERROR(VLOOKUP(Table25[[#This Row],[Code]],'[2]New Machine sheet'!$A$1:$D$101,2,0),0)</f>
        <v>282-05</v>
      </c>
      <c r="D13" s="61" t="str">
        <f>IFERROR(VLOOKUP(Table25[[#This Row],[M/c No]],'[2]New Machine sheet'!$B$1:$D$101,2,0),0)</f>
        <v>Mazak</v>
      </c>
      <c r="E13" s="61" t="str">
        <f>IFERROR(VLOOKUP(Table25[[#This Row],[M/c Name]],'[2]New Machine sheet'!$C$1:$D$101,2,0),0)</f>
        <v>Turning</v>
      </c>
      <c r="F13" s="61">
        <v>119</v>
      </c>
      <c r="G13" s="61">
        <f>IFERROR(VLOOKUP(Table25[[#This Row],[Code2]],'[2]New Machine sheet'!$F$2:$I$64,2,),0)</f>
        <v>24119</v>
      </c>
      <c r="H13" s="61" t="str">
        <f>IFERROR(VLOOKUP(Table25[[#This Row],[Code2]],'[2]New Machine sheet'!$F$2:$I$64,3,0),0)</f>
        <v>RE J1</v>
      </c>
      <c r="I13" s="61" t="s">
        <v>119</v>
      </c>
      <c r="J13" s="61">
        <v>10</v>
      </c>
      <c r="K13" s="61" t="str">
        <f>IFERROR(VLOOKUP(Table25[[#This Row],[Code3]],'[2]New defect code '!$A$2:$D$129,2,0),0)</f>
        <v xml:space="preserve">Bore u/s </v>
      </c>
      <c r="L13" s="45" t="s">
        <v>114</v>
      </c>
      <c r="M13" s="56">
        <v>46266</v>
      </c>
      <c r="N13" s="61">
        <v>1</v>
      </c>
      <c r="O13" s="61"/>
      <c r="P13" s="61"/>
      <c r="Q13" s="61"/>
      <c r="R13" s="61">
        <f>SUBTOTAL(9,Table25[[#This Row],[1st]:[FQC]])</f>
        <v>1</v>
      </c>
      <c r="S13" s="61">
        <f>IFERROR(VLOOKUP(Table25[[#This Row],[Part No.]],'[2]New Machine sheet'!$G$2:$I$90,3,0),0)</f>
        <v>103.2</v>
      </c>
      <c r="T13" s="61">
        <f>Table25[[#This Row],[cost per piece]]*Table25[[#This Row],[Total Rej. qty]]</f>
        <v>103.2</v>
      </c>
      <c r="U13" s="61">
        <f>IFERROR(VLOOKUP(Table25[[#This Row],[Non Conformance]],'[2]New defect code '!$B$2:$C$129,2,0),0)</f>
        <v>0</v>
      </c>
      <c r="V13" s="61">
        <v>42</v>
      </c>
      <c r="W13" s="61" t="str">
        <f>IFERROR(VLOOKUP(Table25[[#This Row],[Code4]],'[2]New Reason code'!$A$2:$D$77,2,0),0)</f>
        <v>part not checked by operator</v>
      </c>
      <c r="X13" s="61">
        <f ca="1">#REF!+Table25[[#This Row],[Rejection Identified at]]</f>
        <v>0</v>
      </c>
      <c r="Y13" s="63" t="str">
        <f>IFERROR(VLOOKUP(Table25[[#This Row],[Reason]],Coding!A10:C67,3,0),0)</f>
        <v>Process Issue</v>
      </c>
    </row>
    <row r="14" spans="1:25" ht="20.25" customHeight="1">
      <c r="A14" s="60">
        <v>10</v>
      </c>
      <c r="B14" s="61">
        <v>47</v>
      </c>
      <c r="C14" s="61" t="str">
        <f>IFERROR(VLOOKUP(Table25[[#This Row],[Code]],'[2]New Machine sheet'!$A$1:$D$101,2,0),0)</f>
        <v>MURATEC-03</v>
      </c>
      <c r="D14" s="61" t="str">
        <f>IFERROR(VLOOKUP(Table25[[#This Row],[M/c No]],'[2]New Machine sheet'!$B$1:$D$101,2,0),0)</f>
        <v>MURATEC</v>
      </c>
      <c r="E14" s="61" t="str">
        <f>IFERROR(VLOOKUP(Table25[[#This Row],[M/c Name]],'[2]New Machine sheet'!$C$1:$D$101,2,0),0)</f>
        <v xml:space="preserve">turning </v>
      </c>
      <c r="F14" s="61">
        <v>127</v>
      </c>
      <c r="G14" s="61">
        <f>IFERROR(VLOOKUP(Table25[[#This Row],[Code2]],'[2]New Machine sheet'!$F$2:$I$64,2,),0)</f>
        <v>24127</v>
      </c>
      <c r="H14" s="61" t="str">
        <f>IFERROR(VLOOKUP(Table25[[#This Row],[Code2]],'[2]New Machine sheet'!$F$2:$I$64,3,0),0)</f>
        <v>RE J1</v>
      </c>
      <c r="I14" s="61" t="s">
        <v>141</v>
      </c>
      <c r="J14" s="61">
        <v>61</v>
      </c>
      <c r="K14" s="61" t="str">
        <f>IFERROR(VLOOKUP(Table25[[#This Row],[Code3]],'[2]New defect code '!$A$2:$D$129,2,0),0)</f>
        <v>Od o/s</v>
      </c>
      <c r="L14" s="45" t="s">
        <v>114</v>
      </c>
      <c r="M14" s="56">
        <v>46266</v>
      </c>
      <c r="N14" s="61">
        <v>1</v>
      </c>
      <c r="O14" s="61"/>
      <c r="P14" s="61"/>
      <c r="Q14" s="61"/>
      <c r="R14" s="61">
        <f>SUBTOTAL(9,Table25[[#This Row],[1st]:[FQC]])</f>
        <v>1</v>
      </c>
      <c r="S14" s="61">
        <f>IFERROR(VLOOKUP(Table25[[#This Row],[Part No.]],'[2]New Machine sheet'!$G$2:$I$90,3,0),0)</f>
        <v>262.81200000000001</v>
      </c>
      <c r="T14" s="61">
        <f>Table25[[#This Row],[cost per piece]]*Table25[[#This Row],[Total Rej. qty]]</f>
        <v>262.81200000000001</v>
      </c>
      <c r="U14" s="61">
        <f>IFERROR(VLOOKUP(Table25[[#This Row],[Non Conformance]],'[2]New defect code '!$B$2:$C$129,2,0),0)</f>
        <v>0</v>
      </c>
      <c r="V14" s="61">
        <v>45</v>
      </c>
      <c r="W14" s="61" t="str">
        <f>IFERROR(VLOOKUP(Table25[[#This Row],[Code4]],'[2]New Reason code'!$A$2:$D$77,2,0),0)</f>
        <v>Running m/c</v>
      </c>
      <c r="X14" s="61">
        <f ca="1">#REF!+Table25[[#This Row],[Rejection Identified at]]</f>
        <v>0</v>
      </c>
      <c r="Y14" s="63" t="str">
        <f>IFERROR(VLOOKUP(Table25[[#This Row],[Reason]],Coding!A11:C68,3,0),0)</f>
        <v>Process Issue</v>
      </c>
    </row>
    <row r="15" spans="1:25" ht="20.25" customHeight="1">
      <c r="A15" s="50">
        <v>11</v>
      </c>
      <c r="B15" s="61"/>
      <c r="C15" s="61" t="s">
        <v>118</v>
      </c>
      <c r="D15" s="61" t="s">
        <v>117</v>
      </c>
      <c r="E15" s="61" t="str">
        <f>IFERROR(VLOOKUP(Table25[[#This Row],[M/c Name]],'[2]New Machine sheet'!$C$1:$D$101,2,0),0)</f>
        <v>Turning</v>
      </c>
      <c r="F15" s="61">
        <v>119</v>
      </c>
      <c r="G15" s="61">
        <f>IFERROR(VLOOKUP(Table25[[#This Row],[Code2]],'[2]New Machine sheet'!$F$2:$I$64,2,),0)</f>
        <v>24119</v>
      </c>
      <c r="H15" s="61" t="str">
        <f>IFERROR(VLOOKUP(Table25[[#This Row],[Code2]],'[2]New Machine sheet'!$F$2:$I$64,3,0),0)</f>
        <v>RE J1</v>
      </c>
      <c r="I15" s="61" t="s">
        <v>123</v>
      </c>
      <c r="J15" s="61">
        <v>41</v>
      </c>
      <c r="K15" s="61" t="str">
        <f>IFERROR(VLOOKUP(Table25[[#This Row],[Code3]],'[2]New defect code '!$A$2:$D$129,2,0),0)</f>
        <v>Face Less metal</v>
      </c>
      <c r="L15" s="45" t="s">
        <v>114</v>
      </c>
      <c r="M15" s="56">
        <v>46266</v>
      </c>
      <c r="N15" s="61">
        <v>30</v>
      </c>
      <c r="O15" s="61"/>
      <c r="P15" s="61"/>
      <c r="Q15" s="61"/>
      <c r="R15" s="61">
        <f>SUBTOTAL(9,Table25[[#This Row],[1st]:[FQC]])</f>
        <v>30</v>
      </c>
      <c r="S15" s="61">
        <f>IFERROR(VLOOKUP(Table25[[#This Row],[Part No.]],'[2]New Machine sheet'!$G$2:$I$90,3,0),0)</f>
        <v>103.2</v>
      </c>
      <c r="T15" s="61">
        <f>Table25[[#This Row],[cost per piece]]*Table25[[#This Row],[Total Rej. qty]]</f>
        <v>3096</v>
      </c>
      <c r="U15" s="61">
        <f>IFERROR(VLOOKUP(Table25[[#This Row],[Non Conformance]],'[2]New defect code '!$B$2:$C$129,2,0),0)</f>
        <v>3259</v>
      </c>
      <c r="V15" s="61">
        <v>17</v>
      </c>
      <c r="W15" s="61" t="str">
        <f>IFERROR(VLOOKUP(Table25[[#This Row],[Code4]],'[2]New Reason code'!$A$2:$D$77,2,0),0)</f>
        <v>during insert broken</v>
      </c>
      <c r="X15" s="61">
        <f ca="1">#REF!+Table25[[#This Row],[Rejection Identified at]]</f>
        <v>0</v>
      </c>
      <c r="Y15" s="63">
        <f>IFERROR(VLOOKUP(Table25[[#This Row],[Reason]],Coding!A12:C69,3,0),0)</f>
        <v>0</v>
      </c>
    </row>
    <row r="16" spans="1:25" ht="20.25" customHeight="1">
      <c r="A16" s="60">
        <v>12</v>
      </c>
      <c r="B16" s="61">
        <v>24</v>
      </c>
      <c r="C16" s="61" t="str">
        <f>IFERROR(VLOOKUP(Table25[[#This Row],[Code]],'[2]New Machine sheet'!$A$1:$D$101,2,0),0)</f>
        <v>ACE-04</v>
      </c>
      <c r="D16" s="61" t="str">
        <f>IFERROR(VLOOKUP(Table25[[#This Row],[M/c No]],'[2]New Machine sheet'!$B$1:$D$101,2,0),0)</f>
        <v>Micromatic</v>
      </c>
      <c r="E16" s="61" t="str">
        <f>IFERROR(VLOOKUP(Table25[[#This Row],[M/c Name]],'[2]New Machine sheet'!$C$1:$D$101,2,0),0)</f>
        <v>Turning</v>
      </c>
      <c r="F16" s="61">
        <v>125</v>
      </c>
      <c r="G16" s="61">
        <f>IFERROR(VLOOKUP(Table25[[#This Row],[Code2]],'[2]New Machine sheet'!$F$2:$I$64,2,),0)</f>
        <v>24125</v>
      </c>
      <c r="H16" s="61" t="str">
        <f>IFERROR(VLOOKUP(Table25[[#This Row],[Code2]],'[2]New Machine sheet'!$F$2:$I$64,3,0),0)</f>
        <v>RE J1</v>
      </c>
      <c r="I16" s="61" t="s">
        <v>137</v>
      </c>
      <c r="J16" s="61">
        <v>10</v>
      </c>
      <c r="K16" s="61" t="str">
        <f>IFERROR(VLOOKUP(Table25[[#This Row],[Code3]],'[2]New defect code '!$A$2:$D$129,2,0),0)</f>
        <v xml:space="preserve">Bore u/s </v>
      </c>
      <c r="L16" s="45" t="s">
        <v>114</v>
      </c>
      <c r="M16" s="56">
        <v>46266</v>
      </c>
      <c r="N16" s="61"/>
      <c r="O16" s="61">
        <v>3</v>
      </c>
      <c r="P16" s="61"/>
      <c r="Q16" s="61"/>
      <c r="R16" s="61">
        <f>SUBTOTAL(9,Table25[[#This Row],[1st]:[FQC]])</f>
        <v>3</v>
      </c>
      <c r="S16" s="61">
        <f>IFERROR(VLOOKUP(Table25[[#This Row],[Part No.]],'[2]New Machine sheet'!$G$2:$I$90,3,0),0)</f>
        <v>65.17</v>
      </c>
      <c r="T16" s="61">
        <f>Table25[[#This Row],[cost per piece]]*Table25[[#This Row],[Total Rej. qty]]</f>
        <v>195.51</v>
      </c>
      <c r="U16" s="61">
        <f>IFERROR(VLOOKUP(Table25[[#This Row],[Non Conformance]],'[2]New defect code '!$B$2:$C$129,2,0),0)</f>
        <v>0</v>
      </c>
      <c r="V16" s="61">
        <v>45</v>
      </c>
      <c r="W16" s="61" t="str">
        <f>IFERROR(VLOOKUP(Table25[[#This Row],[Code4]],'[2]New Reason code'!$A$2:$D$77,2,0),0)</f>
        <v>Running m/c</v>
      </c>
      <c r="X16" s="61">
        <f ca="1">#REF!+Table25[[#This Row],[Rejection Identified at]]</f>
        <v>0</v>
      </c>
      <c r="Y16" s="63" t="str">
        <f>IFERROR(VLOOKUP(Table25[[#This Row],[Reason]],Coding!A13:C70,3,0),0)</f>
        <v>Process Issue</v>
      </c>
    </row>
    <row r="17" spans="1:25" ht="20.25" customHeight="1">
      <c r="A17" s="50">
        <v>13</v>
      </c>
      <c r="B17" s="61">
        <v>45</v>
      </c>
      <c r="C17" s="61" t="str">
        <f>IFERROR(VLOOKUP(Table25[[#This Row],[Code]],'[2]New Machine sheet'!$A$1:$D$101,2,0),0)</f>
        <v>MURATEC-01</v>
      </c>
      <c r="D17" s="61" t="str">
        <f>IFERROR(VLOOKUP(Table25[[#This Row],[M/c No]],'[2]New Machine sheet'!$B$1:$D$101,2,0),0)</f>
        <v>MURATEC</v>
      </c>
      <c r="E17" s="61" t="str">
        <f>IFERROR(VLOOKUP(Table25[[#This Row],[M/c Name]],'[2]New Machine sheet'!$C$1:$D$101,2,0),0)</f>
        <v xml:space="preserve">turning </v>
      </c>
      <c r="F17" s="61">
        <v>172</v>
      </c>
      <c r="G17" s="61">
        <f>IFERROR(VLOOKUP(Table25[[#This Row],[Code2]],'[2]New Machine sheet'!$F$2:$I$64,2,),0)</f>
        <v>24172</v>
      </c>
      <c r="H17" s="61" t="str">
        <f>IFERROR(VLOOKUP(Table25[[#This Row],[Code2]],'[2]New Machine sheet'!$F$2:$I$64,3,0),0)</f>
        <v>RE J1</v>
      </c>
      <c r="I17" s="61" t="s">
        <v>146</v>
      </c>
      <c r="J17" s="61">
        <v>41</v>
      </c>
      <c r="K17" s="61" t="str">
        <f>IFERROR(VLOOKUP(Table25[[#This Row],[Code3]],'[2]New defect code '!$A$2:$D$129,2,0),0)</f>
        <v>Face Less metal</v>
      </c>
      <c r="L17" s="45" t="s">
        <v>114</v>
      </c>
      <c r="M17" s="56">
        <v>46266</v>
      </c>
      <c r="N17" s="61"/>
      <c r="O17" s="61">
        <v>7</v>
      </c>
      <c r="P17" s="61"/>
      <c r="Q17" s="61"/>
      <c r="R17" s="61">
        <f>SUBTOTAL(9,Table25[[#This Row],[1st]:[FQC]])</f>
        <v>7</v>
      </c>
      <c r="S17" s="61">
        <f>IFERROR(VLOOKUP(Table25[[#This Row],[Part No.]],'[2]New Machine sheet'!$G$2:$I$90,3,0),0)</f>
        <v>348.33</v>
      </c>
      <c r="T17" s="61">
        <f>Table25[[#This Row],[cost per piece]]*Table25[[#This Row],[Total Rej. qty]]</f>
        <v>2438.31</v>
      </c>
      <c r="U17" s="61">
        <f>IFERROR(VLOOKUP(Table25[[#This Row],[Non Conformance]],'[2]New defect code '!$B$2:$C$129,2,0),0)</f>
        <v>3259</v>
      </c>
      <c r="V17" s="61">
        <v>45</v>
      </c>
      <c r="W17" s="61" t="str">
        <f>IFERROR(VLOOKUP(Table25[[#This Row],[Code4]],'[2]New Reason code'!$A$2:$D$77,2,0),0)</f>
        <v>Running m/c</v>
      </c>
      <c r="X17" s="61">
        <f ca="1">#REF!+Table25[[#This Row],[Rejection Identified at]]</f>
        <v>0</v>
      </c>
      <c r="Y17" s="63" t="str">
        <f>IFERROR(VLOOKUP(Table25[[#This Row],[Reason]],Coding!A14:C71,3,0),0)</f>
        <v>Process Issue</v>
      </c>
    </row>
    <row r="18" spans="1:25" ht="20.25" customHeight="1">
      <c r="A18" s="60">
        <v>14</v>
      </c>
      <c r="B18" s="61">
        <v>12</v>
      </c>
      <c r="C18" s="61" t="str">
        <f>IFERROR(VLOOKUP(Table25[[#This Row],[Code]],'[2]New Machine sheet'!$A$1:$D$101,2,0),0)</f>
        <v>282-12</v>
      </c>
      <c r="D18" s="61" t="str">
        <f>IFERROR(VLOOKUP(Table25[[#This Row],[M/c No]],'[2]New Machine sheet'!$B$1:$D$101,2,0),0)</f>
        <v>Mazak</v>
      </c>
      <c r="E18" s="61" t="str">
        <f>IFERROR(VLOOKUP(Table25[[#This Row],[M/c Name]],'[2]New Machine sheet'!$C$1:$D$101,2,0),0)</f>
        <v>Turning</v>
      </c>
      <c r="F18" s="61">
        <v>115</v>
      </c>
      <c r="G18" s="61">
        <f>IFERROR(VLOOKUP(Table25[[#This Row],[Code2]],'[2]New Machine sheet'!$F$2:$I$64,2,),0)</f>
        <v>24115</v>
      </c>
      <c r="H18" s="61" t="str">
        <f>IFERROR(VLOOKUP(Table25[[#This Row],[Code2]],'[2]New Machine sheet'!$F$2:$I$64,3,0),0)</f>
        <v>RE J1</v>
      </c>
      <c r="I18" s="61" t="s">
        <v>136</v>
      </c>
      <c r="J18" s="61">
        <v>10</v>
      </c>
      <c r="K18" s="61" t="str">
        <f>IFERROR(VLOOKUP(Table25[[#This Row],[Code3]],'[2]New defect code '!$A$2:$D$129,2,0),0)</f>
        <v xml:space="preserve">Bore u/s </v>
      </c>
      <c r="L18" s="45" t="s">
        <v>114</v>
      </c>
      <c r="M18" s="56">
        <v>46266</v>
      </c>
      <c r="N18" s="61"/>
      <c r="O18" s="61">
        <v>2</v>
      </c>
      <c r="P18" s="61"/>
      <c r="Q18" s="61"/>
      <c r="R18" s="61">
        <f>SUBTOTAL(9,Table25[[#This Row],[1st]:[FQC]])</f>
        <v>2</v>
      </c>
      <c r="S18" s="61">
        <f>IFERROR(VLOOKUP(Table25[[#This Row],[Part No.]],'[2]New Machine sheet'!$G$2:$I$90,3,0),0)</f>
        <v>66.900000000000006</v>
      </c>
      <c r="T18" s="61">
        <f>Table25[[#This Row],[cost per piece]]*Table25[[#This Row],[Total Rej. qty]]</f>
        <v>133.80000000000001</v>
      </c>
      <c r="U18" s="61">
        <f>IFERROR(VLOOKUP(Table25[[#This Row],[Non Conformance]],'[2]New defect code '!$B$2:$C$129,2,0),0)</f>
        <v>0</v>
      </c>
      <c r="V18" s="61">
        <v>45</v>
      </c>
      <c r="W18" s="61" t="str">
        <f>IFERROR(VLOOKUP(Table25[[#This Row],[Code4]],'[2]New Reason code'!$A$2:$D$77,2,0),0)</f>
        <v>Running m/c</v>
      </c>
      <c r="X18" s="61">
        <f ca="1">#REF!+Table25[[#This Row],[Rejection Identified at]]</f>
        <v>0</v>
      </c>
      <c r="Y18" s="63" t="str">
        <f>IFERROR(VLOOKUP(Table25[[#This Row],[Reason]],Coding!A15:C72,3,0),0)</f>
        <v>Process Issue</v>
      </c>
    </row>
    <row r="19" spans="1:25" ht="20.25" customHeight="1">
      <c r="A19" s="50">
        <v>15</v>
      </c>
      <c r="B19" s="61"/>
      <c r="C19" s="61" t="s">
        <v>116</v>
      </c>
      <c r="D19" s="61" t="s">
        <v>117</v>
      </c>
      <c r="E19" s="61" t="str">
        <f>IFERROR(VLOOKUP(Table25[[#This Row],[M/c Name]],'[2]New Machine sheet'!$C$1:$D$101,2,0),0)</f>
        <v>Turning</v>
      </c>
      <c r="F19" s="61">
        <v>127</v>
      </c>
      <c r="G19" s="61">
        <f>IFERROR(VLOOKUP(Table25[[#This Row],[Code2]],'[2]New Machine sheet'!$F$2:$I$64,2,),0)</f>
        <v>24127</v>
      </c>
      <c r="H19" s="61" t="str">
        <f>IFERROR(VLOOKUP(Table25[[#This Row],[Code2]],'[2]New Machine sheet'!$F$2:$I$64,3,0),0)</f>
        <v>RE J1</v>
      </c>
      <c r="I19" s="61" t="s">
        <v>133</v>
      </c>
      <c r="J19" s="61">
        <v>10</v>
      </c>
      <c r="K19" s="61" t="str">
        <f>IFERROR(VLOOKUP(Table25[[#This Row],[Code3]],'[2]New defect code '!$A$2:$D$129,2,0),0)</f>
        <v xml:space="preserve">Bore u/s </v>
      </c>
      <c r="L19" s="45" t="s">
        <v>114</v>
      </c>
      <c r="M19" s="56">
        <v>46266</v>
      </c>
      <c r="N19" s="61"/>
      <c r="O19" s="61">
        <v>4</v>
      </c>
      <c r="P19" s="61"/>
      <c r="Q19" s="61"/>
      <c r="R19" s="61">
        <f>SUBTOTAL(9,Table25[[#This Row],[1st]:[FQC]])</f>
        <v>4</v>
      </c>
      <c r="S19" s="61">
        <f>IFERROR(VLOOKUP(Table25[[#This Row],[Part No.]],'[2]New Machine sheet'!$G$2:$I$90,3,0),0)</f>
        <v>262.81200000000001</v>
      </c>
      <c r="T19" s="61">
        <f>Table25[[#This Row],[cost per piece]]*Table25[[#This Row],[Total Rej. qty]]</f>
        <v>1051.248</v>
      </c>
      <c r="U19" s="61">
        <f>IFERROR(VLOOKUP(Table25[[#This Row],[Non Conformance]],'[2]New defect code '!$B$2:$C$129,2,0),0)</f>
        <v>0</v>
      </c>
      <c r="V19" s="61">
        <v>70</v>
      </c>
      <c r="W19" s="61" t="str">
        <f>IFERROR(VLOOKUP(Table25[[#This Row],[Code4]],'[2]New Reason code'!$A$2:$D$77,2,0),0)</f>
        <v>Insert Wear Out</v>
      </c>
      <c r="X19" s="61">
        <f ca="1">#REF!+Table25[[#This Row],[Rejection Identified at]]</f>
        <v>0</v>
      </c>
      <c r="Y19" s="63">
        <f>IFERROR(VLOOKUP(Table25[[#This Row],[Reason]],Coding!A16:C73,3,0),0)</f>
        <v>0</v>
      </c>
    </row>
    <row r="20" spans="1:25" ht="20.25" customHeight="1">
      <c r="A20" s="60">
        <v>16</v>
      </c>
      <c r="B20" s="61">
        <v>12</v>
      </c>
      <c r="C20" s="61" t="str">
        <f>IFERROR(VLOOKUP(Table25[[#This Row],[Code]],'[2]New Machine sheet'!$A$1:$D$101,2,0),0)</f>
        <v>282-12</v>
      </c>
      <c r="D20" s="61" t="str">
        <f>IFERROR(VLOOKUP(Table25[[#This Row],[M/c No]],'[2]New Machine sheet'!$B$1:$D$101,2,0),0)</f>
        <v>Mazak</v>
      </c>
      <c r="E20" s="61" t="str">
        <f>IFERROR(VLOOKUP(Table25[[#This Row],[M/c Name]],'[2]New Machine sheet'!$C$1:$D$101,2,0),0)</f>
        <v>Turning</v>
      </c>
      <c r="F20" s="61">
        <v>115</v>
      </c>
      <c r="G20" s="61">
        <f>IFERROR(VLOOKUP(Table25[[#This Row],[Code2]],'[2]New Machine sheet'!$F$2:$I$64,2,),0)</f>
        <v>24115</v>
      </c>
      <c r="H20" s="61" t="str">
        <f>IFERROR(VLOOKUP(Table25[[#This Row],[Code2]],'[2]New Machine sheet'!$F$2:$I$64,3,0),0)</f>
        <v>RE J1</v>
      </c>
      <c r="I20" s="61" t="s">
        <v>136</v>
      </c>
      <c r="J20" s="61">
        <v>45</v>
      </c>
      <c r="K20" s="61" t="str">
        <f>IFERROR(VLOOKUP(Table25[[#This Row],[Code3]],'[2]New defect code '!$A$2:$D$129,2,0),0)</f>
        <v>Face step part</v>
      </c>
      <c r="L20" s="45" t="s">
        <v>114</v>
      </c>
      <c r="M20" s="56">
        <v>46266</v>
      </c>
      <c r="N20" s="61"/>
      <c r="O20" s="61"/>
      <c r="P20" s="61">
        <v>8</v>
      </c>
      <c r="Q20" s="61"/>
      <c r="R20" s="61">
        <f>SUBTOTAL(9,Table25[[#This Row],[1st]:[FQC]])</f>
        <v>8</v>
      </c>
      <c r="S20" s="61">
        <f>IFERROR(VLOOKUP(Table25[[#This Row],[Part No.]],'[2]New Machine sheet'!$G$2:$I$90,3,0),0)</f>
        <v>66.900000000000006</v>
      </c>
      <c r="T20" s="61">
        <f>Table25[[#This Row],[cost per piece]]*Table25[[#This Row],[Total Rej. qty]]</f>
        <v>535.20000000000005</v>
      </c>
      <c r="U20" s="61">
        <f>IFERROR(VLOOKUP(Table25[[#This Row],[Non Conformance]],'[2]New defect code '!$B$2:$C$129,2,0),0)</f>
        <v>0</v>
      </c>
      <c r="V20" s="61">
        <v>17</v>
      </c>
      <c r="W20" s="61" t="str">
        <f>IFERROR(VLOOKUP(Table25[[#This Row],[Code4]],'[2]New Reason code'!$A$2:$D$77,2,0),0)</f>
        <v>during insert broken</v>
      </c>
      <c r="X20" s="61">
        <f ca="1">#REF!+Table25[[#This Row],[Rejection Identified at]]</f>
        <v>0</v>
      </c>
      <c r="Y20" s="63">
        <f>IFERROR(VLOOKUP(Table25[[#This Row],[Reason]],Coding!A17:C74,3,0),0)</f>
        <v>0</v>
      </c>
    </row>
    <row r="21" spans="1:25" ht="20.25" customHeight="1">
      <c r="A21" s="50">
        <v>17</v>
      </c>
      <c r="B21" s="61">
        <v>43</v>
      </c>
      <c r="C21" s="61" t="str">
        <f>IFERROR(VLOOKUP(Table25[[#This Row],[Code]],'[2]New Machine sheet'!$A$1:$D$101,2,0),0)</f>
        <v>252-05</v>
      </c>
      <c r="D21" s="61" t="str">
        <f>IFERROR(VLOOKUP(Table25[[#This Row],[M/c No]],'[2]New Machine sheet'!$B$1:$D$101,2,0),0)</f>
        <v>VMC</v>
      </c>
      <c r="E21" s="61" t="str">
        <f>IFERROR(VLOOKUP(Table25[[#This Row],[M/c Name]],'[2]New Machine sheet'!$C$1:$D$101,2,0),0)</f>
        <v>VMC</v>
      </c>
      <c r="F21" s="61">
        <v>155</v>
      </c>
      <c r="G21" s="61">
        <f>IFERROR(VLOOKUP(Table25[[#This Row],[Code2]],'[2]New Machine sheet'!$F$2:$I$64,2,),0)</f>
        <v>24155</v>
      </c>
      <c r="H21" s="61" t="str">
        <f>IFERROR(VLOOKUP(Table25[[#This Row],[Code2]],'[2]New Machine sheet'!$F$2:$I$64,3,0),0)</f>
        <v>RE J1</v>
      </c>
      <c r="I21" s="61" t="s">
        <v>147</v>
      </c>
      <c r="J21" s="61">
        <v>52</v>
      </c>
      <c r="K21" s="61" t="str">
        <f>IFERROR(VLOOKUP(Table25[[#This Row],[Code3]],'[2]New defect code '!$A$2:$D$129,2,0),0)</f>
        <v xml:space="preserve">Light dot punching </v>
      </c>
      <c r="L21" s="45" t="s">
        <v>114</v>
      </c>
      <c r="M21" s="56">
        <v>46266</v>
      </c>
      <c r="N21" s="61"/>
      <c r="O21" s="61"/>
      <c r="P21" s="61">
        <v>1</v>
      </c>
      <c r="Q21" s="61"/>
      <c r="R21" s="61">
        <f>SUBTOTAL(9,Table25[[#This Row],[1st]:[FQC]])</f>
        <v>1</v>
      </c>
      <c r="S21" s="61">
        <f>IFERROR(VLOOKUP(Table25[[#This Row],[Part No.]],'[2]New Machine sheet'!$G$2:$I$90,3,0),0)</f>
        <v>107.67</v>
      </c>
      <c r="T21" s="61">
        <f>Table25[[#This Row],[cost per piece]]*Table25[[#This Row],[Total Rej. qty]]</f>
        <v>107.67</v>
      </c>
      <c r="U21" s="61">
        <f>IFERROR(VLOOKUP(Table25[[#This Row],[Non Conformance]],'[2]New defect code '!$B$2:$C$129,2,0),0)</f>
        <v>0</v>
      </c>
      <c r="V21" s="61">
        <v>45</v>
      </c>
      <c r="W21" s="61" t="str">
        <f>IFERROR(VLOOKUP(Table25[[#This Row],[Code4]],'[2]New Reason code'!$A$2:$D$77,2,0),0)</f>
        <v>Running m/c</v>
      </c>
      <c r="X21" s="61">
        <f ca="1">#REF!+Table25[[#This Row],[Rejection Identified at]]</f>
        <v>0</v>
      </c>
      <c r="Y21" s="63" t="str">
        <f>IFERROR(VLOOKUP(Table25[[#This Row],[Reason]],Coding!A18:C75,3,0),0)</f>
        <v>Power Cut</v>
      </c>
    </row>
    <row r="22" spans="1:25" ht="20.25" customHeight="1">
      <c r="A22" s="60">
        <v>18</v>
      </c>
      <c r="B22" s="61">
        <v>23</v>
      </c>
      <c r="C22" s="61" t="str">
        <f>IFERROR(VLOOKUP(Table25[[#This Row],[Code]],'[2]New Machine sheet'!$A$1:$D$101,2,0),0)</f>
        <v>ACE-03</v>
      </c>
      <c r="D22" s="61" t="str">
        <f>IFERROR(VLOOKUP(Table25[[#This Row],[M/c No]],'[2]New Machine sheet'!$B$1:$D$101,2,0),0)</f>
        <v>Micromatic</v>
      </c>
      <c r="E22" s="61" t="str">
        <f>IFERROR(VLOOKUP(Table25[[#This Row],[M/c Name]],'[2]New Machine sheet'!$C$1:$D$101,2,0),0)</f>
        <v>Turning</v>
      </c>
      <c r="F22" s="61">
        <v>121</v>
      </c>
      <c r="G22" s="61">
        <f>IFERROR(VLOOKUP(Table25[[#This Row],[Code2]],'[2]New Machine sheet'!$F$2:$I$64,2,),0)</f>
        <v>24121</v>
      </c>
      <c r="H22" s="61" t="str">
        <f>IFERROR(VLOOKUP(Table25[[#This Row],[Code2]],'[2]New Machine sheet'!$F$2:$I$64,3,0),0)</f>
        <v>RE J1</v>
      </c>
      <c r="I22" s="61" t="s">
        <v>148</v>
      </c>
      <c r="J22" s="61">
        <v>10</v>
      </c>
      <c r="K22" s="61" t="str">
        <f>IFERROR(VLOOKUP(Table25[[#This Row],[Code3]],'[2]New defect code '!$A$2:$D$129,2,0),0)</f>
        <v xml:space="preserve">Bore u/s </v>
      </c>
      <c r="L22" s="45" t="s">
        <v>114</v>
      </c>
      <c r="M22" s="56">
        <v>46266</v>
      </c>
      <c r="N22" s="61"/>
      <c r="O22" s="61"/>
      <c r="P22" s="61">
        <v>2</v>
      </c>
      <c r="Q22" s="61"/>
      <c r="R22" s="61">
        <f>SUBTOTAL(9,Table25[[#This Row],[1st]:[FQC]])</f>
        <v>2</v>
      </c>
      <c r="S22" s="61">
        <f>IFERROR(VLOOKUP(Table25[[#This Row],[Part No.]],'[2]New Machine sheet'!$G$2:$I$90,3,0),0)</f>
        <v>135.66999999999999</v>
      </c>
      <c r="T22" s="61">
        <f>Table25[[#This Row],[cost per piece]]*Table25[[#This Row],[Total Rej. qty]]</f>
        <v>271.33999999999997</v>
      </c>
      <c r="U22" s="61">
        <f>IFERROR(VLOOKUP(Table25[[#This Row],[Non Conformance]],'[2]New defect code '!$B$2:$C$129,2,0),0)</f>
        <v>0</v>
      </c>
      <c r="V22" s="61">
        <v>70</v>
      </c>
      <c r="W22" s="61" t="str">
        <f>IFERROR(VLOOKUP(Table25[[#This Row],[Code4]],'[2]New Reason code'!$A$2:$D$77,2,0),0)</f>
        <v>Insert Wear Out</v>
      </c>
      <c r="X22" s="61">
        <f ca="1">#REF!+Table25[[#This Row],[Rejection Identified at]]</f>
        <v>0</v>
      </c>
      <c r="Y22" s="63">
        <f>IFERROR(VLOOKUP(Table25[[#This Row],[Reason]],Coding!A19:C76,3,0),0)</f>
        <v>0</v>
      </c>
    </row>
    <row r="23" spans="1:25" ht="20.25" customHeight="1">
      <c r="A23" s="50">
        <v>19</v>
      </c>
      <c r="B23" s="61">
        <v>1</v>
      </c>
      <c r="C23" s="61" t="str">
        <f>IFERROR(VLOOKUP(Table25[[#This Row],[Code]],'[2]New Machine sheet'!$A$1:$D$101,2,0),0)</f>
        <v>282-01</v>
      </c>
      <c r="D23" s="61" t="str">
        <f>IFERROR(VLOOKUP(Table25[[#This Row],[M/c No]],'[2]New Machine sheet'!$B$1:$D$101,2,0),0)</f>
        <v>Mazak</v>
      </c>
      <c r="E23" s="61" t="str">
        <f>IFERROR(VLOOKUP(Table25[[#This Row],[M/c Name]],'[2]New Machine sheet'!$C$1:$D$101,2,0),0)</f>
        <v>Turning</v>
      </c>
      <c r="F23" s="61">
        <v>115</v>
      </c>
      <c r="G23" s="61">
        <f>IFERROR(VLOOKUP(Table25[[#This Row],[Code2]],'[2]New Machine sheet'!$F$2:$I$64,2,),0)</f>
        <v>24115</v>
      </c>
      <c r="H23" s="61" t="str">
        <f>IFERROR(VLOOKUP(Table25[[#This Row],[Code2]],'[2]New Machine sheet'!$F$2:$I$64,3,0),0)</f>
        <v>RE J1</v>
      </c>
      <c r="I23" s="61" t="s">
        <v>141</v>
      </c>
      <c r="J23" s="61">
        <v>10</v>
      </c>
      <c r="K23" s="61" t="str">
        <f>IFERROR(VLOOKUP(Table25[[#This Row],[Code3]],'[2]New defect code '!$A$2:$D$129,2,0),0)</f>
        <v xml:space="preserve">Bore u/s </v>
      </c>
      <c r="L23" s="45" t="s">
        <v>114</v>
      </c>
      <c r="M23" s="56">
        <v>46266</v>
      </c>
      <c r="N23" s="61"/>
      <c r="O23" s="61"/>
      <c r="P23" s="61">
        <v>2</v>
      </c>
      <c r="Q23" s="61"/>
      <c r="R23" s="61">
        <f>SUBTOTAL(9,Table25[[#This Row],[1st]:[FQC]])</f>
        <v>2</v>
      </c>
      <c r="S23" s="61">
        <f>IFERROR(VLOOKUP(Table25[[#This Row],[Part No.]],'[2]New Machine sheet'!$G$2:$I$90,3,0),0)</f>
        <v>66.900000000000006</v>
      </c>
      <c r="T23" s="61">
        <f>Table25[[#This Row],[cost per piece]]*Table25[[#This Row],[Total Rej. qty]]</f>
        <v>133.80000000000001</v>
      </c>
      <c r="U23" s="61">
        <f>IFERROR(VLOOKUP(Table25[[#This Row],[Non Conformance]],'[2]New defect code '!$B$2:$C$129,2,0),0)</f>
        <v>0</v>
      </c>
      <c r="V23" s="61">
        <v>45</v>
      </c>
      <c r="W23" s="61" t="str">
        <f>IFERROR(VLOOKUP(Table25[[#This Row],[Code4]],'[2]New Reason code'!$A$2:$D$77,2,0),0)</f>
        <v>Running m/c</v>
      </c>
      <c r="X23" s="61">
        <f ca="1">#REF!+Table25[[#This Row],[Rejection Identified at]]</f>
        <v>0</v>
      </c>
      <c r="Y23" s="63" t="str">
        <f>IFERROR(VLOOKUP(Table25[[#This Row],[Reason]],Coding!A20:C77,3,0),0)</f>
        <v>Power Cut</v>
      </c>
    </row>
    <row r="24" spans="1:25" ht="20.25" customHeight="1">
      <c r="A24" s="60">
        <v>20</v>
      </c>
      <c r="B24" s="61">
        <v>23</v>
      </c>
      <c r="C24" s="61" t="str">
        <f>IFERROR(VLOOKUP(Table25[[#This Row],[Code]],'[2]New Machine sheet'!$A$1:$D$101,2,0),0)</f>
        <v>ACE-03</v>
      </c>
      <c r="D24" s="61" t="str">
        <f>IFERROR(VLOOKUP(Table25[[#This Row],[M/c No]],'[2]New Machine sheet'!$B$1:$D$101,2,0),0)</f>
        <v>Micromatic</v>
      </c>
      <c r="E24" s="61" t="str">
        <f>IFERROR(VLOOKUP(Table25[[#This Row],[M/c Name]],'[2]New Machine sheet'!$C$1:$D$101,2,0),0)</f>
        <v>Turning</v>
      </c>
      <c r="F24" s="61">
        <v>121</v>
      </c>
      <c r="G24" s="61">
        <f>IFERROR(VLOOKUP(Table25[[#This Row],[Code2]],'[2]New Machine sheet'!$F$2:$I$64,2,),0)</f>
        <v>24121</v>
      </c>
      <c r="H24" s="61" t="str">
        <f>IFERROR(VLOOKUP(Table25[[#This Row],[Code2]],'[2]New Machine sheet'!$F$2:$I$64,3,0),0)</f>
        <v>RE J1</v>
      </c>
      <c r="I24" s="61" t="s">
        <v>153</v>
      </c>
      <c r="J24" s="61">
        <v>73</v>
      </c>
      <c r="K24" s="61" t="str">
        <f>IFERROR(VLOOKUP(Table25[[#This Row],[Code3]],'[2]New defect code '!$A$2:$D$129,2,0),0)</f>
        <v>PG NO go pass (Bush Bore o/s)</v>
      </c>
      <c r="L24" s="61" t="s">
        <v>149</v>
      </c>
      <c r="M24" s="56">
        <v>46266</v>
      </c>
      <c r="N24" s="61">
        <v>4</v>
      </c>
      <c r="O24" s="61"/>
      <c r="P24" s="61"/>
      <c r="Q24" s="61"/>
      <c r="R24" s="61">
        <f>SUBTOTAL(9,Table25[[#This Row],[1st]:[FQC]])</f>
        <v>4</v>
      </c>
      <c r="S24" s="61">
        <f>IFERROR(VLOOKUP(Table25[[#This Row],[Part No.]],'[2]New Machine sheet'!$G$2:$I$90,3,0),0)</f>
        <v>135.66999999999999</v>
      </c>
      <c r="T24" s="61">
        <f>Table25[[#This Row],[cost per piece]]*Table25[[#This Row],[Total Rej. qty]]</f>
        <v>542.67999999999995</v>
      </c>
      <c r="U24" s="61">
        <f>IFERROR(VLOOKUP(Table25[[#This Row],[Non Conformance]],'[2]New defect code '!$B$2:$C$129,2,0),0)</f>
        <v>0</v>
      </c>
      <c r="V24" s="61">
        <v>51</v>
      </c>
      <c r="W24" s="61" t="str">
        <f>IFERROR(VLOOKUP(Table25[[#This Row],[Code4]],'[2]New Reason code'!$A$2:$D$77,2,0),0)</f>
        <v>Size veriation on m/c</v>
      </c>
      <c r="X24" s="61">
        <f ca="1">#REF!+Table25[[#This Row],[Rejection Identified at]]</f>
        <v>0</v>
      </c>
      <c r="Y24" s="63">
        <f>IFERROR(VLOOKUP(Table25[[#This Row],[Reason]],Coding!A21:C78,3,0),0)</f>
        <v>0</v>
      </c>
    </row>
    <row r="25" spans="1:25" ht="20.25" customHeight="1">
      <c r="A25" s="50">
        <v>21</v>
      </c>
      <c r="B25" s="61">
        <v>23</v>
      </c>
      <c r="C25" s="61" t="str">
        <f>IFERROR(VLOOKUP(Table25[[#This Row],[Code]],'[2]New Machine sheet'!$A$1:$D$101,2,0),0)</f>
        <v>ACE-03</v>
      </c>
      <c r="D25" s="61" t="str">
        <f>IFERROR(VLOOKUP(Table25[[#This Row],[M/c No]],'[2]New Machine sheet'!$B$1:$D$101,2,0),0)</f>
        <v>Micromatic</v>
      </c>
      <c r="E25" s="61" t="str">
        <f>IFERROR(VLOOKUP(Table25[[#This Row],[M/c Name]],'[2]New Machine sheet'!$C$1:$D$101,2,0),0)</f>
        <v>Turning</v>
      </c>
      <c r="F25" s="61">
        <v>121</v>
      </c>
      <c r="G25" s="61">
        <f>IFERROR(VLOOKUP(Table25[[#This Row],[Code2]],'[2]New Machine sheet'!$F$2:$I$64,2,),0)</f>
        <v>24121</v>
      </c>
      <c r="H25" s="61" t="str">
        <f>IFERROR(VLOOKUP(Table25[[#This Row],[Code2]],'[2]New Machine sheet'!$F$2:$I$64,3,0),0)</f>
        <v>RE J1</v>
      </c>
      <c r="I25" s="61" t="s">
        <v>153</v>
      </c>
      <c r="J25" s="61">
        <v>71</v>
      </c>
      <c r="K25" s="61" t="str">
        <f>IFERROR(VLOOKUP(Table25[[#This Row],[Code3]],'[2]New defect code '!$A$2:$D$129,2,0),0)</f>
        <v>PG go not qualify</v>
      </c>
      <c r="L25" s="61" t="s">
        <v>149</v>
      </c>
      <c r="M25" s="56">
        <v>46266</v>
      </c>
      <c r="N25" s="61">
        <v>25</v>
      </c>
      <c r="O25" s="61"/>
      <c r="P25" s="61"/>
      <c r="Q25" s="61"/>
      <c r="R25" s="61">
        <f>SUBTOTAL(9,Table25[[#This Row],[1st]:[FQC]])</f>
        <v>25</v>
      </c>
      <c r="S25" s="61">
        <f>IFERROR(VLOOKUP(Table25[[#This Row],[Part No.]],'[2]New Machine sheet'!$G$2:$I$90,3,0),0)</f>
        <v>135.66999999999999</v>
      </c>
      <c r="T25" s="61">
        <f>Table25[[#This Row],[cost per piece]]*Table25[[#This Row],[Total Rej. qty]]</f>
        <v>3391.7499999999995</v>
      </c>
      <c r="U25" s="61">
        <f>IFERROR(VLOOKUP(Table25[[#This Row],[Non Conformance]],'[2]New defect code '!$B$2:$C$129,2,0),0)</f>
        <v>0</v>
      </c>
      <c r="V25" s="61">
        <v>51</v>
      </c>
      <c r="W25" s="61" t="str">
        <f>IFERROR(VLOOKUP(Table25[[#This Row],[Code4]],'[2]New Reason code'!$A$2:$D$77,2,0),0)</f>
        <v>Size veriation on m/c</v>
      </c>
      <c r="X25" s="61">
        <f ca="1">#REF!+Table25[[#This Row],[Rejection Identified at]]</f>
        <v>0</v>
      </c>
      <c r="Y25" s="63">
        <f>IFERROR(VLOOKUP(Table25[[#This Row],[Reason]],Coding!A22:C79,3,0),0)</f>
        <v>0</v>
      </c>
    </row>
    <row r="26" spans="1:25" ht="20.25" customHeight="1">
      <c r="A26" s="60">
        <v>22</v>
      </c>
      <c r="B26" s="61">
        <v>15</v>
      </c>
      <c r="C26" s="61" t="str">
        <f>IFERROR(VLOOKUP(Table25[[#This Row],[Code]],'[2]New Machine sheet'!$A$1:$D$101,2,0),0)</f>
        <v>282-15</v>
      </c>
      <c r="D26" s="61" t="str">
        <f>IFERROR(VLOOKUP(Table25[[#This Row],[M/c No]],'[2]New Machine sheet'!$B$1:$D$101,2,0),0)</f>
        <v>Mazak</v>
      </c>
      <c r="E26" s="61" t="str">
        <f>IFERROR(VLOOKUP(Table25[[#This Row],[M/c Name]],'[2]New Machine sheet'!$C$1:$D$101,2,0),0)</f>
        <v>Turning</v>
      </c>
      <c r="F26" s="61">
        <v>127</v>
      </c>
      <c r="G26" s="61">
        <f>IFERROR(VLOOKUP(Table25[[#This Row],[Code2]],'[2]New Machine sheet'!$F$2:$I$64,2,),0)</f>
        <v>24127</v>
      </c>
      <c r="H26" s="61" t="str">
        <f>IFERROR(VLOOKUP(Table25[[#This Row],[Code2]],'[2]New Machine sheet'!$F$2:$I$64,3,0),0)</f>
        <v>RE J1</v>
      </c>
      <c r="I26" s="61" t="s">
        <v>155</v>
      </c>
      <c r="J26" s="61">
        <v>61</v>
      </c>
      <c r="K26" s="61" t="str">
        <f>IFERROR(VLOOKUP(Table25[[#This Row],[Code3]],'[2]New defect code '!$A$2:$D$129,2,0),0)</f>
        <v>Od o/s</v>
      </c>
      <c r="L26" s="61" t="s">
        <v>149</v>
      </c>
      <c r="M26" s="56">
        <v>46266</v>
      </c>
      <c r="N26" s="61">
        <v>2</v>
      </c>
      <c r="O26" s="61"/>
      <c r="P26" s="61"/>
      <c r="Q26" s="61"/>
      <c r="R26" s="61">
        <f>SUBTOTAL(9,Table25[[#This Row],[1st]:[FQC]])</f>
        <v>2</v>
      </c>
      <c r="S26" s="61">
        <f>IFERROR(VLOOKUP(Table25[[#This Row],[Part No.]],'[2]New Machine sheet'!$G$2:$I$90,3,0),0)</f>
        <v>262.81200000000001</v>
      </c>
      <c r="T26" s="61">
        <f>Table25[[#This Row],[cost per piece]]*Table25[[#This Row],[Total Rej. qty]]</f>
        <v>525.62400000000002</v>
      </c>
      <c r="U26" s="61">
        <f>IFERROR(VLOOKUP(Table25[[#This Row],[Non Conformance]],'[2]New defect code '!$B$2:$C$129,2,0),0)</f>
        <v>0</v>
      </c>
      <c r="V26" s="61">
        <v>45</v>
      </c>
      <c r="W26" s="61" t="str">
        <f>IFERROR(VLOOKUP(Table25[[#This Row],[Code4]],'[2]New Reason code'!$A$2:$D$77,2,0),0)</f>
        <v>Running m/c</v>
      </c>
      <c r="X26" s="61">
        <f ca="1">#REF!+Table25[[#This Row],[Rejection Identified at]]</f>
        <v>0</v>
      </c>
      <c r="Y26" s="63" t="str">
        <f>IFERROR(VLOOKUP(Table25[[#This Row],[Reason]],Coding!A23:C80,3,0),0)</f>
        <v>Power Cut</v>
      </c>
    </row>
    <row r="27" spans="1:25" ht="20.25" customHeight="1">
      <c r="A27" s="50">
        <v>23</v>
      </c>
      <c r="B27" s="61">
        <v>11</v>
      </c>
      <c r="C27" s="61" t="str">
        <f>IFERROR(VLOOKUP(Table25[[#This Row],[Code]],'[2]New Machine sheet'!$A$1:$D$101,2,0),0)</f>
        <v>282-11</v>
      </c>
      <c r="D27" s="61" t="str">
        <f>IFERROR(VLOOKUP(Table25[[#This Row],[M/c No]],'[2]New Machine sheet'!$B$1:$D$101,2,0),0)</f>
        <v>Mazak</v>
      </c>
      <c r="E27" s="61" t="str">
        <f>IFERROR(VLOOKUP(Table25[[#This Row],[M/c Name]],'[2]New Machine sheet'!$C$1:$D$101,2,0),0)</f>
        <v>Turning</v>
      </c>
      <c r="F27" s="61">
        <v>121</v>
      </c>
      <c r="G27" s="61">
        <f>IFERROR(VLOOKUP(Table25[[#This Row],[Code2]],'[2]New Machine sheet'!$F$2:$I$64,2,),0)</f>
        <v>24121</v>
      </c>
      <c r="H27" s="61" t="str">
        <f>IFERROR(VLOOKUP(Table25[[#This Row],[Code2]],'[2]New Machine sheet'!$F$2:$I$64,3,0),0)</f>
        <v>RE J1</v>
      </c>
      <c r="I27" s="61" t="s">
        <v>145</v>
      </c>
      <c r="J27" s="61">
        <v>71</v>
      </c>
      <c r="K27" s="61" t="str">
        <f>IFERROR(VLOOKUP(Table25[[#This Row],[Code3]],'[2]New defect code '!$A$2:$D$129,2,0),0)</f>
        <v>PG go not qualify</v>
      </c>
      <c r="L27" s="61" t="s">
        <v>149</v>
      </c>
      <c r="M27" s="56">
        <v>46266</v>
      </c>
      <c r="N27" s="61">
        <v>20</v>
      </c>
      <c r="O27" s="61"/>
      <c r="P27" s="61"/>
      <c r="Q27" s="61"/>
      <c r="R27" s="61">
        <f>SUBTOTAL(9,Table25[[#This Row],[1st]:[FQC]])</f>
        <v>20</v>
      </c>
      <c r="S27" s="61">
        <f>IFERROR(VLOOKUP(Table25[[#This Row],[Part No.]],'[2]New Machine sheet'!$G$2:$I$90,3,0),0)</f>
        <v>135.66999999999999</v>
      </c>
      <c r="T27" s="61">
        <f>Table25[[#This Row],[cost per piece]]*Table25[[#This Row],[Total Rej. qty]]</f>
        <v>2713.3999999999996</v>
      </c>
      <c r="U27" s="61">
        <f>IFERROR(VLOOKUP(Table25[[#This Row],[Non Conformance]],'[2]New defect code '!$B$2:$C$129,2,0),0)</f>
        <v>0</v>
      </c>
      <c r="V27" s="61">
        <v>42</v>
      </c>
      <c r="W27" s="61" t="str">
        <f>IFERROR(VLOOKUP(Table25[[#This Row],[Code4]],'[2]New Reason code'!$A$2:$D$77,2,0),0)</f>
        <v>part not checked by operator</v>
      </c>
      <c r="X27" s="61">
        <f ca="1">#REF!+Table25[[#This Row],[Rejection Identified at]]</f>
        <v>0</v>
      </c>
      <c r="Y27" s="63" t="str">
        <f>IFERROR(VLOOKUP(Table25[[#This Row],[Reason]],Coding!A24:C81,3,0),0)</f>
        <v>Process Issue</v>
      </c>
    </row>
    <row r="28" spans="1:25" ht="20.25" customHeight="1">
      <c r="A28" s="60">
        <v>24</v>
      </c>
      <c r="B28" s="61">
        <v>39</v>
      </c>
      <c r="C28" s="61" t="str">
        <f>IFERROR(VLOOKUP(Table25[[#This Row],[Code]],'[2]New Machine sheet'!$A$1:$D$101,2,0),0)</f>
        <v>ACE-19</v>
      </c>
      <c r="D28" s="61" t="str">
        <f>IFERROR(VLOOKUP(Table25[[#This Row],[M/c No]],'[2]New Machine sheet'!$B$1:$D$101,2,0),0)</f>
        <v>Micromatic</v>
      </c>
      <c r="E28" s="61" t="str">
        <f>IFERROR(VLOOKUP(Table25[[#This Row],[M/c Name]],'[2]New Machine sheet'!$C$1:$D$101,2,0),0)</f>
        <v>Turning</v>
      </c>
      <c r="F28" s="61">
        <v>117</v>
      </c>
      <c r="G28" s="61">
        <f>IFERROR(VLOOKUP(Table25[[#This Row],[Code2]],'[2]New Machine sheet'!$F$2:$I$64,2,),0)</f>
        <v>24117</v>
      </c>
      <c r="H28" s="61" t="str">
        <f>IFERROR(VLOOKUP(Table25[[#This Row],[Code2]],'[2]New Machine sheet'!$F$2:$I$64,3,0),0)</f>
        <v>RE J1</v>
      </c>
      <c r="I28" s="61" t="s">
        <v>152</v>
      </c>
      <c r="J28" s="61">
        <v>10</v>
      </c>
      <c r="K28" s="61" t="str">
        <f>IFERROR(VLOOKUP(Table25[[#This Row],[Code3]],'[2]New defect code '!$A$2:$D$129,2,0),0)</f>
        <v xml:space="preserve">Bore u/s </v>
      </c>
      <c r="L28" s="61" t="s">
        <v>149</v>
      </c>
      <c r="M28" s="56">
        <v>46266</v>
      </c>
      <c r="N28" s="61">
        <v>1</v>
      </c>
      <c r="O28" s="61"/>
      <c r="P28" s="61"/>
      <c r="Q28" s="61"/>
      <c r="R28" s="61">
        <f>SUBTOTAL(9,Table25[[#This Row],[1st]:[FQC]])</f>
        <v>1</v>
      </c>
      <c r="S28" s="61">
        <f>IFERROR(VLOOKUP(Table25[[#This Row],[Part No.]],'[2]New Machine sheet'!$G$2:$I$90,3,0),0)</f>
        <v>111.97</v>
      </c>
      <c r="T28" s="61">
        <f>Table25[[#This Row],[cost per piece]]*Table25[[#This Row],[Total Rej. qty]]</f>
        <v>111.97</v>
      </c>
      <c r="U28" s="61">
        <f>IFERROR(VLOOKUP(Table25[[#This Row],[Non Conformance]],'[2]New defect code '!$B$2:$C$129,2,0),0)</f>
        <v>0</v>
      </c>
      <c r="V28" s="61">
        <v>45</v>
      </c>
      <c r="W28" s="61" t="str">
        <f>IFERROR(VLOOKUP(Table25[[#This Row],[Code4]],'[2]New Reason code'!$A$2:$D$77,2,0),0)</f>
        <v>Running m/c</v>
      </c>
      <c r="X28" s="61">
        <f ca="1">#REF!+Table25[[#This Row],[Rejection Identified at]]</f>
        <v>0</v>
      </c>
      <c r="Y28" s="63" t="str">
        <f>IFERROR(VLOOKUP(Table25[[#This Row],[Reason]],Coding!A25:C82,3,0),0)</f>
        <v>Power Cut</v>
      </c>
    </row>
    <row r="29" spans="1:25" ht="20.25" customHeight="1">
      <c r="A29" s="50">
        <v>25</v>
      </c>
      <c r="B29" s="61">
        <v>47</v>
      </c>
      <c r="C29" s="61" t="str">
        <f>IFERROR(VLOOKUP(Table25[[#This Row],[Code]],'[2]New Machine sheet'!$A$1:$D$101,2,0),0)</f>
        <v>MURATEC-03</v>
      </c>
      <c r="D29" s="61" t="str">
        <f>IFERROR(VLOOKUP(Table25[[#This Row],[M/c No]],'[2]New Machine sheet'!$B$1:$D$101,2,0),0)</f>
        <v>MURATEC</v>
      </c>
      <c r="E29" s="61" t="str">
        <f>IFERROR(VLOOKUP(Table25[[#This Row],[M/c Name]],'[2]New Machine sheet'!$C$1:$D$101,2,0),0)</f>
        <v xml:space="preserve">turning </v>
      </c>
      <c r="F29" s="61">
        <v>127</v>
      </c>
      <c r="G29" s="61">
        <f>IFERROR(VLOOKUP(Table25[[#This Row],[Code2]],'[2]New Machine sheet'!$F$2:$I$64,2,),0)</f>
        <v>24127</v>
      </c>
      <c r="H29" s="61" t="str">
        <f>IFERROR(VLOOKUP(Table25[[#This Row],[Code2]],'[2]New Machine sheet'!$F$2:$I$64,3,0),0)</f>
        <v>RE J1</v>
      </c>
      <c r="I29" s="61" t="s">
        <v>130</v>
      </c>
      <c r="J29" s="61">
        <v>61</v>
      </c>
      <c r="K29" s="61" t="str">
        <f>IFERROR(VLOOKUP(Table25[[#This Row],[Code3]],'[2]New defect code '!$A$2:$D$129,2,0),0)</f>
        <v>Od o/s</v>
      </c>
      <c r="L29" s="61" t="s">
        <v>149</v>
      </c>
      <c r="M29" s="56">
        <v>46266</v>
      </c>
      <c r="N29" s="61">
        <v>1</v>
      </c>
      <c r="O29" s="61"/>
      <c r="P29" s="61"/>
      <c r="Q29" s="61"/>
      <c r="R29" s="61">
        <f>SUBTOTAL(9,Table25[[#This Row],[1st]:[FQC]])</f>
        <v>1</v>
      </c>
      <c r="S29" s="61">
        <f>IFERROR(VLOOKUP(Table25[[#This Row],[Part No.]],'[2]New Machine sheet'!$G$2:$I$90,3,0),0)</f>
        <v>262.81200000000001</v>
      </c>
      <c r="T29" s="61">
        <f>Table25[[#This Row],[cost per piece]]*Table25[[#This Row],[Total Rej. qty]]</f>
        <v>262.81200000000001</v>
      </c>
      <c r="U29" s="61">
        <f>IFERROR(VLOOKUP(Table25[[#This Row],[Non Conformance]],'[2]New defect code '!$B$2:$C$129,2,0),0)</f>
        <v>0</v>
      </c>
      <c r="V29" s="61">
        <v>45</v>
      </c>
      <c r="W29" s="61" t="str">
        <f>IFERROR(VLOOKUP(Table25[[#This Row],[Code4]],'[2]New Reason code'!$A$2:$D$77,2,0),0)</f>
        <v>Running m/c</v>
      </c>
      <c r="X29" s="61">
        <f ca="1">#REF!+Table25[[#This Row],[Rejection Identified at]]</f>
        <v>0</v>
      </c>
      <c r="Y29" s="63" t="str">
        <f>IFERROR(VLOOKUP(Table25[[#This Row],[Reason]],Coding!A26:C83,3,0),0)</f>
        <v>Power Cut</v>
      </c>
    </row>
    <row r="30" spans="1:25" ht="20.25" customHeight="1">
      <c r="A30" s="60">
        <v>26</v>
      </c>
      <c r="B30" s="61">
        <v>47</v>
      </c>
      <c r="C30" s="61" t="str">
        <f>IFERROR(VLOOKUP(Table25[[#This Row],[Code]],'[2]New Machine sheet'!$A$1:$D$101,2,0),0)</f>
        <v>MURATEC-03</v>
      </c>
      <c r="D30" s="61" t="str">
        <f>IFERROR(VLOOKUP(Table25[[#This Row],[M/c No]],'[2]New Machine sheet'!$B$1:$D$101,2,0),0)</f>
        <v>MURATEC</v>
      </c>
      <c r="E30" s="61" t="str">
        <f>IFERROR(VLOOKUP(Table25[[#This Row],[M/c Name]],'[2]New Machine sheet'!$C$1:$D$101,2,0),0)</f>
        <v xml:space="preserve">turning </v>
      </c>
      <c r="F30" s="61">
        <v>127</v>
      </c>
      <c r="G30" s="61">
        <f>IFERROR(VLOOKUP(Table25[[#This Row],[Code2]],'[2]New Machine sheet'!$F$2:$I$64,2,),0)</f>
        <v>24127</v>
      </c>
      <c r="H30" s="61" t="str">
        <f>IFERROR(VLOOKUP(Table25[[#This Row],[Code2]],'[2]New Machine sheet'!$F$2:$I$64,3,0),0)</f>
        <v>RE J1</v>
      </c>
      <c r="I30" s="61" t="s">
        <v>130</v>
      </c>
      <c r="J30" s="61">
        <v>61</v>
      </c>
      <c r="K30" s="61" t="str">
        <f>IFERROR(VLOOKUP(Table25[[#This Row],[Code3]],'[2]New defect code '!$A$2:$D$129,2,0),0)</f>
        <v>Od o/s</v>
      </c>
      <c r="L30" s="61" t="s">
        <v>149</v>
      </c>
      <c r="M30" s="56">
        <v>46266</v>
      </c>
      <c r="N30" s="61">
        <v>1</v>
      </c>
      <c r="O30" s="61"/>
      <c r="P30" s="61"/>
      <c r="Q30" s="61"/>
      <c r="R30" s="61">
        <f>SUBTOTAL(9,Table25[[#This Row],[1st]:[FQC]])</f>
        <v>1</v>
      </c>
      <c r="S30" s="61">
        <f>IFERROR(VLOOKUP(Table25[[#This Row],[Part No.]],'[2]New Machine sheet'!$G$2:$I$90,3,0),0)</f>
        <v>262.81200000000001</v>
      </c>
      <c r="T30" s="61">
        <f>Table25[[#This Row],[cost per piece]]*Table25[[#This Row],[Total Rej. qty]]</f>
        <v>262.81200000000001</v>
      </c>
      <c r="U30" s="61">
        <f>IFERROR(VLOOKUP(Table25[[#This Row],[Non Conformance]],'[2]New defect code '!$B$2:$C$129,2,0),0)</f>
        <v>0</v>
      </c>
      <c r="V30" s="61">
        <v>18</v>
      </c>
      <c r="W30" s="61" t="str">
        <f>IFERROR(VLOOKUP(Table25[[#This Row],[Code4]],'[2]New Reason code'!$A$2:$D$77,2,0),0)</f>
        <v>During insert change</v>
      </c>
      <c r="X30" s="61">
        <f ca="1">#REF!+Table25[[#This Row],[Rejection Identified at]]</f>
        <v>0</v>
      </c>
      <c r="Y30" s="63">
        <f>IFERROR(VLOOKUP(Table25[[#This Row],[Reason]],Coding!A27:C84,3,0),0)</f>
        <v>0</v>
      </c>
    </row>
    <row r="31" spans="1:25" ht="20.25" customHeight="1">
      <c r="A31" s="50">
        <v>27</v>
      </c>
      <c r="B31" s="61">
        <v>47</v>
      </c>
      <c r="C31" s="61" t="str">
        <f>IFERROR(VLOOKUP(Table25[[#This Row],[Code]],'[2]New Machine sheet'!$A$1:$D$101,2,0),0)</f>
        <v>MURATEC-03</v>
      </c>
      <c r="D31" s="61" t="str">
        <f>IFERROR(VLOOKUP(Table25[[#This Row],[M/c No]],'[2]New Machine sheet'!$B$1:$D$101,2,0),0)</f>
        <v>MURATEC</v>
      </c>
      <c r="E31" s="61" t="str">
        <f>IFERROR(VLOOKUP(Table25[[#This Row],[M/c Name]],'[2]New Machine sheet'!$C$1:$D$101,2,0),0)</f>
        <v xml:space="preserve">turning </v>
      </c>
      <c r="F31" s="61">
        <v>127</v>
      </c>
      <c r="G31" s="61">
        <f>IFERROR(VLOOKUP(Table25[[#This Row],[Code2]],'[2]New Machine sheet'!$F$2:$I$64,2,),0)</f>
        <v>24127</v>
      </c>
      <c r="H31" s="61" t="str">
        <f>IFERROR(VLOOKUP(Table25[[#This Row],[Code2]],'[2]New Machine sheet'!$F$2:$I$64,3,0),0)</f>
        <v>RE J1</v>
      </c>
      <c r="I31" s="61" t="s">
        <v>130</v>
      </c>
      <c r="J31" s="61">
        <v>71</v>
      </c>
      <c r="K31" s="61" t="str">
        <f>IFERROR(VLOOKUP(Table25[[#This Row],[Code3]],'[2]New defect code '!$A$2:$D$129,2,0),0)</f>
        <v>PG go not qualify</v>
      </c>
      <c r="L31" s="61" t="s">
        <v>149</v>
      </c>
      <c r="M31" s="56">
        <v>46266</v>
      </c>
      <c r="N31" s="61">
        <v>1</v>
      </c>
      <c r="O31" s="61"/>
      <c r="P31" s="61"/>
      <c r="Q31" s="61"/>
      <c r="R31" s="61">
        <f>SUBTOTAL(9,Table25[[#This Row],[1st]:[FQC]])</f>
        <v>1</v>
      </c>
      <c r="S31" s="61">
        <f>IFERROR(VLOOKUP(Table25[[#This Row],[Part No.]],'[2]New Machine sheet'!$G$2:$I$90,3,0),0)</f>
        <v>262.81200000000001</v>
      </c>
      <c r="T31" s="61">
        <f>Table25[[#This Row],[cost per piece]]*Table25[[#This Row],[Total Rej. qty]]</f>
        <v>262.81200000000001</v>
      </c>
      <c r="U31" s="61">
        <f>IFERROR(VLOOKUP(Table25[[#This Row],[Non Conformance]],'[2]New defect code '!$B$2:$C$129,2,0),0)</f>
        <v>0</v>
      </c>
      <c r="V31" s="61">
        <v>45</v>
      </c>
      <c r="W31" s="61" t="str">
        <f>IFERROR(VLOOKUP(Table25[[#This Row],[Code4]],'[2]New Reason code'!$A$2:$D$77,2,0),0)</f>
        <v>Running m/c</v>
      </c>
      <c r="X31" s="61">
        <f ca="1">#REF!+Table25[[#This Row],[Rejection Identified at]]</f>
        <v>0</v>
      </c>
      <c r="Y31" s="63" t="str">
        <f>IFERROR(VLOOKUP(Table25[[#This Row],[Reason]],Coding!A28:C85,3,0),0)</f>
        <v>Power Cut</v>
      </c>
    </row>
    <row r="32" spans="1:25" ht="20.25" customHeight="1">
      <c r="A32" s="60">
        <v>28</v>
      </c>
      <c r="B32" s="61">
        <v>3</v>
      </c>
      <c r="C32" s="61" t="str">
        <f>IFERROR(VLOOKUP(Table25[[#This Row],[Code]],'[2]New Machine sheet'!$A$1:$D$101,2,0),0)</f>
        <v>282-03</v>
      </c>
      <c r="D32" s="61" t="str">
        <f>IFERROR(VLOOKUP(Table25[[#This Row],[M/c No]],'[2]New Machine sheet'!$B$1:$D$101,2,0),0)</f>
        <v>Mazak</v>
      </c>
      <c r="E32" s="61" t="str">
        <f>IFERROR(VLOOKUP(Table25[[#This Row],[M/c Name]],'[2]New Machine sheet'!$C$1:$D$101,2,0),0)</f>
        <v>Turning</v>
      </c>
      <c r="F32" s="61">
        <v>121</v>
      </c>
      <c r="G32" s="61">
        <f>IFERROR(VLOOKUP(Table25[[#This Row],[Code2]],'[2]New Machine sheet'!$F$2:$I$64,2,),0)</f>
        <v>24121</v>
      </c>
      <c r="H32" s="61" t="str">
        <f>IFERROR(VLOOKUP(Table25[[#This Row],[Code2]],'[2]New Machine sheet'!$F$2:$I$64,3,0),0)</f>
        <v>RE J1</v>
      </c>
      <c r="I32" s="61" t="s">
        <v>127</v>
      </c>
      <c r="J32" s="61">
        <v>73</v>
      </c>
      <c r="K32" s="61" t="str">
        <f>IFERROR(VLOOKUP(Table25[[#This Row],[Code3]],'[2]New defect code '!$A$2:$D$129,2,0),0)</f>
        <v>PG NO go pass (Bush Bore o/s)</v>
      </c>
      <c r="L32" s="61" t="s">
        <v>149</v>
      </c>
      <c r="M32" s="56">
        <v>46266</v>
      </c>
      <c r="N32" s="61">
        <v>1</v>
      </c>
      <c r="O32" s="61"/>
      <c r="P32" s="61"/>
      <c r="Q32" s="61"/>
      <c r="R32" s="61">
        <f>SUBTOTAL(9,Table25[[#This Row],[1st]:[FQC]])</f>
        <v>1</v>
      </c>
      <c r="S32" s="61">
        <f>IFERROR(VLOOKUP(Table25[[#This Row],[Part No.]],'[2]New Machine sheet'!$G$2:$I$90,3,0),0)</f>
        <v>135.66999999999999</v>
      </c>
      <c r="T32" s="61">
        <f>Table25[[#This Row],[cost per piece]]*Table25[[#This Row],[Total Rej. qty]]</f>
        <v>135.66999999999999</v>
      </c>
      <c r="U32" s="61">
        <f>IFERROR(VLOOKUP(Table25[[#This Row],[Non Conformance]],'[2]New defect code '!$B$2:$C$129,2,0),0)</f>
        <v>0</v>
      </c>
      <c r="V32" s="61">
        <v>45</v>
      </c>
      <c r="W32" s="61" t="str">
        <f>IFERROR(VLOOKUP(Table25[[#This Row],[Code4]],'[2]New Reason code'!$A$2:$D$77,2,0),0)</f>
        <v>Running m/c</v>
      </c>
      <c r="X32" s="61">
        <f ca="1">#REF!+Table25[[#This Row],[Rejection Identified at]]</f>
        <v>0</v>
      </c>
      <c r="Y32" s="63" t="str">
        <f>IFERROR(VLOOKUP(Table25[[#This Row],[Reason]],Coding!A29:C86,3,0),0)</f>
        <v>Power Cut</v>
      </c>
    </row>
    <row r="33" spans="1:25" ht="20.25" customHeight="1">
      <c r="A33" s="50">
        <v>29</v>
      </c>
      <c r="B33" s="61">
        <v>44</v>
      </c>
      <c r="C33" s="61" t="str">
        <f>IFERROR(VLOOKUP(Table25[[#This Row],[Code]],'[2]New Machine sheet'!$A$1:$D$101,2,0),0)</f>
        <v>LT20-NEW</v>
      </c>
      <c r="D33" s="61" t="str">
        <f>IFERROR(VLOOKUP(Table25[[#This Row],[M/c No]],'[2]New Machine sheet'!$B$1:$D$101,2,0),0)</f>
        <v>ACE</v>
      </c>
      <c r="E33" s="61" t="str">
        <f>IFERROR(VLOOKUP(Table25[[#This Row],[M/c Name]],'[2]New Machine sheet'!$C$1:$D$101,2,0),0)</f>
        <v xml:space="preserve">turning </v>
      </c>
      <c r="F33" s="61">
        <v>122</v>
      </c>
      <c r="G33" s="61">
        <f>IFERROR(VLOOKUP(Table25[[#This Row],[Code2]],'[2]New Machine sheet'!$F$2:$I$64,2,),0)</f>
        <v>24122</v>
      </c>
      <c r="H33" s="61" t="str">
        <f>IFERROR(VLOOKUP(Table25[[#This Row],[Code2]],'[2]New Machine sheet'!$F$2:$I$64,3,0),0)</f>
        <v>RE J1</v>
      </c>
      <c r="I33" s="61"/>
      <c r="J33" s="61">
        <v>37</v>
      </c>
      <c r="K33" s="61" t="str">
        <f>IFERROR(VLOOKUP(Table25[[#This Row],[Code3]],'[2]New defect code '!$A$2:$D$129,2,0),0)</f>
        <v>Face chatring</v>
      </c>
      <c r="L33" s="61" t="s">
        <v>149</v>
      </c>
      <c r="M33" s="56">
        <v>46266</v>
      </c>
      <c r="N33" s="61"/>
      <c r="O33" s="61">
        <v>1</v>
      </c>
      <c r="P33" s="61"/>
      <c r="Q33" s="61"/>
      <c r="R33" s="61">
        <f>SUBTOTAL(9,Table25[[#This Row],[1st]:[FQC]])</f>
        <v>1</v>
      </c>
      <c r="S33" s="61">
        <f>IFERROR(VLOOKUP(Table25[[#This Row],[Part No.]],'[2]New Machine sheet'!$G$2:$I$90,3,0),0)</f>
        <v>335.39977528089889</v>
      </c>
      <c r="T33" s="61">
        <f>Table25[[#This Row],[cost per piece]]*Table25[[#This Row],[Total Rej. qty]]</f>
        <v>335.39977528089889</v>
      </c>
      <c r="U33" s="61">
        <f>IFERROR(VLOOKUP(Table25[[#This Row],[Non Conformance]],'[2]New defect code '!$B$2:$C$129,2,0),0)</f>
        <v>0</v>
      </c>
      <c r="V33" s="61">
        <v>45</v>
      </c>
      <c r="W33" s="61" t="str">
        <f>IFERROR(VLOOKUP(Table25[[#This Row],[Code4]],'[2]New Reason code'!$A$2:$D$77,2,0),0)</f>
        <v>Running m/c</v>
      </c>
      <c r="X33" s="61">
        <f ca="1">#REF!+Table25[[#This Row],[Rejection Identified at]]</f>
        <v>0</v>
      </c>
      <c r="Y33" s="63" t="str">
        <f>IFERROR(VLOOKUP(Table25[[#This Row],[Reason]],Coding!A30:C87,3,0),0)</f>
        <v>Power Cut</v>
      </c>
    </row>
    <row r="34" spans="1:25" ht="20.25" customHeight="1">
      <c r="A34" s="60">
        <v>30</v>
      </c>
      <c r="B34" s="61">
        <v>25</v>
      </c>
      <c r="C34" s="61" t="str">
        <f>IFERROR(VLOOKUP(Table25[[#This Row],[Code]],'[2]New Machine sheet'!$A$1:$D$101,2,0),0)</f>
        <v>ACE-05</v>
      </c>
      <c r="D34" s="61" t="str">
        <f>IFERROR(VLOOKUP(Table25[[#This Row],[M/c No]],'[2]New Machine sheet'!$B$1:$D$101,2,0),0)</f>
        <v>Micromatic</v>
      </c>
      <c r="E34" s="61" t="str">
        <f>IFERROR(VLOOKUP(Table25[[#This Row],[M/c Name]],'[2]New Machine sheet'!$C$1:$D$101,2,0),0)</f>
        <v>Turning</v>
      </c>
      <c r="F34" s="61">
        <v>122</v>
      </c>
      <c r="G34" s="61">
        <f>IFERROR(VLOOKUP(Table25[[#This Row],[Code2]],'[2]New Machine sheet'!$F$2:$I$64,2,),0)</f>
        <v>24122</v>
      </c>
      <c r="H34" s="61" t="str">
        <f>IFERROR(VLOOKUP(Table25[[#This Row],[Code2]],'[2]New Machine sheet'!$F$2:$I$64,3,0),0)</f>
        <v>RE J1</v>
      </c>
      <c r="I34" s="61" t="s">
        <v>139</v>
      </c>
      <c r="J34" s="61">
        <v>10</v>
      </c>
      <c r="K34" s="61" t="str">
        <f>IFERROR(VLOOKUP(Table25[[#This Row],[Code3]],'[2]New defect code '!$A$2:$D$129,2,0),0)</f>
        <v xml:space="preserve">Bore u/s </v>
      </c>
      <c r="L34" s="61" t="s">
        <v>149</v>
      </c>
      <c r="M34" s="56">
        <v>46266</v>
      </c>
      <c r="N34" s="61"/>
      <c r="O34" s="61">
        <v>2</v>
      </c>
      <c r="P34" s="61"/>
      <c r="Q34" s="61"/>
      <c r="R34" s="61">
        <f>SUBTOTAL(9,Table25[[#This Row],[1st]:[FQC]])</f>
        <v>2</v>
      </c>
      <c r="S34" s="61">
        <f>IFERROR(VLOOKUP(Table25[[#This Row],[Part No.]],'[2]New Machine sheet'!$G$2:$I$90,3,0),0)</f>
        <v>335.39977528089889</v>
      </c>
      <c r="T34" s="61">
        <f>Table25[[#This Row],[cost per piece]]*Table25[[#This Row],[Total Rej. qty]]</f>
        <v>670.79955056179779</v>
      </c>
      <c r="U34" s="61">
        <f>IFERROR(VLOOKUP(Table25[[#This Row],[Non Conformance]],'[2]New defect code '!$B$2:$C$129,2,0),0)</f>
        <v>0</v>
      </c>
      <c r="V34" s="61">
        <v>45</v>
      </c>
      <c r="W34" s="61" t="str">
        <f>IFERROR(VLOOKUP(Table25[[#This Row],[Code4]],'[2]New Reason code'!$A$2:$D$77,2,0),0)</f>
        <v>Running m/c</v>
      </c>
      <c r="X34" s="61">
        <f ca="1">#REF!+Table25[[#This Row],[Rejection Identified at]]</f>
        <v>0</v>
      </c>
      <c r="Y34" s="63" t="str">
        <f>IFERROR(VLOOKUP(Table25[[#This Row],[Reason]],Coding!A31:C88,3,0),0)</f>
        <v>Power Cut</v>
      </c>
    </row>
    <row r="35" spans="1:25" ht="20.25" customHeight="1">
      <c r="A35" s="50">
        <v>31</v>
      </c>
      <c r="B35" s="61">
        <v>2</v>
      </c>
      <c r="C35" s="61" t="str">
        <f>IFERROR(VLOOKUP(Table25[[#This Row],[Code]],'[2]New Machine sheet'!$A$1:$D$101,2,0),0)</f>
        <v>282-02</v>
      </c>
      <c r="D35" s="61" t="str">
        <f>IFERROR(VLOOKUP(Table25[[#This Row],[M/c No]],'[2]New Machine sheet'!$B$1:$D$101,2,0),0)</f>
        <v>Mazak</v>
      </c>
      <c r="E35" s="61" t="str">
        <f>IFERROR(VLOOKUP(Table25[[#This Row],[M/c Name]],'[2]New Machine sheet'!$C$1:$D$101,2,0),0)</f>
        <v>Turning</v>
      </c>
      <c r="F35" s="61">
        <v>77</v>
      </c>
      <c r="G35" s="61">
        <f>IFERROR(VLOOKUP(Table25[[#This Row],[Code2]],'[2]New Machine sheet'!$F$2:$I$64,2,),0)</f>
        <v>2477</v>
      </c>
      <c r="H35" s="61" t="str">
        <f>IFERROR(VLOOKUP(Table25[[#This Row],[Code2]],'[2]New Machine sheet'!$F$2:$I$64,3,0),0)</f>
        <v>RE P1</v>
      </c>
      <c r="I35" s="61" t="s">
        <v>133</v>
      </c>
      <c r="J35" s="61">
        <v>10</v>
      </c>
      <c r="K35" s="61" t="str">
        <f>IFERROR(VLOOKUP(Table25[[#This Row],[Code3]],'[2]New defect code '!$A$2:$D$129,2,0),0)</f>
        <v xml:space="preserve">Bore u/s </v>
      </c>
      <c r="L35" s="61" t="s">
        <v>149</v>
      </c>
      <c r="M35" s="56">
        <v>46266</v>
      </c>
      <c r="N35" s="61"/>
      <c r="O35" s="61">
        <v>2</v>
      </c>
      <c r="P35" s="61"/>
      <c r="Q35" s="61"/>
      <c r="R35" s="61">
        <f>SUBTOTAL(9,Table25[[#This Row],[1st]:[FQC]])</f>
        <v>2</v>
      </c>
      <c r="S35" s="61">
        <f>IFERROR(VLOOKUP(Table25[[#This Row],[Part No.]],'[2]New Machine sheet'!$G$2:$I$90,3,0),0)</f>
        <v>79.064999999999998</v>
      </c>
      <c r="T35" s="61">
        <f>Table25[[#This Row],[cost per piece]]*Table25[[#This Row],[Total Rej. qty]]</f>
        <v>158.13</v>
      </c>
      <c r="U35" s="61">
        <f>IFERROR(VLOOKUP(Table25[[#This Row],[Non Conformance]],'[2]New defect code '!$B$2:$C$129,2,0),0)</f>
        <v>0</v>
      </c>
      <c r="V35" s="61">
        <v>45</v>
      </c>
      <c r="W35" s="61" t="str">
        <f>IFERROR(VLOOKUP(Table25[[#This Row],[Code4]],'[2]New Reason code'!$A$2:$D$77,2,0),0)</f>
        <v>Running m/c</v>
      </c>
      <c r="X35" s="61">
        <f ca="1">#REF!+Table25[[#This Row],[Rejection Identified at]]</f>
        <v>0</v>
      </c>
      <c r="Y35" s="63" t="str">
        <f>IFERROR(VLOOKUP(Table25[[#This Row],[Reason]],Coding!A32:C89,3,0),0)</f>
        <v>Power Cut</v>
      </c>
    </row>
    <row r="36" spans="1:25" ht="20.25" customHeight="1">
      <c r="A36" s="60">
        <v>32</v>
      </c>
      <c r="B36" s="61"/>
      <c r="C36" s="61" t="s">
        <v>150</v>
      </c>
      <c r="D36" s="61" t="s">
        <v>117</v>
      </c>
      <c r="E36" s="61" t="str">
        <f>IFERROR(VLOOKUP(Table25[[#This Row],[M/c Name]],'[2]New Machine sheet'!$C$1:$D$101,2,0),0)</f>
        <v>Turning</v>
      </c>
      <c r="F36" s="61">
        <v>122</v>
      </c>
      <c r="G36" s="61">
        <f>IFERROR(VLOOKUP(Table25[[#This Row],[Code2]],'[2]New Machine sheet'!$F$2:$I$64,2,),0)</f>
        <v>24122</v>
      </c>
      <c r="H36" s="61" t="str">
        <f>IFERROR(VLOOKUP(Table25[[#This Row],[Code2]],'[2]New Machine sheet'!$F$2:$I$64,3,0),0)</f>
        <v>RE J1</v>
      </c>
      <c r="I36" s="61" t="s">
        <v>161</v>
      </c>
      <c r="J36" s="61">
        <v>37</v>
      </c>
      <c r="K36" s="61" t="str">
        <f>IFERROR(VLOOKUP(Table25[[#This Row],[Code3]],'[2]New defect code '!$A$2:$D$129,2,0),0)</f>
        <v>Face chatring</v>
      </c>
      <c r="L36" s="61" t="s">
        <v>149</v>
      </c>
      <c r="M36" s="56">
        <v>46266</v>
      </c>
      <c r="N36" s="61"/>
      <c r="O36" s="61"/>
      <c r="P36" s="61">
        <v>1</v>
      </c>
      <c r="Q36" s="61"/>
      <c r="R36" s="61">
        <f>SUBTOTAL(9,Table25[[#This Row],[1st]:[FQC]])</f>
        <v>1</v>
      </c>
      <c r="S36" s="61">
        <f>IFERROR(VLOOKUP(Table25[[#This Row],[Part No.]],'[2]New Machine sheet'!$G$2:$I$90,3,0),0)</f>
        <v>335.39977528089889</v>
      </c>
      <c r="T36" s="61">
        <f>Table25[[#This Row],[cost per piece]]*Table25[[#This Row],[Total Rej. qty]]</f>
        <v>335.39977528089889</v>
      </c>
      <c r="U36" s="61">
        <f>IFERROR(VLOOKUP(Table25[[#This Row],[Non Conformance]],'[2]New defect code '!$B$2:$C$129,2,0),0)</f>
        <v>0</v>
      </c>
      <c r="V36" s="61">
        <v>45</v>
      </c>
      <c r="W36" s="61" t="str">
        <f>IFERROR(VLOOKUP(Table25[[#This Row],[Code4]],'[2]New Reason code'!$A$2:$D$77,2,0),0)</f>
        <v>Running m/c</v>
      </c>
      <c r="X36" s="61">
        <f ca="1">#REF!+Table25[[#This Row],[Rejection Identified at]]</f>
        <v>0</v>
      </c>
      <c r="Y36" s="63" t="str">
        <f>IFERROR(VLOOKUP(Table25[[#This Row],[Reason]],Coding!A33:C90,3,0),0)</f>
        <v>Power Cut</v>
      </c>
    </row>
    <row r="37" spans="1:25" ht="20.25" customHeight="1">
      <c r="A37" s="50">
        <v>33</v>
      </c>
      <c r="B37" s="61"/>
      <c r="C37" s="61" t="s">
        <v>116</v>
      </c>
      <c r="D37" s="61" t="s">
        <v>117</v>
      </c>
      <c r="E37" s="61" t="str">
        <f>IFERROR(VLOOKUP(Table25[[#This Row],[M/c Name]],'[2]New Machine sheet'!$C$1:$D$101,2,0),0)</f>
        <v>Turning</v>
      </c>
      <c r="F37" s="61">
        <v>127</v>
      </c>
      <c r="G37" s="61">
        <f>IFERROR(VLOOKUP(Table25[[#This Row],[Code2]],'[2]New Machine sheet'!$F$2:$I$64,2,),0)</f>
        <v>24127</v>
      </c>
      <c r="H37" s="61" t="str">
        <f>IFERROR(VLOOKUP(Table25[[#This Row],[Code2]],'[2]New Machine sheet'!$F$2:$I$64,3,0),0)</f>
        <v>RE J1</v>
      </c>
      <c r="I37" s="61" t="s">
        <v>161</v>
      </c>
      <c r="J37" s="61">
        <v>10</v>
      </c>
      <c r="K37" s="61" t="str">
        <f>IFERROR(VLOOKUP(Table25[[#This Row],[Code3]],'[2]New defect code '!$A$2:$D$129,2,0),0)</f>
        <v xml:space="preserve">Bore u/s </v>
      </c>
      <c r="L37" s="61" t="s">
        <v>149</v>
      </c>
      <c r="M37" s="56">
        <v>46266</v>
      </c>
      <c r="N37" s="61"/>
      <c r="O37" s="61"/>
      <c r="P37" s="61">
        <v>1</v>
      </c>
      <c r="Q37" s="61"/>
      <c r="R37" s="61">
        <f>SUBTOTAL(9,Table25[[#This Row],[1st]:[FQC]])</f>
        <v>1</v>
      </c>
      <c r="S37" s="61">
        <f>IFERROR(VLOOKUP(Table25[[#This Row],[Part No.]],'[2]New Machine sheet'!$G$2:$I$90,3,0),0)</f>
        <v>262.81200000000001</v>
      </c>
      <c r="T37" s="61">
        <f>Table25[[#This Row],[cost per piece]]*Table25[[#This Row],[Total Rej. qty]]</f>
        <v>262.81200000000001</v>
      </c>
      <c r="U37" s="61">
        <f>IFERROR(VLOOKUP(Table25[[#This Row],[Non Conformance]],'[2]New defect code '!$B$2:$C$129,2,0),0)</f>
        <v>0</v>
      </c>
      <c r="V37" s="61">
        <v>18</v>
      </c>
      <c r="W37" s="61" t="str">
        <f>IFERROR(VLOOKUP(Table25[[#This Row],[Code4]],'[2]New Reason code'!$A$2:$D$77,2,0),0)</f>
        <v>During insert change</v>
      </c>
      <c r="X37" s="61">
        <f ca="1">#REF!+Table25[[#This Row],[Rejection Identified at]]</f>
        <v>0</v>
      </c>
      <c r="Y37" s="63">
        <f>IFERROR(VLOOKUP(Table25[[#This Row],[Reason]],Coding!A34:C91,3,0),0)</f>
        <v>0</v>
      </c>
    </row>
    <row r="38" spans="1:25" ht="20.25" customHeight="1">
      <c r="A38" s="60">
        <v>34</v>
      </c>
      <c r="B38" s="61">
        <v>21</v>
      </c>
      <c r="C38" s="61" t="str">
        <f>IFERROR(VLOOKUP(Table25[[#This Row],[Code]],'[2]New Machine sheet'!$A$1:$D$101,2,0),0)</f>
        <v>ACE-01</v>
      </c>
      <c r="D38" s="61" t="str">
        <f>IFERROR(VLOOKUP(Table25[[#This Row],[M/c No]],'[2]New Machine sheet'!$B$1:$D$101,2,0),0)</f>
        <v>Micromatic</v>
      </c>
      <c r="E38" s="61" t="str">
        <f>IFERROR(VLOOKUP(Table25[[#This Row],[M/c Name]],'[2]New Machine sheet'!$C$1:$D$101,2,0),0)</f>
        <v>Turning</v>
      </c>
      <c r="F38" s="61">
        <v>121</v>
      </c>
      <c r="G38" s="61">
        <f>IFERROR(VLOOKUP(Table25[[#This Row],[Code2]],'[2]New Machine sheet'!$F$2:$I$64,2,),0)</f>
        <v>24121</v>
      </c>
      <c r="H38" s="61" t="str">
        <f>IFERROR(VLOOKUP(Table25[[#This Row],[Code2]],'[2]New Machine sheet'!$F$2:$I$64,3,0),0)</f>
        <v>RE J1</v>
      </c>
      <c r="I38" s="61" t="s">
        <v>159</v>
      </c>
      <c r="J38" s="61">
        <v>41</v>
      </c>
      <c r="K38" s="61" t="str">
        <f>IFERROR(VLOOKUP(Table25[[#This Row],[Code3]],'[2]New defect code '!$A$2:$D$129,2,0),0)</f>
        <v>Face Less metal</v>
      </c>
      <c r="L38" s="61" t="s">
        <v>149</v>
      </c>
      <c r="M38" s="56">
        <v>46266</v>
      </c>
      <c r="N38" s="61"/>
      <c r="O38" s="61"/>
      <c r="P38" s="61">
        <v>1</v>
      </c>
      <c r="Q38" s="61"/>
      <c r="R38" s="61">
        <f>SUBTOTAL(9,Table25[[#This Row],[1st]:[FQC]])</f>
        <v>1</v>
      </c>
      <c r="S38" s="61">
        <f>IFERROR(VLOOKUP(Table25[[#This Row],[Part No.]],'[2]New Machine sheet'!$G$2:$I$90,3,0),0)</f>
        <v>135.66999999999999</v>
      </c>
      <c r="T38" s="61">
        <f>Table25[[#This Row],[cost per piece]]*Table25[[#This Row],[Total Rej. qty]]</f>
        <v>135.66999999999999</v>
      </c>
      <c r="U38" s="61">
        <f>IFERROR(VLOOKUP(Table25[[#This Row],[Non Conformance]],'[2]New defect code '!$B$2:$C$129,2,0),0)</f>
        <v>3259</v>
      </c>
      <c r="V38" s="61">
        <v>18</v>
      </c>
      <c r="W38" s="61" t="str">
        <f>IFERROR(VLOOKUP(Table25[[#This Row],[Code4]],'[2]New Reason code'!$A$2:$D$77,2,0),0)</f>
        <v>During insert change</v>
      </c>
      <c r="X38" s="61">
        <f ca="1">#REF!+Table25[[#This Row],[Rejection Identified at]]</f>
        <v>0</v>
      </c>
      <c r="Y38" s="63">
        <f>IFERROR(VLOOKUP(Table25[[#This Row],[Reason]],Coding!A35:C92,3,0),0)</f>
        <v>0</v>
      </c>
    </row>
    <row r="39" spans="1:25" ht="20.25" customHeight="1">
      <c r="A39" s="50">
        <v>35</v>
      </c>
      <c r="B39" s="61">
        <v>20</v>
      </c>
      <c r="C39" s="61" t="str">
        <f>IFERROR(VLOOKUP(Table25[[#This Row],[Code]],'[2]New Machine sheet'!$A$1:$D$101,2,0),0)</f>
        <v>282-20</v>
      </c>
      <c r="D39" s="61" t="str">
        <f>IFERROR(VLOOKUP(Table25[[#This Row],[M/c No]],'[2]New Machine sheet'!$B$1:$D$101,2,0),0)</f>
        <v>Mazak</v>
      </c>
      <c r="E39" s="61" t="str">
        <f>IFERROR(VLOOKUP(Table25[[#This Row],[M/c Name]],'[2]New Machine sheet'!$C$1:$D$101,2,0),0)</f>
        <v>Turning</v>
      </c>
      <c r="F39" s="61">
        <v>115</v>
      </c>
      <c r="G39" s="61">
        <f>IFERROR(VLOOKUP(Table25[[#This Row],[Code2]],'[2]New Machine sheet'!$F$2:$I$64,2,),0)</f>
        <v>24115</v>
      </c>
      <c r="H39" s="61" t="str">
        <f>IFERROR(VLOOKUP(Table25[[#This Row],[Code2]],'[2]New Machine sheet'!$F$2:$I$64,3,0),0)</f>
        <v>RE J1</v>
      </c>
      <c r="I39" s="61" t="s">
        <v>143</v>
      </c>
      <c r="J39" s="61">
        <v>41</v>
      </c>
      <c r="K39" s="61" t="str">
        <f>IFERROR(VLOOKUP(Table25[[#This Row],[Code3]],'[2]New defect code '!$A$2:$D$129,2,0),0)</f>
        <v>Face Less metal</v>
      </c>
      <c r="L39" s="61" t="s">
        <v>149</v>
      </c>
      <c r="M39" s="56">
        <v>46266</v>
      </c>
      <c r="N39" s="61"/>
      <c r="O39" s="61"/>
      <c r="P39" s="61">
        <v>2</v>
      </c>
      <c r="Q39" s="61"/>
      <c r="R39" s="61">
        <f>SUBTOTAL(9,Table25[[#This Row],[1st]:[FQC]])</f>
        <v>2</v>
      </c>
      <c r="S39" s="61">
        <f>IFERROR(VLOOKUP(Table25[[#This Row],[Part No.]],'[2]New Machine sheet'!$G$2:$I$90,3,0),0)</f>
        <v>66.900000000000006</v>
      </c>
      <c r="T39" s="61">
        <f>Table25[[#This Row],[cost per piece]]*Table25[[#This Row],[Total Rej. qty]]</f>
        <v>133.80000000000001</v>
      </c>
      <c r="U39" s="61">
        <f>IFERROR(VLOOKUP(Table25[[#This Row],[Non Conformance]],'[2]New defect code '!$B$2:$C$129,2,0),0)</f>
        <v>3259</v>
      </c>
      <c r="V39" s="61">
        <v>45</v>
      </c>
      <c r="W39" s="61" t="str">
        <f>IFERROR(VLOOKUP(Table25[[#This Row],[Code4]],'[2]New Reason code'!$A$2:$D$77,2,0),0)</f>
        <v>Running m/c</v>
      </c>
      <c r="X39" s="61">
        <f ca="1">#REF!+Table25[[#This Row],[Rejection Identified at]]</f>
        <v>0</v>
      </c>
      <c r="Y39" s="63" t="str">
        <f>IFERROR(VLOOKUP(Table25[[#This Row],[Reason]],Coding!A36:C93,3,0),0)</f>
        <v>Power Cut</v>
      </c>
    </row>
    <row r="40" spans="1:25" ht="20.25" customHeight="1">
      <c r="A40" s="60">
        <v>36</v>
      </c>
      <c r="B40" s="61">
        <v>19</v>
      </c>
      <c r="C40" s="61" t="str">
        <f>IFERROR(VLOOKUP(Table25[[#This Row],[Code]],'[2]New Machine sheet'!$A$1:$D$101,2,0),0)</f>
        <v>282-19</v>
      </c>
      <c r="D40" s="61" t="str">
        <f>IFERROR(VLOOKUP(Table25[[#This Row],[M/c No]],'[2]New Machine sheet'!$B$1:$D$101,2,0),0)</f>
        <v>Mazak</v>
      </c>
      <c r="E40" s="61" t="str">
        <f>IFERROR(VLOOKUP(Table25[[#This Row],[M/c Name]],'[2]New Machine sheet'!$C$1:$D$101,2,0),0)</f>
        <v>Turning</v>
      </c>
      <c r="F40" s="61">
        <v>122</v>
      </c>
      <c r="G40" s="61">
        <f>IFERROR(VLOOKUP(Table25[[#This Row],[Code2]],'[2]New Machine sheet'!$F$2:$I$64,2,),0)</f>
        <v>24122</v>
      </c>
      <c r="H40" s="61" t="str">
        <f>IFERROR(VLOOKUP(Table25[[#This Row],[Code2]],'[2]New Machine sheet'!$F$2:$I$64,3,0),0)</f>
        <v>RE J1</v>
      </c>
      <c r="I40" s="61" t="s">
        <v>140</v>
      </c>
      <c r="J40" s="61">
        <v>10</v>
      </c>
      <c r="K40" s="61" t="str">
        <f>IFERROR(VLOOKUP(Table25[[#This Row],[Code3]],'[2]New defect code '!$A$2:$D$129,2,0),0)</f>
        <v xml:space="preserve">Bore u/s </v>
      </c>
      <c r="L40" s="61" t="s">
        <v>149</v>
      </c>
      <c r="M40" s="56">
        <v>46266</v>
      </c>
      <c r="N40" s="61"/>
      <c r="O40" s="61"/>
      <c r="P40" s="61">
        <v>2</v>
      </c>
      <c r="Q40" s="61"/>
      <c r="R40" s="61">
        <f>SUBTOTAL(9,Table25[[#This Row],[1st]:[FQC]])</f>
        <v>2</v>
      </c>
      <c r="S40" s="61">
        <f>IFERROR(VLOOKUP(Table25[[#This Row],[Part No.]],'[2]New Machine sheet'!$G$2:$I$90,3,0),0)</f>
        <v>335.39977528089889</v>
      </c>
      <c r="T40" s="61">
        <f>Table25[[#This Row],[cost per piece]]*Table25[[#This Row],[Total Rej. qty]]</f>
        <v>670.79955056179779</v>
      </c>
      <c r="U40" s="61">
        <f>IFERROR(VLOOKUP(Table25[[#This Row],[Non Conformance]],'[2]New defect code '!$B$2:$C$129,2,0),0)</f>
        <v>0</v>
      </c>
      <c r="V40" s="61">
        <v>18</v>
      </c>
      <c r="W40" s="61" t="str">
        <f>IFERROR(VLOOKUP(Table25[[#This Row],[Code4]],'[2]New Reason code'!$A$2:$D$77,2,0),0)</f>
        <v>During insert change</v>
      </c>
      <c r="X40" s="61">
        <f ca="1">#REF!+Table25[[#This Row],[Rejection Identified at]]</f>
        <v>0</v>
      </c>
      <c r="Y40" s="63">
        <f>IFERROR(VLOOKUP(Table25[[#This Row],[Reason]],Coding!A37:C94,3,0),0)</f>
        <v>0</v>
      </c>
    </row>
    <row r="41" spans="1:25" ht="20.25" customHeight="1">
      <c r="A41" s="50">
        <v>37</v>
      </c>
      <c r="B41" s="61">
        <v>37</v>
      </c>
      <c r="C41" s="61" t="str">
        <f>IFERROR(VLOOKUP(Table25[[#This Row],[Code]],'[2]New Machine sheet'!$A$1:$D$101,2,0),0)</f>
        <v>ACE-17</v>
      </c>
      <c r="D41" s="61" t="str">
        <f>IFERROR(VLOOKUP(Table25[[#This Row],[M/c No]],'[2]New Machine sheet'!$B$1:$D$101,2,0),0)</f>
        <v>Micromatic</v>
      </c>
      <c r="E41" s="61" t="str">
        <f>IFERROR(VLOOKUP(Table25[[#This Row],[M/c Name]],'[2]New Machine sheet'!$C$1:$D$101,2,0),0)</f>
        <v>Turning</v>
      </c>
      <c r="F41" s="61">
        <v>127</v>
      </c>
      <c r="G41" s="61">
        <f>IFERROR(VLOOKUP(Table25[[#This Row],[Code2]],'[2]New Machine sheet'!$F$2:$I$64,2,),0)</f>
        <v>24127</v>
      </c>
      <c r="H41" s="61" t="str">
        <f>IFERROR(VLOOKUP(Table25[[#This Row],[Code2]],'[2]New Machine sheet'!$F$2:$I$64,3,0),0)</f>
        <v>RE J1</v>
      </c>
      <c r="I41" s="61" t="s">
        <v>140</v>
      </c>
      <c r="J41" s="61">
        <v>61</v>
      </c>
      <c r="K41" s="61" t="str">
        <f>IFERROR(VLOOKUP(Table25[[#This Row],[Code3]],'[2]New defect code '!$A$2:$D$129,2,0),0)</f>
        <v>Od o/s</v>
      </c>
      <c r="L41" s="61" t="s">
        <v>149</v>
      </c>
      <c r="M41" s="56">
        <v>46266</v>
      </c>
      <c r="N41" s="61"/>
      <c r="O41" s="61"/>
      <c r="P41" s="61">
        <v>1</v>
      </c>
      <c r="Q41" s="61"/>
      <c r="R41" s="61">
        <f>SUBTOTAL(9,Table25[[#This Row],[1st]:[FQC]])</f>
        <v>1</v>
      </c>
      <c r="S41" s="61">
        <f>IFERROR(VLOOKUP(Table25[[#This Row],[Part No.]],'[2]New Machine sheet'!$G$2:$I$90,3,0),0)</f>
        <v>262.81200000000001</v>
      </c>
      <c r="T41" s="61">
        <f>Table25[[#This Row],[cost per piece]]*Table25[[#This Row],[Total Rej. qty]]</f>
        <v>262.81200000000001</v>
      </c>
      <c r="U41" s="61">
        <f>IFERROR(VLOOKUP(Table25[[#This Row],[Non Conformance]],'[2]New defect code '!$B$2:$C$129,2,0),0)</f>
        <v>0</v>
      </c>
      <c r="V41" s="61">
        <v>45</v>
      </c>
      <c r="W41" s="61" t="str">
        <f>IFERROR(VLOOKUP(Table25[[#This Row],[Code4]],'[2]New Reason code'!$A$2:$D$77,2,0),0)</f>
        <v>Running m/c</v>
      </c>
      <c r="X41" s="61">
        <f ca="1">#REF!+Table25[[#This Row],[Rejection Identified at]]</f>
        <v>0</v>
      </c>
      <c r="Y41" s="63" t="str">
        <f>IFERROR(VLOOKUP(Table25[[#This Row],[Reason]],Coding!A38:C95,3,0),0)</f>
        <v>Power Cut</v>
      </c>
    </row>
    <row r="42" spans="1:25" ht="20.25" customHeight="1">
      <c r="A42" s="60">
        <v>38</v>
      </c>
      <c r="B42" s="61">
        <v>12</v>
      </c>
      <c r="C42" s="61" t="str">
        <f>IFERROR(VLOOKUP(Table25[[#This Row],[Code]],'[2]New Machine sheet'!$A$1:$D$101,2,0),0)</f>
        <v>282-12</v>
      </c>
      <c r="D42" s="61" t="str">
        <f>IFERROR(VLOOKUP(Table25[[#This Row],[M/c No]],'[2]New Machine sheet'!$B$1:$D$101,2,0),0)</f>
        <v>Mazak</v>
      </c>
      <c r="E42" s="61" t="str">
        <f>IFERROR(VLOOKUP(Table25[[#This Row],[M/c Name]],'[2]New Machine sheet'!$C$1:$D$101,2,0),0)</f>
        <v>Turning</v>
      </c>
      <c r="F42" s="61">
        <v>119</v>
      </c>
      <c r="G42" s="61">
        <f>IFERROR(VLOOKUP(Table25[[#This Row],[Code2]],'[2]New Machine sheet'!$F$2:$I$64,2,),0)</f>
        <v>24119</v>
      </c>
      <c r="H42" s="61" t="str">
        <f>IFERROR(VLOOKUP(Table25[[#This Row],[Code2]],'[2]New Machine sheet'!$F$2:$I$64,3,0),0)</f>
        <v>RE J1</v>
      </c>
      <c r="I42" s="61" t="s">
        <v>162</v>
      </c>
      <c r="J42" s="61">
        <v>10</v>
      </c>
      <c r="K42" s="61" t="str">
        <f>IFERROR(VLOOKUP(Table25[[#This Row],[Code3]],'[2]New defect code '!$A$2:$D$129,2,0),0)</f>
        <v xml:space="preserve">Bore u/s </v>
      </c>
      <c r="L42" s="61" t="s">
        <v>149</v>
      </c>
      <c r="M42" s="56">
        <v>46266</v>
      </c>
      <c r="N42" s="61"/>
      <c r="O42" s="61"/>
      <c r="P42" s="61">
        <v>2</v>
      </c>
      <c r="Q42" s="61"/>
      <c r="R42" s="61">
        <f>SUBTOTAL(9,Table25[[#This Row],[1st]:[FQC]])</f>
        <v>2</v>
      </c>
      <c r="S42" s="61">
        <f>IFERROR(VLOOKUP(Table25[[#This Row],[Part No.]],'[2]New Machine sheet'!$G$2:$I$90,3,0),0)</f>
        <v>103.2</v>
      </c>
      <c r="T42" s="61">
        <f>Table25[[#This Row],[cost per piece]]*Table25[[#This Row],[Total Rej. qty]]</f>
        <v>206.4</v>
      </c>
      <c r="U42" s="61">
        <f>IFERROR(VLOOKUP(Table25[[#This Row],[Non Conformance]],'[2]New defect code '!$B$2:$C$129,2,0),0)</f>
        <v>0</v>
      </c>
      <c r="V42" s="61">
        <v>45</v>
      </c>
      <c r="W42" s="61" t="str">
        <f>IFERROR(VLOOKUP(Table25[[#This Row],[Code4]],'[2]New Reason code'!$A$2:$D$77,2,0),0)</f>
        <v>Running m/c</v>
      </c>
      <c r="X42" s="61">
        <f ca="1">#REF!+Table25[[#This Row],[Rejection Identified at]]</f>
        <v>0</v>
      </c>
      <c r="Y42" s="63" t="str">
        <f>IFERROR(VLOOKUP(Table25[[#This Row],[Reason]],Coding!A39:C96,3,0),0)</f>
        <v>Power Cut</v>
      </c>
    </row>
    <row r="43" spans="1:25" ht="20.25" customHeight="1">
      <c r="A43" s="50">
        <v>39</v>
      </c>
      <c r="B43" s="61"/>
      <c r="C43" s="61" t="s">
        <v>116</v>
      </c>
      <c r="D43" s="61" t="s">
        <v>117</v>
      </c>
      <c r="E43" s="61" t="str">
        <f>IFERROR(VLOOKUP(Table25[[#This Row],[M/c Name]],'[2]New Machine sheet'!$C$1:$D$101,2,0),0)</f>
        <v>Turning</v>
      </c>
      <c r="F43" s="61">
        <v>127</v>
      </c>
      <c r="G43" s="61">
        <f>IFERROR(VLOOKUP(Table25[[#This Row],[Code2]],'[2]New Machine sheet'!$F$2:$I$64,2,),0)</f>
        <v>24127</v>
      </c>
      <c r="H43" s="61" t="str">
        <f>IFERROR(VLOOKUP(Table25[[#This Row],[Code2]],'[2]New Machine sheet'!$F$2:$I$64,3,0),0)</f>
        <v>RE J1</v>
      </c>
      <c r="I43" s="61" t="s">
        <v>173</v>
      </c>
      <c r="J43" s="61">
        <v>45</v>
      </c>
      <c r="K43" s="61" t="str">
        <f>IFERROR(VLOOKUP(Table25[[#This Row],[Code3]],'[2]New defect code '!$A$2:$D$129,2,0),0)</f>
        <v>Face step part</v>
      </c>
      <c r="L43" s="61" t="s">
        <v>163</v>
      </c>
      <c r="M43" s="56">
        <v>46266</v>
      </c>
      <c r="N43" s="61">
        <v>3</v>
      </c>
      <c r="O43" s="61"/>
      <c r="P43" s="61"/>
      <c r="Q43" s="61"/>
      <c r="R43" s="61">
        <f>SUBTOTAL(9,Table25[[#This Row],[1st]:[FQC]])</f>
        <v>3</v>
      </c>
      <c r="S43" s="61">
        <f>IFERROR(VLOOKUP(Table25[[#This Row],[Part No.]],'[2]New Machine sheet'!$G$2:$I$90,3,0),0)</f>
        <v>262.81200000000001</v>
      </c>
      <c r="T43" s="61">
        <f>Table25[[#This Row],[cost per piece]]*Table25[[#This Row],[Total Rej. qty]]</f>
        <v>788.43600000000004</v>
      </c>
      <c r="U43" s="61">
        <f>IFERROR(VLOOKUP(Table25[[#This Row],[Non Conformance]],'[2]New defect code '!$B$2:$C$129,2,0),0)</f>
        <v>0</v>
      </c>
      <c r="V43" s="61">
        <v>45</v>
      </c>
      <c r="W43" s="61" t="str">
        <f>IFERROR(VLOOKUP(Table25[[#This Row],[Code4]],'[2]New Reason code'!$A$2:$D$77,2,0),0)</f>
        <v>Running m/c</v>
      </c>
      <c r="X43" s="61">
        <f ca="1">#REF!+Table25[[#This Row],[Rejection Identified at]]</f>
        <v>0</v>
      </c>
      <c r="Y43" s="63" t="str">
        <f>IFERROR(VLOOKUP(Table25[[#This Row],[Reason]],Coding!A40:C97,3,0),0)</f>
        <v>Power Cut</v>
      </c>
    </row>
    <row r="44" spans="1:25" ht="20.25" customHeight="1">
      <c r="A44" s="60">
        <v>40</v>
      </c>
      <c r="B44" s="61">
        <v>15</v>
      </c>
      <c r="C44" s="61" t="str">
        <f>IFERROR(VLOOKUP(Table25[[#This Row],[Code]],'[2]New Machine sheet'!$A$1:$D$101,2,0),0)</f>
        <v>282-15</v>
      </c>
      <c r="D44" s="61" t="str">
        <f>IFERROR(VLOOKUP(Table25[[#This Row],[M/c No]],'[2]New Machine sheet'!$B$1:$D$101,2,0),0)</f>
        <v>Mazak</v>
      </c>
      <c r="E44" s="61" t="str">
        <f>IFERROR(VLOOKUP(Table25[[#This Row],[M/c Name]],'[2]New Machine sheet'!$C$1:$D$101,2,0),0)</f>
        <v>Turning</v>
      </c>
      <c r="F44" s="61">
        <v>127</v>
      </c>
      <c r="G44" s="61">
        <f>IFERROR(VLOOKUP(Table25[[#This Row],[Code2]],'[2]New Machine sheet'!$F$2:$I$64,2,),0)</f>
        <v>24127</v>
      </c>
      <c r="H44" s="61" t="str">
        <f>IFERROR(VLOOKUP(Table25[[#This Row],[Code2]],'[2]New Machine sheet'!$F$2:$I$64,3,0),0)</f>
        <v>RE J1</v>
      </c>
      <c r="I44" s="61" t="s">
        <v>129</v>
      </c>
      <c r="J44" s="61">
        <v>61</v>
      </c>
      <c r="K44" s="61" t="str">
        <f>IFERROR(VLOOKUP(Table25[[#This Row],[Code3]],'[2]New defect code '!$A$2:$D$129,2,0),0)</f>
        <v>Od o/s</v>
      </c>
      <c r="L44" s="61" t="s">
        <v>163</v>
      </c>
      <c r="M44" s="56">
        <v>46266</v>
      </c>
      <c r="N44" s="61">
        <v>4</v>
      </c>
      <c r="O44" s="61"/>
      <c r="P44" s="61"/>
      <c r="Q44" s="61"/>
      <c r="R44" s="61">
        <f>SUBTOTAL(9,Table25[[#This Row],[1st]:[FQC]])</f>
        <v>4</v>
      </c>
      <c r="S44" s="61">
        <f>IFERROR(VLOOKUP(Table25[[#This Row],[Part No.]],'[2]New Machine sheet'!$G$2:$I$90,3,0),0)</f>
        <v>262.81200000000001</v>
      </c>
      <c r="T44" s="61">
        <f>Table25[[#This Row],[cost per piece]]*Table25[[#This Row],[Total Rej. qty]]</f>
        <v>1051.248</v>
      </c>
      <c r="U44" s="61">
        <f>IFERROR(VLOOKUP(Table25[[#This Row],[Non Conformance]],'[2]New defect code '!$B$2:$C$129,2,0),0)</f>
        <v>0</v>
      </c>
      <c r="V44" s="61">
        <v>45</v>
      </c>
      <c r="W44" s="61" t="str">
        <f>IFERROR(VLOOKUP(Table25[[#This Row],[Code4]],'[2]New Reason code'!$A$2:$D$77,2,0),0)</f>
        <v>Running m/c</v>
      </c>
      <c r="X44" s="61">
        <f ca="1">#REF!+Table25[[#This Row],[Rejection Identified at]]</f>
        <v>0</v>
      </c>
      <c r="Y44" s="63" t="str">
        <f>IFERROR(VLOOKUP(Table25[[#This Row],[Reason]],Coding!A41:C98,3,0),0)</f>
        <v>Power Cut</v>
      </c>
    </row>
    <row r="45" spans="1:25" ht="20.25" customHeight="1">
      <c r="A45" s="50">
        <v>41</v>
      </c>
      <c r="B45" s="61">
        <v>40</v>
      </c>
      <c r="C45" s="61" t="str">
        <f>IFERROR(VLOOKUP(Table25[[#This Row],[Code]],'[2]New Machine sheet'!$A$1:$D$101,2,0),0)</f>
        <v>ACE-20</v>
      </c>
      <c r="D45" s="61" t="str">
        <f>IFERROR(VLOOKUP(Table25[[#This Row],[M/c No]],'[2]New Machine sheet'!$B$1:$D$101,2,0),0)</f>
        <v>Micromatic</v>
      </c>
      <c r="E45" s="61" t="str">
        <f>IFERROR(VLOOKUP(Table25[[#This Row],[M/c Name]],'[2]New Machine sheet'!$C$1:$D$101,2,0),0)</f>
        <v>Turning</v>
      </c>
      <c r="F45" s="61">
        <v>122</v>
      </c>
      <c r="G45" s="61">
        <f>IFERROR(VLOOKUP(Table25[[#This Row],[Code2]],'[2]New Machine sheet'!$F$2:$I$64,2,),0)</f>
        <v>24122</v>
      </c>
      <c r="H45" s="61" t="str">
        <f>IFERROR(VLOOKUP(Table25[[#This Row],[Code2]],'[2]New Machine sheet'!$F$2:$I$64,3,0),0)</f>
        <v>RE J1</v>
      </c>
      <c r="I45" s="61" t="s">
        <v>131</v>
      </c>
      <c r="J45" s="61">
        <v>41</v>
      </c>
      <c r="K45" s="61" t="str">
        <f>IFERROR(VLOOKUP(Table25[[#This Row],[Code3]],'[2]New defect code '!$A$2:$D$129,2,0),0)</f>
        <v>Face Less metal</v>
      </c>
      <c r="L45" s="61" t="s">
        <v>163</v>
      </c>
      <c r="M45" s="56">
        <v>46266</v>
      </c>
      <c r="N45" s="61">
        <v>1</v>
      </c>
      <c r="O45" s="61"/>
      <c r="P45" s="61"/>
      <c r="Q45" s="61"/>
      <c r="R45" s="61">
        <f>SUBTOTAL(9,Table25[[#This Row],[1st]:[FQC]])</f>
        <v>1</v>
      </c>
      <c r="S45" s="61">
        <f>IFERROR(VLOOKUP(Table25[[#This Row],[Part No.]],'[2]New Machine sheet'!$G$2:$I$90,3,0),0)</f>
        <v>335.39977528089889</v>
      </c>
      <c r="T45" s="61">
        <f>Table25[[#This Row],[cost per piece]]*Table25[[#This Row],[Total Rej. qty]]</f>
        <v>335.39977528089889</v>
      </c>
      <c r="U45" s="61">
        <f>IFERROR(VLOOKUP(Table25[[#This Row],[Non Conformance]],'[2]New defect code '!$B$2:$C$129,2,0),0)</f>
        <v>3259</v>
      </c>
      <c r="V45" s="61">
        <v>45</v>
      </c>
      <c r="W45" s="61" t="str">
        <f>IFERROR(VLOOKUP(Table25[[#This Row],[Code4]],'[2]New Reason code'!$A$2:$D$77,2,0),0)</f>
        <v>Running m/c</v>
      </c>
      <c r="X45" s="61">
        <f ca="1">#REF!+Table25[[#This Row],[Rejection Identified at]]</f>
        <v>0</v>
      </c>
      <c r="Y45" s="63" t="str">
        <f>IFERROR(VLOOKUP(Table25[[#This Row],[Reason]],Coding!A42:C99,3,0),0)</f>
        <v>Power Cut</v>
      </c>
    </row>
    <row r="46" spans="1:25" ht="20.25" customHeight="1">
      <c r="A46" s="60">
        <v>42</v>
      </c>
      <c r="B46" s="61">
        <v>17</v>
      </c>
      <c r="C46" s="61" t="str">
        <f>IFERROR(VLOOKUP(Table25[[#This Row],[Code]],'[2]New Machine sheet'!$A$1:$D$101,2,0),0)</f>
        <v>282-17</v>
      </c>
      <c r="D46" s="61" t="str">
        <f>IFERROR(VLOOKUP(Table25[[#This Row],[M/c No]],'[2]New Machine sheet'!$B$1:$D$101,2,0),0)</f>
        <v>Mazak</v>
      </c>
      <c r="E46" s="61" t="str">
        <f>IFERROR(VLOOKUP(Table25[[#This Row],[M/c Name]],'[2]New Machine sheet'!$C$1:$D$101,2,0),0)</f>
        <v>Turning</v>
      </c>
      <c r="F46" s="61">
        <v>113</v>
      </c>
      <c r="G46" s="61">
        <f>IFERROR(VLOOKUP(Table25[[#This Row],[Code2]],'[2]New Machine sheet'!$F$2:$I$64,2,),0)</f>
        <v>24113</v>
      </c>
      <c r="H46" s="61" t="str">
        <f>IFERROR(VLOOKUP(Table25[[#This Row],[Code2]],'[2]New Machine sheet'!$F$2:$I$64,3,0),0)</f>
        <v>RE J1</v>
      </c>
      <c r="I46" s="61" t="s">
        <v>174</v>
      </c>
      <c r="J46" s="61">
        <v>49</v>
      </c>
      <c r="K46" s="61" t="str">
        <f>IFERROR(VLOOKUP(Table25[[#This Row],[Code3]],'[2]New defect code '!$A$2:$D$129,2,0),0)</f>
        <v>Thickness over size</v>
      </c>
      <c r="L46" s="61" t="s">
        <v>163</v>
      </c>
      <c r="M46" s="56">
        <v>46266</v>
      </c>
      <c r="N46" s="61">
        <v>2</v>
      </c>
      <c r="O46" s="61"/>
      <c r="P46" s="61"/>
      <c r="Q46" s="61"/>
      <c r="R46" s="61">
        <f>SUBTOTAL(9,Table25[[#This Row],[1st]:[FQC]])</f>
        <v>2</v>
      </c>
      <c r="S46" s="61">
        <f>IFERROR(VLOOKUP(Table25[[#This Row],[Part No.]],'[2]New Machine sheet'!$G$2:$I$90,3,0),0)</f>
        <v>90</v>
      </c>
      <c r="T46" s="61">
        <f>Table25[[#This Row],[cost per piece]]*Table25[[#This Row],[Total Rej. qty]]</f>
        <v>180</v>
      </c>
      <c r="U46" s="61">
        <f>IFERROR(VLOOKUP(Table25[[#This Row],[Non Conformance]],'[2]New defect code '!$B$2:$C$129,2,0),0)</f>
        <v>0</v>
      </c>
      <c r="V46" s="61">
        <v>18</v>
      </c>
      <c r="W46" s="61" t="str">
        <f>IFERROR(VLOOKUP(Table25[[#This Row],[Code4]],'[2]New Reason code'!$A$2:$D$77,2,0),0)</f>
        <v>During insert change</v>
      </c>
      <c r="X46" s="61">
        <f ca="1">#REF!+Table25[[#This Row],[Rejection Identified at]]</f>
        <v>0</v>
      </c>
      <c r="Y46" s="63">
        <f>IFERROR(VLOOKUP(Table25[[#This Row],[Reason]],Coding!A43:C100,3,0),0)</f>
        <v>0</v>
      </c>
    </row>
    <row r="47" spans="1:25" ht="20.25" customHeight="1">
      <c r="A47" s="50">
        <v>43</v>
      </c>
      <c r="B47" s="61">
        <v>47</v>
      </c>
      <c r="C47" s="61" t="str">
        <f>IFERROR(VLOOKUP(Table25[[#This Row],[Code]],'[2]New Machine sheet'!$A$1:$D$101,2,0),0)</f>
        <v>MURATEC-03</v>
      </c>
      <c r="D47" s="61" t="str">
        <f>IFERROR(VLOOKUP(Table25[[#This Row],[M/c No]],'[2]New Machine sheet'!$B$1:$D$101,2,0),0)</f>
        <v>MURATEC</v>
      </c>
      <c r="E47" s="61" t="str">
        <f>IFERROR(VLOOKUP(Table25[[#This Row],[M/c Name]],'[2]New Machine sheet'!$C$1:$D$101,2,0),0)</f>
        <v xml:space="preserve">turning </v>
      </c>
      <c r="F47" s="61">
        <v>127</v>
      </c>
      <c r="G47" s="61">
        <f>IFERROR(VLOOKUP(Table25[[#This Row],[Code2]],'[2]New Machine sheet'!$F$2:$I$64,2,),0)</f>
        <v>24127</v>
      </c>
      <c r="H47" s="61" t="str">
        <f>IFERROR(VLOOKUP(Table25[[#This Row],[Code2]],'[2]New Machine sheet'!$F$2:$I$64,3,0),0)</f>
        <v>RE J1</v>
      </c>
      <c r="I47" s="61" t="s">
        <v>130</v>
      </c>
      <c r="J47" s="61">
        <v>61</v>
      </c>
      <c r="K47" s="61" t="str">
        <f>IFERROR(VLOOKUP(Table25[[#This Row],[Code3]],'[2]New defect code '!$A$2:$D$129,2,0),0)</f>
        <v>Od o/s</v>
      </c>
      <c r="L47" s="61" t="s">
        <v>163</v>
      </c>
      <c r="M47" s="56">
        <v>46266</v>
      </c>
      <c r="N47" s="61">
        <v>3</v>
      </c>
      <c r="O47" s="61"/>
      <c r="P47" s="61"/>
      <c r="Q47" s="61"/>
      <c r="R47" s="61">
        <f>SUBTOTAL(9,Table25[[#This Row],[1st]:[FQC]])</f>
        <v>3</v>
      </c>
      <c r="S47" s="61">
        <f>IFERROR(VLOOKUP(Table25[[#This Row],[Part No.]],'[2]New Machine sheet'!$G$2:$I$90,3,0),0)</f>
        <v>262.81200000000001</v>
      </c>
      <c r="T47" s="61">
        <f>Table25[[#This Row],[cost per piece]]*Table25[[#This Row],[Total Rej. qty]]</f>
        <v>788.43600000000004</v>
      </c>
      <c r="U47" s="61">
        <f>IFERROR(VLOOKUP(Table25[[#This Row],[Non Conformance]],'[2]New defect code '!$B$2:$C$129,2,0),0)</f>
        <v>0</v>
      </c>
      <c r="V47" s="61">
        <v>51</v>
      </c>
      <c r="W47" s="61" t="str">
        <f>IFERROR(VLOOKUP(Table25[[#This Row],[Code4]],'[2]New Reason code'!$A$2:$D$77,2,0),0)</f>
        <v>Size veriation on m/c</v>
      </c>
      <c r="X47" s="61">
        <f ca="1">#REF!+Table25[[#This Row],[Rejection Identified at]]</f>
        <v>0</v>
      </c>
      <c r="Y47" s="63">
        <f>IFERROR(VLOOKUP(Table25[[#This Row],[Reason]],Coding!A44:C101,3,0),0)</f>
        <v>0</v>
      </c>
    </row>
    <row r="48" spans="1:25" ht="20.25" customHeight="1">
      <c r="A48" s="60">
        <v>44</v>
      </c>
      <c r="B48" s="61">
        <v>4</v>
      </c>
      <c r="C48" s="61" t="str">
        <f>IFERROR(VLOOKUP(Table25[[#This Row],[Code]],'[2]New Machine sheet'!$A$1:$D$101,2,0),0)</f>
        <v>282-04</v>
      </c>
      <c r="D48" s="61" t="str">
        <f>IFERROR(VLOOKUP(Table25[[#This Row],[M/c No]],'[2]New Machine sheet'!$B$1:$D$101,2,0),0)</f>
        <v>Mazak</v>
      </c>
      <c r="E48" s="61" t="str">
        <f>IFERROR(VLOOKUP(Table25[[#This Row],[M/c Name]],'[2]New Machine sheet'!$C$1:$D$101,2,0),0)</f>
        <v>Turning</v>
      </c>
      <c r="F48" s="61">
        <v>117</v>
      </c>
      <c r="G48" s="61">
        <f>IFERROR(VLOOKUP(Table25[[#This Row],[Code2]],'[2]New Machine sheet'!$F$2:$I$64,2,),0)</f>
        <v>24117</v>
      </c>
      <c r="H48" s="61" t="str">
        <f>IFERROR(VLOOKUP(Table25[[#This Row],[Code2]],'[2]New Machine sheet'!$F$2:$I$64,3,0),0)</f>
        <v>RE J1</v>
      </c>
      <c r="I48" s="61" t="s">
        <v>141</v>
      </c>
      <c r="J48" s="61">
        <v>41</v>
      </c>
      <c r="K48" s="61" t="str">
        <f>IFERROR(VLOOKUP(Table25[[#This Row],[Code3]],'[2]New defect code '!$A$2:$D$129,2,0),0)</f>
        <v>Face Less metal</v>
      </c>
      <c r="L48" s="61" t="s">
        <v>163</v>
      </c>
      <c r="M48" s="56">
        <v>46266</v>
      </c>
      <c r="N48" s="61">
        <v>8</v>
      </c>
      <c r="O48" s="61"/>
      <c r="P48" s="61"/>
      <c r="Q48" s="61"/>
      <c r="R48" s="61">
        <f>SUBTOTAL(9,Table25[[#This Row],[1st]:[FQC]])</f>
        <v>8</v>
      </c>
      <c r="S48" s="61">
        <f>IFERROR(VLOOKUP(Table25[[#This Row],[Part No.]],'[2]New Machine sheet'!$G$2:$I$90,3,0),0)</f>
        <v>111.97</v>
      </c>
      <c r="T48" s="61">
        <f>Table25[[#This Row],[cost per piece]]*Table25[[#This Row],[Total Rej. qty]]</f>
        <v>895.76</v>
      </c>
      <c r="U48" s="61">
        <f>IFERROR(VLOOKUP(Table25[[#This Row],[Non Conformance]],'[2]New defect code '!$B$2:$C$129,2,0),0)</f>
        <v>3259</v>
      </c>
      <c r="V48" s="61">
        <v>17</v>
      </c>
      <c r="W48" s="61" t="str">
        <f>IFERROR(VLOOKUP(Table25[[#This Row],[Code4]],'[2]New Reason code'!$A$2:$D$77,2,0),0)</f>
        <v>during insert broken</v>
      </c>
      <c r="X48" s="61">
        <f ca="1">#REF!+Table25[[#This Row],[Rejection Identified at]]</f>
        <v>0</v>
      </c>
      <c r="Y48" s="63">
        <f>IFERROR(VLOOKUP(Table25[[#This Row],[Reason]],Coding!A45:C102,3,0),0)</f>
        <v>0</v>
      </c>
    </row>
    <row r="49" spans="1:25" ht="20.25" customHeight="1">
      <c r="A49" s="50">
        <v>45</v>
      </c>
      <c r="B49" s="61">
        <v>37</v>
      </c>
      <c r="C49" s="61" t="str">
        <f>IFERROR(VLOOKUP(Table25[[#This Row],[Code]],'[2]New Machine sheet'!$A$1:$D$101,2,0),0)</f>
        <v>ACE-17</v>
      </c>
      <c r="D49" s="61" t="str">
        <f>IFERROR(VLOOKUP(Table25[[#This Row],[M/c No]],'[2]New Machine sheet'!$B$1:$D$101,2,0),0)</f>
        <v>Micromatic</v>
      </c>
      <c r="E49" s="61" t="str">
        <f>IFERROR(VLOOKUP(Table25[[#This Row],[M/c Name]],'[2]New Machine sheet'!$C$1:$D$101,2,0),0)</f>
        <v>Turning</v>
      </c>
      <c r="F49" s="61">
        <v>127</v>
      </c>
      <c r="G49" s="61">
        <f>IFERROR(VLOOKUP(Table25[[#This Row],[Code2]],'[2]New Machine sheet'!$F$2:$I$64,2,),0)</f>
        <v>24127</v>
      </c>
      <c r="H49" s="61" t="str">
        <f>IFERROR(VLOOKUP(Table25[[#This Row],[Code2]],'[2]New Machine sheet'!$F$2:$I$64,3,0),0)</f>
        <v>RE J1</v>
      </c>
      <c r="I49" s="61" t="s">
        <v>137</v>
      </c>
      <c r="J49" s="61">
        <v>61</v>
      </c>
      <c r="K49" s="61" t="str">
        <f>IFERROR(VLOOKUP(Table25[[#This Row],[Code3]],'[2]New defect code '!$A$2:$D$129,2,0),0)</f>
        <v>Od o/s</v>
      </c>
      <c r="L49" s="61" t="s">
        <v>163</v>
      </c>
      <c r="M49" s="56">
        <v>46266</v>
      </c>
      <c r="N49" s="61"/>
      <c r="O49" s="61">
        <v>2</v>
      </c>
      <c r="P49" s="61"/>
      <c r="Q49" s="61"/>
      <c r="R49" s="61">
        <f>SUBTOTAL(9,Table25[[#This Row],[1st]:[FQC]])</f>
        <v>2</v>
      </c>
      <c r="S49" s="61">
        <f>IFERROR(VLOOKUP(Table25[[#This Row],[Part No.]],'[2]New Machine sheet'!$G$2:$I$90,3,0),0)</f>
        <v>262.81200000000001</v>
      </c>
      <c r="T49" s="61">
        <f>Table25[[#This Row],[cost per piece]]*Table25[[#This Row],[Total Rej. qty]]</f>
        <v>525.62400000000002</v>
      </c>
      <c r="U49" s="61">
        <f>IFERROR(VLOOKUP(Table25[[#This Row],[Non Conformance]],'[2]New defect code '!$B$2:$C$129,2,0),0)</f>
        <v>0</v>
      </c>
      <c r="V49" s="61">
        <v>18</v>
      </c>
      <c r="W49" s="61" t="str">
        <f>IFERROR(VLOOKUP(Table25[[#This Row],[Code4]],'[2]New Reason code'!$A$2:$D$77,2,0),0)</f>
        <v>During insert change</v>
      </c>
      <c r="X49" s="61">
        <f ca="1">#REF!+Table25[[#This Row],[Rejection Identified at]]</f>
        <v>0</v>
      </c>
      <c r="Y49" s="63">
        <f>IFERROR(VLOOKUP(Table25[[#This Row],[Reason]],Coding!A46:C103,3,0),0)</f>
        <v>0</v>
      </c>
    </row>
    <row r="50" spans="1:25" ht="20.25" customHeight="1">
      <c r="A50" s="60">
        <v>46</v>
      </c>
      <c r="B50" s="61">
        <v>15</v>
      </c>
      <c r="C50" s="61" t="str">
        <f>IFERROR(VLOOKUP(Table25[[#This Row],[Code]],'[2]New Machine sheet'!$A$1:$D$101,2,0),0)</f>
        <v>282-15</v>
      </c>
      <c r="D50" s="61" t="str">
        <f>IFERROR(VLOOKUP(Table25[[#This Row],[M/c No]],'[2]New Machine sheet'!$B$1:$D$101,2,0),0)</f>
        <v>Mazak</v>
      </c>
      <c r="E50" s="61" t="str">
        <f>IFERROR(VLOOKUP(Table25[[#This Row],[M/c Name]],'[2]New Machine sheet'!$C$1:$D$101,2,0),0)</f>
        <v>Turning</v>
      </c>
      <c r="F50" s="61">
        <v>127</v>
      </c>
      <c r="G50" s="61">
        <f>IFERROR(VLOOKUP(Table25[[#This Row],[Code2]],'[2]New Machine sheet'!$F$2:$I$64,2,),0)</f>
        <v>24127</v>
      </c>
      <c r="H50" s="61" t="str">
        <f>IFERROR(VLOOKUP(Table25[[#This Row],[Code2]],'[2]New Machine sheet'!$F$2:$I$64,3,0),0)</f>
        <v>RE J1</v>
      </c>
      <c r="I50" s="61" t="s">
        <v>175</v>
      </c>
      <c r="J50" s="61">
        <v>62</v>
      </c>
      <c r="K50" s="61" t="str">
        <f>IFERROR(VLOOKUP(Table25[[#This Row],[Code3]],'[2]New defect code '!$A$2:$D$129,2,0),0)</f>
        <v>OD Ovality</v>
      </c>
      <c r="L50" s="61" t="s">
        <v>163</v>
      </c>
      <c r="M50" s="56">
        <v>46266</v>
      </c>
      <c r="N50" s="61"/>
      <c r="O50" s="61">
        <v>1</v>
      </c>
      <c r="P50" s="61"/>
      <c r="Q50" s="61"/>
      <c r="R50" s="61">
        <f>SUBTOTAL(9,Table25[[#This Row],[1st]:[FQC]])</f>
        <v>1</v>
      </c>
      <c r="S50" s="61">
        <f>IFERROR(VLOOKUP(Table25[[#This Row],[Part No.]],'[2]New Machine sheet'!$G$2:$I$90,3,0),0)</f>
        <v>262.81200000000001</v>
      </c>
      <c r="T50" s="61">
        <f>Table25[[#This Row],[cost per piece]]*Table25[[#This Row],[Total Rej. qty]]</f>
        <v>262.81200000000001</v>
      </c>
      <c r="U50" s="61">
        <f>IFERROR(VLOOKUP(Table25[[#This Row],[Non Conformance]],'[2]New defect code '!$B$2:$C$129,2,0),0)</f>
        <v>3281</v>
      </c>
      <c r="V50" s="61">
        <v>45</v>
      </c>
      <c r="W50" s="61" t="str">
        <f>IFERROR(VLOOKUP(Table25[[#This Row],[Code4]],'[2]New Reason code'!$A$2:$D$77,2,0),0)</f>
        <v>Running m/c</v>
      </c>
      <c r="X50" s="61">
        <f ca="1">#REF!+Table25[[#This Row],[Rejection Identified at]]</f>
        <v>0</v>
      </c>
      <c r="Y50" s="63">
        <f>IFERROR(VLOOKUP(Table25[[#This Row],[Reason]],Coding!A47:C104,3,0),0)</f>
        <v>0</v>
      </c>
    </row>
    <row r="51" spans="1:25" ht="20.25" customHeight="1">
      <c r="A51" s="50">
        <v>47</v>
      </c>
      <c r="B51" s="61">
        <v>40</v>
      </c>
      <c r="C51" s="61" t="str">
        <f>IFERROR(VLOOKUP(Table25[[#This Row],[Code]],'[2]New Machine sheet'!$A$1:$D$101,2,0),0)</f>
        <v>ACE-20</v>
      </c>
      <c r="D51" s="61" t="str">
        <f>IFERROR(VLOOKUP(Table25[[#This Row],[M/c No]],'[2]New Machine sheet'!$B$1:$D$101,2,0),0)</f>
        <v>Micromatic</v>
      </c>
      <c r="E51" s="61" t="str">
        <f>IFERROR(VLOOKUP(Table25[[#This Row],[M/c Name]],'[2]New Machine sheet'!$C$1:$D$101,2,0),0)</f>
        <v>Turning</v>
      </c>
      <c r="F51" s="61">
        <v>122</v>
      </c>
      <c r="G51" s="61">
        <f>IFERROR(VLOOKUP(Table25[[#This Row],[Code2]],'[2]New Machine sheet'!$F$2:$I$64,2,),0)</f>
        <v>24122</v>
      </c>
      <c r="H51" s="61" t="str">
        <f>IFERROR(VLOOKUP(Table25[[#This Row],[Code2]],'[2]New Machine sheet'!$F$2:$I$64,3,0),0)</f>
        <v>RE J1</v>
      </c>
      <c r="I51" s="61" t="s">
        <v>176</v>
      </c>
      <c r="J51" s="61">
        <v>49</v>
      </c>
      <c r="K51" s="61" t="str">
        <f>IFERROR(VLOOKUP(Table25[[#This Row],[Code3]],'[2]New defect code '!$A$2:$D$129,2,0),0)</f>
        <v>Thickness over size</v>
      </c>
      <c r="L51" s="61" t="s">
        <v>163</v>
      </c>
      <c r="M51" s="56">
        <v>46266</v>
      </c>
      <c r="N51" s="61"/>
      <c r="O51" s="61">
        <v>1</v>
      </c>
      <c r="P51" s="61"/>
      <c r="Q51" s="61"/>
      <c r="R51" s="61">
        <f>SUBTOTAL(9,Table25[[#This Row],[1st]:[FQC]])</f>
        <v>1</v>
      </c>
      <c r="S51" s="61">
        <f>IFERROR(VLOOKUP(Table25[[#This Row],[Part No.]],'[2]New Machine sheet'!$G$2:$I$90,3,0),0)</f>
        <v>335.39977528089889</v>
      </c>
      <c r="T51" s="61">
        <f>Table25[[#This Row],[cost per piece]]*Table25[[#This Row],[Total Rej. qty]]</f>
        <v>335.39977528089889</v>
      </c>
      <c r="U51" s="61">
        <f>IFERROR(VLOOKUP(Table25[[#This Row],[Non Conformance]],'[2]New defect code '!$B$2:$C$129,2,0),0)</f>
        <v>0</v>
      </c>
      <c r="V51" s="61">
        <v>45</v>
      </c>
      <c r="W51" s="61" t="str">
        <f>IFERROR(VLOOKUP(Table25[[#This Row],[Code4]],'[2]New Reason code'!$A$2:$D$77,2,0),0)</f>
        <v>Running m/c</v>
      </c>
      <c r="X51" s="61">
        <f ca="1">#REF!+Table25[[#This Row],[Rejection Identified at]]</f>
        <v>0</v>
      </c>
      <c r="Y51" s="63">
        <f>IFERROR(VLOOKUP(Table25[[#This Row],[Reason]],Coding!A48:C105,3,0),0)</f>
        <v>0</v>
      </c>
    </row>
    <row r="52" spans="1:25" ht="20.25" customHeight="1">
      <c r="A52" s="60">
        <v>48</v>
      </c>
      <c r="B52" s="61">
        <v>11</v>
      </c>
      <c r="C52" s="61" t="str">
        <f>IFERROR(VLOOKUP(Table25[[#This Row],[Code]],'[2]New Machine sheet'!$A$1:$D$101,2,0),0)</f>
        <v>282-11</v>
      </c>
      <c r="D52" s="61" t="str">
        <f>IFERROR(VLOOKUP(Table25[[#This Row],[M/c No]],'[2]New Machine sheet'!$B$1:$D$101,2,0),0)</f>
        <v>Mazak</v>
      </c>
      <c r="E52" s="61" t="str">
        <f>IFERROR(VLOOKUP(Table25[[#This Row],[M/c Name]],'[2]New Machine sheet'!$C$1:$D$101,2,0),0)</f>
        <v>Turning</v>
      </c>
      <c r="F52" s="61">
        <v>121</v>
      </c>
      <c r="G52" s="61">
        <f>IFERROR(VLOOKUP(Table25[[#This Row],[Code2]],'[2]New Machine sheet'!$F$2:$I$64,2,),0)</f>
        <v>24121</v>
      </c>
      <c r="H52" s="61" t="str">
        <f>IFERROR(VLOOKUP(Table25[[#This Row],[Code2]],'[2]New Machine sheet'!$F$2:$I$64,3,0),0)</f>
        <v>RE J1</v>
      </c>
      <c r="I52" s="61" t="s">
        <v>137</v>
      </c>
      <c r="J52" s="61">
        <v>41</v>
      </c>
      <c r="K52" s="61" t="str">
        <f>IFERROR(VLOOKUP(Table25[[#This Row],[Code3]],'[2]New defect code '!$A$2:$D$129,2,0),0)</f>
        <v>Face Less metal</v>
      </c>
      <c r="L52" s="61" t="s">
        <v>163</v>
      </c>
      <c r="M52" s="56">
        <v>46266</v>
      </c>
      <c r="N52" s="61"/>
      <c r="O52" s="61">
        <v>2</v>
      </c>
      <c r="P52" s="61"/>
      <c r="Q52" s="61"/>
      <c r="R52" s="61">
        <f>SUBTOTAL(9,Table25[[#This Row],[1st]:[FQC]])</f>
        <v>2</v>
      </c>
      <c r="S52" s="61">
        <f>IFERROR(VLOOKUP(Table25[[#This Row],[Part No.]],'[2]New Machine sheet'!$G$2:$I$90,3,0),0)</f>
        <v>135.66999999999999</v>
      </c>
      <c r="T52" s="61">
        <f>Table25[[#This Row],[cost per piece]]*Table25[[#This Row],[Total Rej. qty]]</f>
        <v>271.33999999999997</v>
      </c>
      <c r="U52" s="61">
        <f>IFERROR(VLOOKUP(Table25[[#This Row],[Non Conformance]],'[2]New defect code '!$B$2:$C$129,2,0),0)</f>
        <v>3259</v>
      </c>
      <c r="V52" s="61">
        <v>45</v>
      </c>
      <c r="W52" s="61" t="str">
        <f>IFERROR(VLOOKUP(Table25[[#This Row],[Code4]],'[2]New Reason code'!$A$2:$D$77,2,0),0)</f>
        <v>Running m/c</v>
      </c>
      <c r="X52" s="61">
        <f ca="1">#REF!+Table25[[#This Row],[Rejection Identified at]]</f>
        <v>0</v>
      </c>
      <c r="Y52" s="63">
        <f>IFERROR(VLOOKUP(Table25[[#This Row],[Reason]],Coding!A49:C106,3,0),0)</f>
        <v>0</v>
      </c>
    </row>
    <row r="53" spans="1:25" ht="20.25" customHeight="1">
      <c r="A53" s="50">
        <v>49</v>
      </c>
      <c r="B53" s="61">
        <v>44</v>
      </c>
      <c r="C53" s="61" t="str">
        <f>IFERROR(VLOOKUP(Table25[[#This Row],[Code]],'[2]New Machine sheet'!$A$1:$D$101,2,0),0)</f>
        <v>LT20-NEW</v>
      </c>
      <c r="D53" s="61" t="str">
        <f>IFERROR(VLOOKUP(Table25[[#This Row],[M/c No]],'[2]New Machine sheet'!$B$1:$D$101,2,0),0)</f>
        <v>ACE</v>
      </c>
      <c r="E53" s="61" t="str">
        <f>IFERROR(VLOOKUP(Table25[[#This Row],[M/c Name]],'[2]New Machine sheet'!$C$1:$D$101,2,0),0)</f>
        <v xml:space="preserve">turning </v>
      </c>
      <c r="F53" s="61">
        <v>122</v>
      </c>
      <c r="G53" s="61">
        <f>IFERROR(VLOOKUP(Table25[[#This Row],[Code2]],'[2]New Machine sheet'!$F$2:$I$64,2,),0)</f>
        <v>24122</v>
      </c>
      <c r="H53" s="61" t="str">
        <f>IFERROR(VLOOKUP(Table25[[#This Row],[Code2]],'[2]New Machine sheet'!$F$2:$I$64,3,0),0)</f>
        <v>RE J1</v>
      </c>
      <c r="I53" s="61" t="s">
        <v>168</v>
      </c>
      <c r="J53" s="61">
        <v>10</v>
      </c>
      <c r="K53" s="61" t="str">
        <f>IFERROR(VLOOKUP(Table25[[#This Row],[Code3]],'[2]New defect code '!$A$2:$D$129,2,0),0)</f>
        <v xml:space="preserve">Bore u/s </v>
      </c>
      <c r="L53" s="61" t="s">
        <v>163</v>
      </c>
      <c r="M53" s="56">
        <v>46266</v>
      </c>
      <c r="N53" s="61"/>
      <c r="O53" s="61">
        <v>1</v>
      </c>
      <c r="P53" s="61"/>
      <c r="Q53" s="61"/>
      <c r="R53" s="61">
        <f>SUBTOTAL(9,Table25[[#This Row],[1st]:[FQC]])</f>
        <v>1</v>
      </c>
      <c r="S53" s="61">
        <f>IFERROR(VLOOKUP(Table25[[#This Row],[Part No.]],'[2]New Machine sheet'!$G$2:$I$90,3,0),0)</f>
        <v>335.39977528089889</v>
      </c>
      <c r="T53" s="61">
        <f>Table25[[#This Row],[cost per piece]]*Table25[[#This Row],[Total Rej. qty]]</f>
        <v>335.39977528089889</v>
      </c>
      <c r="U53" s="61">
        <f>IFERROR(VLOOKUP(Table25[[#This Row],[Non Conformance]],'[2]New defect code '!$B$2:$C$129,2,0),0)</f>
        <v>0</v>
      </c>
      <c r="V53" s="61">
        <v>45</v>
      </c>
      <c r="W53" s="61" t="str">
        <f>IFERROR(VLOOKUP(Table25[[#This Row],[Code4]],'[2]New Reason code'!$A$2:$D$77,2,0),0)</f>
        <v>Running m/c</v>
      </c>
      <c r="X53" s="61">
        <f ca="1">#REF!+Table25[[#This Row],[Rejection Identified at]]</f>
        <v>0</v>
      </c>
      <c r="Y53" s="63">
        <f>IFERROR(VLOOKUP(Table25[[#This Row],[Reason]],Coding!A50:C107,3,0),0)</f>
        <v>0</v>
      </c>
    </row>
    <row r="54" spans="1:25" ht="20.25" customHeight="1">
      <c r="A54" s="60">
        <v>50</v>
      </c>
      <c r="B54" s="61">
        <v>2</v>
      </c>
      <c r="C54" s="61" t="str">
        <f>IFERROR(VLOOKUP(Table25[[#This Row],[Code]],'[2]New Machine sheet'!$A$1:$D$101,2,0),0)</f>
        <v>282-02</v>
      </c>
      <c r="D54" s="61" t="str">
        <f>IFERROR(VLOOKUP(Table25[[#This Row],[M/c No]],'[2]New Machine sheet'!$B$1:$D$101,2,0),0)</f>
        <v>Mazak</v>
      </c>
      <c r="E54" s="61" t="str">
        <f>IFERROR(VLOOKUP(Table25[[#This Row],[M/c Name]],'[2]New Machine sheet'!$C$1:$D$101,2,0),0)</f>
        <v>Turning</v>
      </c>
      <c r="F54" s="61">
        <v>121</v>
      </c>
      <c r="G54" s="61">
        <f>IFERROR(VLOOKUP(Table25[[#This Row],[Code2]],'[2]New Machine sheet'!$F$2:$I$64,2,),0)</f>
        <v>24121</v>
      </c>
      <c r="H54" s="61" t="str">
        <f>IFERROR(VLOOKUP(Table25[[#This Row],[Code2]],'[2]New Machine sheet'!$F$2:$I$64,3,0),0)</f>
        <v>RE J1</v>
      </c>
      <c r="I54" s="61" t="s">
        <v>133</v>
      </c>
      <c r="J54" s="61">
        <v>41</v>
      </c>
      <c r="K54" s="61" t="str">
        <f>IFERROR(VLOOKUP(Table25[[#This Row],[Code3]],'[2]New defect code '!$A$2:$D$129,2,0),0)</f>
        <v>Face Less metal</v>
      </c>
      <c r="L54" s="61" t="s">
        <v>163</v>
      </c>
      <c r="M54" s="56">
        <v>46266</v>
      </c>
      <c r="N54" s="61"/>
      <c r="O54" s="61">
        <v>2</v>
      </c>
      <c r="P54" s="61"/>
      <c r="Q54" s="61"/>
      <c r="R54" s="61">
        <f>SUBTOTAL(9,Table25[[#This Row],[1st]:[FQC]])</f>
        <v>2</v>
      </c>
      <c r="S54" s="61">
        <f>IFERROR(VLOOKUP(Table25[[#This Row],[Part No.]],'[2]New Machine sheet'!$G$2:$I$90,3,0),0)</f>
        <v>135.66999999999999</v>
      </c>
      <c r="T54" s="61">
        <f>Table25[[#This Row],[cost per piece]]*Table25[[#This Row],[Total Rej. qty]]</f>
        <v>271.33999999999997</v>
      </c>
      <c r="U54" s="61">
        <f>IFERROR(VLOOKUP(Table25[[#This Row],[Non Conformance]],'[2]New defect code '!$B$2:$C$129,2,0),0)</f>
        <v>3259</v>
      </c>
      <c r="V54" s="61">
        <v>45</v>
      </c>
      <c r="W54" s="61" t="str">
        <f>IFERROR(VLOOKUP(Table25[[#This Row],[Code4]],'[2]New Reason code'!$A$2:$D$77,2,0),0)</f>
        <v>Running m/c</v>
      </c>
      <c r="X54" s="61">
        <f ca="1">#REF!+Table25[[#This Row],[Rejection Identified at]]</f>
        <v>0</v>
      </c>
      <c r="Y54" s="63">
        <f>IFERROR(VLOOKUP(Table25[[#This Row],[Reason]],Coding!A51:C108,3,0),0)</f>
        <v>0</v>
      </c>
    </row>
    <row r="55" spans="1:25" ht="20.25" customHeight="1">
      <c r="A55" s="50">
        <v>51</v>
      </c>
      <c r="B55" s="61">
        <v>2</v>
      </c>
      <c r="C55" s="61" t="str">
        <f>IFERROR(VLOOKUP(Table25[[#This Row],[Code]],'[2]New Machine sheet'!$A$1:$D$101,2,0),0)</f>
        <v>282-02</v>
      </c>
      <c r="D55" s="61" t="str">
        <f>IFERROR(VLOOKUP(Table25[[#This Row],[M/c No]],'[2]New Machine sheet'!$B$1:$D$101,2,0),0)</f>
        <v>Mazak</v>
      </c>
      <c r="E55" s="61" t="str">
        <f>IFERROR(VLOOKUP(Table25[[#This Row],[M/c Name]],'[2]New Machine sheet'!$C$1:$D$101,2,0),0)</f>
        <v>Turning</v>
      </c>
      <c r="F55" s="61">
        <v>121</v>
      </c>
      <c r="G55" s="61">
        <f>IFERROR(VLOOKUP(Table25[[#This Row],[Code2]],'[2]New Machine sheet'!$F$2:$I$64,2,),0)</f>
        <v>24121</v>
      </c>
      <c r="H55" s="61" t="str">
        <f>IFERROR(VLOOKUP(Table25[[#This Row],[Code2]],'[2]New Machine sheet'!$F$2:$I$64,3,0),0)</f>
        <v>RE J1</v>
      </c>
      <c r="I55" s="61" t="s">
        <v>133</v>
      </c>
      <c r="J55" s="61">
        <v>19</v>
      </c>
      <c r="K55" s="61" t="str">
        <f>IFERROR(VLOOKUP(Table25[[#This Row],[Code3]],'[2]New defect code '!$A$2:$D$129,2,0),0)</f>
        <v xml:space="preserve">Bush not ok </v>
      </c>
      <c r="L55" s="61" t="s">
        <v>163</v>
      </c>
      <c r="M55" s="56">
        <v>46266</v>
      </c>
      <c r="N55" s="61"/>
      <c r="O55" s="61">
        <v>2</v>
      </c>
      <c r="P55" s="61"/>
      <c r="Q55" s="61"/>
      <c r="R55" s="61">
        <f>SUBTOTAL(9,Table25[[#This Row],[1st]:[FQC]])</f>
        <v>2</v>
      </c>
      <c r="S55" s="61">
        <f>IFERROR(VLOOKUP(Table25[[#This Row],[Part No.]],'[2]New Machine sheet'!$G$2:$I$90,3,0),0)</f>
        <v>135.66999999999999</v>
      </c>
      <c r="T55" s="61">
        <f>Table25[[#This Row],[cost per piece]]*Table25[[#This Row],[Total Rej. qty]]</f>
        <v>271.33999999999997</v>
      </c>
      <c r="U55" s="61">
        <f>IFERROR(VLOOKUP(Table25[[#This Row],[Non Conformance]],'[2]New defect code '!$B$2:$C$129,2,0),0)</f>
        <v>3252</v>
      </c>
      <c r="V55" s="61">
        <v>45</v>
      </c>
      <c r="W55" s="61" t="str">
        <f>IFERROR(VLOOKUP(Table25[[#This Row],[Code4]],'[2]New Reason code'!$A$2:$D$77,2,0),0)</f>
        <v>Running m/c</v>
      </c>
      <c r="X55" s="61">
        <f ca="1">#REF!+Table25[[#This Row],[Rejection Identified at]]</f>
        <v>0</v>
      </c>
      <c r="Y55" s="63">
        <f>IFERROR(VLOOKUP(Table25[[#This Row],[Reason]],Coding!A52:C109,3,0),0)</f>
        <v>0</v>
      </c>
    </row>
    <row r="56" spans="1:25" ht="20.25" customHeight="1">
      <c r="A56" s="60">
        <v>52</v>
      </c>
      <c r="B56" s="61">
        <v>37</v>
      </c>
      <c r="C56" s="61" t="str">
        <f>IFERROR(VLOOKUP(Table25[[#This Row],[Code]],'[2]New Machine sheet'!$A$1:$D$101,2,0),0)</f>
        <v>ACE-17</v>
      </c>
      <c r="D56" s="61" t="str">
        <f>IFERROR(VLOOKUP(Table25[[#This Row],[M/c No]],'[2]New Machine sheet'!$B$1:$D$101,2,0),0)</f>
        <v>Micromatic</v>
      </c>
      <c r="E56" s="61" t="str">
        <f>IFERROR(VLOOKUP(Table25[[#This Row],[M/c Name]],'[2]New Machine sheet'!$C$1:$D$101,2,0),0)</f>
        <v>Turning</v>
      </c>
      <c r="F56" s="61">
        <v>127</v>
      </c>
      <c r="G56" s="61">
        <f>IFERROR(VLOOKUP(Table25[[#This Row],[Code2]],'[2]New Machine sheet'!$F$2:$I$64,2,),0)</f>
        <v>24127</v>
      </c>
      <c r="H56" s="61" t="str">
        <f>IFERROR(VLOOKUP(Table25[[#This Row],[Code2]],'[2]New Machine sheet'!$F$2:$I$64,3,0),0)</f>
        <v>RE J1</v>
      </c>
      <c r="I56" s="61" t="s">
        <v>177</v>
      </c>
      <c r="J56" s="61">
        <v>71</v>
      </c>
      <c r="K56" s="61" t="str">
        <f>IFERROR(VLOOKUP(Table25[[#This Row],[Code3]],'[2]New defect code '!$A$2:$D$129,2,0),0)</f>
        <v>PG go not qualify</v>
      </c>
      <c r="L56" s="61" t="s">
        <v>163</v>
      </c>
      <c r="M56" s="56">
        <v>46266</v>
      </c>
      <c r="N56" s="61"/>
      <c r="O56" s="61"/>
      <c r="P56" s="61">
        <v>1</v>
      </c>
      <c r="Q56" s="61"/>
      <c r="R56" s="61">
        <f>SUBTOTAL(9,Table25[[#This Row],[1st]:[FQC]])</f>
        <v>1</v>
      </c>
      <c r="S56" s="61">
        <f>IFERROR(VLOOKUP(Table25[[#This Row],[Part No.]],'[2]New Machine sheet'!$G$2:$I$90,3,0),0)</f>
        <v>262.81200000000001</v>
      </c>
      <c r="T56" s="61">
        <f>Table25[[#This Row],[cost per piece]]*Table25[[#This Row],[Total Rej. qty]]</f>
        <v>262.81200000000001</v>
      </c>
      <c r="U56" s="61">
        <f>IFERROR(VLOOKUP(Table25[[#This Row],[Non Conformance]],'[2]New defect code '!$B$2:$C$129,2,0),0)</f>
        <v>0</v>
      </c>
      <c r="V56" s="61">
        <v>45</v>
      </c>
      <c r="W56" s="61" t="str">
        <f>IFERROR(VLOOKUP(Table25[[#This Row],[Code4]],'[2]New Reason code'!$A$2:$D$77,2,0),0)</f>
        <v>Running m/c</v>
      </c>
      <c r="X56" s="61">
        <f ca="1">#REF!+Table25[[#This Row],[Rejection Identified at]]</f>
        <v>0</v>
      </c>
      <c r="Y56" s="63">
        <f>IFERROR(VLOOKUP(Table25[[#This Row],[Reason]],Coding!A53:C110,3,0),0)</f>
        <v>0</v>
      </c>
    </row>
    <row r="57" spans="1:25" ht="20.25" customHeight="1">
      <c r="A57" s="50">
        <v>53</v>
      </c>
      <c r="B57" s="61">
        <v>2</v>
      </c>
      <c r="C57" s="61" t="str">
        <f>IFERROR(VLOOKUP(Table25[[#This Row],[Code]],'[2]New Machine sheet'!$A$1:$D$101,2,0),0)</f>
        <v>282-02</v>
      </c>
      <c r="D57" s="61" t="str">
        <f>IFERROR(VLOOKUP(Table25[[#This Row],[M/c No]],'[2]New Machine sheet'!$B$1:$D$101,2,0),0)</f>
        <v>Mazak</v>
      </c>
      <c r="E57" s="61" t="str">
        <f>IFERROR(VLOOKUP(Table25[[#This Row],[M/c Name]],'[2]New Machine sheet'!$C$1:$D$101,2,0),0)</f>
        <v>Turning</v>
      </c>
      <c r="F57" s="61">
        <v>121</v>
      </c>
      <c r="G57" s="61">
        <f>IFERROR(VLOOKUP(Table25[[#This Row],[Code2]],'[2]New Machine sheet'!$F$2:$I$64,2,),0)</f>
        <v>24121</v>
      </c>
      <c r="H57" s="61" t="str">
        <f>IFERROR(VLOOKUP(Table25[[#This Row],[Code2]],'[2]New Machine sheet'!$F$2:$I$64,3,0),0)</f>
        <v>RE J1</v>
      </c>
      <c r="I57" s="61" t="s">
        <v>135</v>
      </c>
      <c r="J57" s="61">
        <v>71</v>
      </c>
      <c r="K57" s="61" t="str">
        <f>IFERROR(VLOOKUP(Table25[[#This Row],[Code3]],'[2]New defect code '!$A$2:$D$129,2,0),0)</f>
        <v>PG go not qualify</v>
      </c>
      <c r="L57" s="61" t="s">
        <v>163</v>
      </c>
      <c r="M57" s="56">
        <v>46266</v>
      </c>
      <c r="N57" s="61"/>
      <c r="O57" s="61"/>
      <c r="P57" s="61">
        <v>1</v>
      </c>
      <c r="Q57" s="61"/>
      <c r="R57" s="61">
        <f>SUBTOTAL(9,Table25[[#This Row],[1st]:[FQC]])</f>
        <v>1</v>
      </c>
      <c r="S57" s="61">
        <f>IFERROR(VLOOKUP(Table25[[#This Row],[Part No.]],'[2]New Machine sheet'!$G$2:$I$90,3,0),0)</f>
        <v>135.66999999999999</v>
      </c>
      <c r="T57" s="61">
        <f>Table25[[#This Row],[cost per piece]]*Table25[[#This Row],[Total Rej. qty]]</f>
        <v>135.66999999999999</v>
      </c>
      <c r="U57" s="61">
        <f>IFERROR(VLOOKUP(Table25[[#This Row],[Non Conformance]],'[2]New defect code '!$B$2:$C$129,2,0),0)</f>
        <v>0</v>
      </c>
      <c r="V57" s="61">
        <v>45</v>
      </c>
      <c r="W57" s="61" t="str">
        <f>IFERROR(VLOOKUP(Table25[[#This Row],[Code4]],'[2]New Reason code'!$A$2:$D$77,2,0),0)</f>
        <v>Running m/c</v>
      </c>
      <c r="X57" s="61">
        <f ca="1">#REF!+Table25[[#This Row],[Rejection Identified at]]</f>
        <v>0</v>
      </c>
      <c r="Y57" s="63">
        <f>IFERROR(VLOOKUP(Table25[[#This Row],[Reason]],Coding!A54:C111,3,0),0)</f>
        <v>0</v>
      </c>
    </row>
    <row r="58" spans="1:25" ht="20.25" customHeight="1">
      <c r="A58" s="60">
        <v>54</v>
      </c>
      <c r="B58" s="61">
        <v>20</v>
      </c>
      <c r="C58" s="61" t="str">
        <f>IFERROR(VLOOKUP(Table25[[#This Row],[Code]],'[2]New Machine sheet'!$A$1:$D$101,2,0),0)</f>
        <v>282-20</v>
      </c>
      <c r="D58" s="61" t="str">
        <f>IFERROR(VLOOKUP(Table25[[#This Row],[M/c No]],'[2]New Machine sheet'!$B$1:$D$101,2,0),0)</f>
        <v>Mazak</v>
      </c>
      <c r="E58" s="61" t="str">
        <f>IFERROR(VLOOKUP(Table25[[#This Row],[M/c Name]],'[2]New Machine sheet'!$C$1:$D$101,2,0),0)</f>
        <v>Turning</v>
      </c>
      <c r="F58" s="61">
        <v>115</v>
      </c>
      <c r="G58" s="61">
        <f>IFERROR(VLOOKUP(Table25[[#This Row],[Code2]],'[2]New Machine sheet'!$F$2:$I$64,2,),0)</f>
        <v>24115</v>
      </c>
      <c r="H58" s="61" t="str">
        <f>IFERROR(VLOOKUP(Table25[[#This Row],[Code2]],'[2]New Machine sheet'!$F$2:$I$64,3,0),0)</f>
        <v>RE J1</v>
      </c>
      <c r="I58" s="61" t="s">
        <v>143</v>
      </c>
      <c r="J58" s="61">
        <v>10</v>
      </c>
      <c r="K58" s="61" t="str">
        <f>IFERROR(VLOOKUP(Table25[[#This Row],[Code3]],'[2]New defect code '!$A$2:$D$129,2,0),0)</f>
        <v xml:space="preserve">Bore u/s </v>
      </c>
      <c r="L58" s="61" t="s">
        <v>163</v>
      </c>
      <c r="M58" s="56">
        <v>46266</v>
      </c>
      <c r="N58" s="61"/>
      <c r="O58" s="61"/>
      <c r="P58" s="61">
        <v>5</v>
      </c>
      <c r="Q58" s="61"/>
      <c r="R58" s="61">
        <f>SUBTOTAL(9,Table25[[#This Row],[1st]:[FQC]])</f>
        <v>5</v>
      </c>
      <c r="S58" s="61">
        <f>IFERROR(VLOOKUP(Table25[[#This Row],[Part No.]],'[2]New Machine sheet'!$G$2:$I$90,3,0),0)</f>
        <v>66.900000000000006</v>
      </c>
      <c r="T58" s="61">
        <f>Table25[[#This Row],[cost per piece]]*Table25[[#This Row],[Total Rej. qty]]</f>
        <v>334.5</v>
      </c>
      <c r="U58" s="61">
        <f>IFERROR(VLOOKUP(Table25[[#This Row],[Non Conformance]],'[2]New defect code '!$B$2:$C$129,2,0),0)</f>
        <v>0</v>
      </c>
      <c r="V58" s="61">
        <v>45</v>
      </c>
      <c r="W58" s="61" t="str">
        <f>IFERROR(VLOOKUP(Table25[[#This Row],[Code4]],'[2]New Reason code'!$A$2:$D$77,2,0),0)</f>
        <v>Running m/c</v>
      </c>
      <c r="X58" s="61">
        <f ca="1">#REF!+Table25[[#This Row],[Rejection Identified at]]</f>
        <v>0</v>
      </c>
      <c r="Y58" s="63">
        <f>IFERROR(VLOOKUP(Table25[[#This Row],[Reason]],Coding!A55:C112,3,0),0)</f>
        <v>0</v>
      </c>
    </row>
    <row r="59" spans="1:25" ht="20.25" customHeight="1">
      <c r="A59" s="50">
        <v>55</v>
      </c>
      <c r="B59" s="61">
        <v>15</v>
      </c>
      <c r="C59" s="61" t="str">
        <f>IFERROR(VLOOKUP(Table25[[#This Row],[Code]],'[2]New Machine sheet'!$A$1:$D$101,2,0),0)</f>
        <v>282-15</v>
      </c>
      <c r="D59" s="61" t="str">
        <f>IFERROR(VLOOKUP(Table25[[#This Row],[M/c No]],'[2]New Machine sheet'!$B$1:$D$101,2,0),0)</f>
        <v>Mazak</v>
      </c>
      <c r="E59" s="61" t="str">
        <f>IFERROR(VLOOKUP(Table25[[#This Row],[M/c Name]],'[2]New Machine sheet'!$C$1:$D$101,2,0),0)</f>
        <v>Turning</v>
      </c>
      <c r="F59" s="61">
        <v>122</v>
      </c>
      <c r="G59" s="61">
        <f>IFERROR(VLOOKUP(Table25[[#This Row],[Code2]],'[2]New Machine sheet'!$F$2:$I$64,2,),0)</f>
        <v>24122</v>
      </c>
      <c r="H59" s="61" t="str">
        <f>IFERROR(VLOOKUP(Table25[[#This Row],[Code2]],'[2]New Machine sheet'!$F$2:$I$64,3,0),0)</f>
        <v>RE J1</v>
      </c>
      <c r="I59" s="61" t="s">
        <v>168</v>
      </c>
      <c r="J59" s="61">
        <v>41</v>
      </c>
      <c r="K59" s="61" t="str">
        <f>IFERROR(VLOOKUP(Table25[[#This Row],[Code3]],'[2]New defect code '!$A$2:$D$129,2,0),0)</f>
        <v>Face Less metal</v>
      </c>
      <c r="L59" s="61" t="s">
        <v>163</v>
      </c>
      <c r="M59" s="56">
        <v>46266</v>
      </c>
      <c r="N59" s="61"/>
      <c r="O59" s="61"/>
      <c r="P59" s="61">
        <v>2</v>
      </c>
      <c r="Q59" s="61"/>
      <c r="R59" s="61">
        <f>SUBTOTAL(9,Table25[[#This Row],[1st]:[FQC]])</f>
        <v>2</v>
      </c>
      <c r="S59" s="61">
        <f>IFERROR(VLOOKUP(Table25[[#This Row],[Part No.]],'[2]New Machine sheet'!$G$2:$I$90,3,0),0)</f>
        <v>335.39977528089889</v>
      </c>
      <c r="T59" s="61">
        <f>Table25[[#This Row],[cost per piece]]*Table25[[#This Row],[Total Rej. qty]]</f>
        <v>670.79955056179779</v>
      </c>
      <c r="U59" s="61">
        <f>IFERROR(VLOOKUP(Table25[[#This Row],[Non Conformance]],'[2]New defect code '!$B$2:$C$129,2,0),0)</f>
        <v>3259</v>
      </c>
      <c r="V59" s="61">
        <v>45</v>
      </c>
      <c r="W59" s="61" t="str">
        <f>IFERROR(VLOOKUP(Table25[[#This Row],[Code4]],'[2]New Reason code'!$A$2:$D$77,2,0),0)</f>
        <v>Running m/c</v>
      </c>
      <c r="X59" s="61">
        <f ca="1">#REF!+Table25[[#This Row],[Rejection Identified at]]</f>
        <v>0</v>
      </c>
      <c r="Y59" s="63">
        <f>IFERROR(VLOOKUP(Table25[[#This Row],[Reason]],Coding!A56:C113,3,0),0)</f>
        <v>0</v>
      </c>
    </row>
    <row r="60" spans="1:25" ht="20.25" customHeight="1">
      <c r="A60" s="60">
        <v>56</v>
      </c>
      <c r="B60" s="61">
        <v>35</v>
      </c>
      <c r="C60" s="61" t="str">
        <f>IFERROR(VLOOKUP(Table25[[#This Row],[Code]],'[2]New Machine sheet'!$A$1:$D$101,2,0),0)</f>
        <v>ACE-15</v>
      </c>
      <c r="D60" s="61" t="str">
        <f>IFERROR(VLOOKUP(Table25[[#This Row],[M/c No]],'[2]New Machine sheet'!$B$1:$D$101,2,0),0)</f>
        <v>Micromatic</v>
      </c>
      <c r="E60" s="61" t="str">
        <f>IFERROR(VLOOKUP(Table25[[#This Row],[M/c Name]],'[2]New Machine sheet'!$C$1:$D$101,2,0),0)</f>
        <v>Turning</v>
      </c>
      <c r="F60" s="61">
        <v>113</v>
      </c>
      <c r="G60" s="61">
        <f>IFERROR(VLOOKUP(Table25[[#This Row],[Code2]],'[2]New Machine sheet'!$F$2:$I$64,2,),0)</f>
        <v>24113</v>
      </c>
      <c r="H60" s="61" t="str">
        <f>IFERROR(VLOOKUP(Table25[[#This Row],[Code2]],'[2]New Machine sheet'!$F$2:$I$64,3,0),0)</f>
        <v>RE J1</v>
      </c>
      <c r="I60" s="61" t="s">
        <v>132</v>
      </c>
      <c r="J60" s="61">
        <v>10</v>
      </c>
      <c r="K60" s="61" t="str">
        <f>IFERROR(VLOOKUP(Table25[[#This Row],[Code3]],'[2]New defect code '!$A$2:$D$129,2,0),0)</f>
        <v xml:space="preserve">Bore u/s </v>
      </c>
      <c r="L60" s="61" t="s">
        <v>163</v>
      </c>
      <c r="M60" s="56">
        <v>46266</v>
      </c>
      <c r="N60" s="61"/>
      <c r="O60" s="61"/>
      <c r="P60" s="61">
        <v>2</v>
      </c>
      <c r="Q60" s="61"/>
      <c r="R60" s="61">
        <f>SUBTOTAL(9,Table25[[#This Row],[1st]:[FQC]])</f>
        <v>2</v>
      </c>
      <c r="S60" s="61">
        <f>IFERROR(VLOOKUP(Table25[[#This Row],[Part No.]],'[2]New Machine sheet'!$G$2:$I$90,3,0),0)</f>
        <v>90</v>
      </c>
      <c r="T60" s="61">
        <f>Table25[[#This Row],[cost per piece]]*Table25[[#This Row],[Total Rej. qty]]</f>
        <v>180</v>
      </c>
      <c r="U60" s="61">
        <f>IFERROR(VLOOKUP(Table25[[#This Row],[Non Conformance]],'[2]New defect code '!$B$2:$C$129,2,0),0)</f>
        <v>0</v>
      </c>
      <c r="V60" s="61">
        <v>45</v>
      </c>
      <c r="W60" s="61" t="str">
        <f>IFERROR(VLOOKUP(Table25[[#This Row],[Code4]],'[2]New Reason code'!$A$2:$D$77,2,0),0)</f>
        <v>Running m/c</v>
      </c>
      <c r="X60" s="61">
        <f ca="1">#REF!+Table25[[#This Row],[Rejection Identified at]]</f>
        <v>0</v>
      </c>
      <c r="Y60" s="63">
        <f>IFERROR(VLOOKUP(Table25[[#This Row],[Reason]],Coding!A57:C114,3,0),0)</f>
        <v>0</v>
      </c>
    </row>
    <row r="61" spans="1:25" ht="20.25" customHeight="1">
      <c r="A61" s="50">
        <v>57</v>
      </c>
      <c r="B61" s="61">
        <v>4</v>
      </c>
      <c r="C61" s="61" t="str">
        <f>IFERROR(VLOOKUP(Table25[[#This Row],[Code]],'[2]New Machine sheet'!$A$1:$D$101,2,0),0)</f>
        <v>282-04</v>
      </c>
      <c r="D61" s="61" t="str">
        <f>IFERROR(VLOOKUP(Table25[[#This Row],[M/c No]],'[2]New Machine sheet'!$B$1:$D$101,2,0),0)</f>
        <v>Mazak</v>
      </c>
      <c r="E61" s="61" t="str">
        <f>IFERROR(VLOOKUP(Table25[[#This Row],[M/c Name]],'[2]New Machine sheet'!$C$1:$D$101,2,0),0)</f>
        <v>Turning</v>
      </c>
      <c r="F61" s="61">
        <v>117</v>
      </c>
      <c r="G61" s="61">
        <f>IFERROR(VLOOKUP(Table25[[#This Row],[Code2]],'[2]New Machine sheet'!$F$2:$I$64,2,),0)</f>
        <v>24117</v>
      </c>
      <c r="H61" s="61" t="str">
        <f>IFERROR(VLOOKUP(Table25[[#This Row],[Code2]],'[2]New Machine sheet'!$F$2:$I$64,3,0),0)</f>
        <v>RE J1</v>
      </c>
      <c r="I61" s="61" t="s">
        <v>141</v>
      </c>
      <c r="J61" s="61">
        <v>41</v>
      </c>
      <c r="K61" s="61" t="str">
        <f>IFERROR(VLOOKUP(Table25[[#This Row],[Code3]],'[2]New defect code '!$A$2:$D$129,2,0),0)</f>
        <v>Face Less metal</v>
      </c>
      <c r="L61" s="61" t="s">
        <v>178</v>
      </c>
      <c r="M61" s="56">
        <v>46266</v>
      </c>
      <c r="N61" s="61">
        <v>1</v>
      </c>
      <c r="O61" s="61"/>
      <c r="P61" s="61"/>
      <c r="Q61" s="61"/>
      <c r="R61" s="61">
        <f>SUBTOTAL(9,Table25[[#This Row],[1st]:[FQC]])</f>
        <v>1</v>
      </c>
      <c r="S61" s="61">
        <f>IFERROR(VLOOKUP(Table25[[#This Row],[Part No.]],'[2]New Machine sheet'!$G$2:$I$90,3,0),0)</f>
        <v>111.97</v>
      </c>
      <c r="T61" s="61">
        <f>Table25[[#This Row],[cost per piece]]*Table25[[#This Row],[Total Rej. qty]]</f>
        <v>111.97</v>
      </c>
      <c r="U61" s="61">
        <f>IFERROR(VLOOKUP(Table25[[#This Row],[Non Conformance]],'[2]New defect code '!$B$2:$C$129,2,0),0)</f>
        <v>3259</v>
      </c>
      <c r="V61" s="61">
        <v>45</v>
      </c>
      <c r="W61" s="61" t="str">
        <f>IFERROR(VLOOKUP(Table25[[#This Row],[Code4]],'[2]New Reason code'!$A$2:$D$77,2,0),0)</f>
        <v>Running m/c</v>
      </c>
      <c r="X61" s="61">
        <f ca="1">#REF!+Table25[[#This Row],[Rejection Identified at]]</f>
        <v>0</v>
      </c>
      <c r="Y61" s="63">
        <f>IFERROR(VLOOKUP(Table25[[#This Row],[Reason]],Coding!A58:C115,3,0),0)</f>
        <v>0</v>
      </c>
    </row>
    <row r="62" spans="1:25" ht="20.25" customHeight="1">
      <c r="A62" s="60">
        <v>58</v>
      </c>
      <c r="B62" s="61">
        <v>24</v>
      </c>
      <c r="C62" s="61" t="str">
        <f>IFERROR(VLOOKUP(Table25[[#This Row],[Code]],'[2]New Machine sheet'!$A$1:$D$101,2,0),0)</f>
        <v>ACE-04</v>
      </c>
      <c r="D62" s="61" t="str">
        <f>IFERROR(VLOOKUP(Table25[[#This Row],[M/c No]],'[2]New Machine sheet'!$B$1:$D$101,2,0),0)</f>
        <v>Micromatic</v>
      </c>
      <c r="E62" s="61" t="str">
        <f>IFERROR(VLOOKUP(Table25[[#This Row],[M/c Name]],'[2]New Machine sheet'!$C$1:$D$101,2,0),0)</f>
        <v>Turning</v>
      </c>
      <c r="F62" s="61">
        <v>125</v>
      </c>
      <c r="G62" s="61">
        <f>IFERROR(VLOOKUP(Table25[[#This Row],[Code2]],'[2]New Machine sheet'!$F$2:$I$64,2,),0)</f>
        <v>24125</v>
      </c>
      <c r="H62" s="61" t="str">
        <f>IFERROR(VLOOKUP(Table25[[#This Row],[Code2]],'[2]New Machine sheet'!$F$2:$I$64,3,0),0)</f>
        <v>RE J1</v>
      </c>
      <c r="I62" s="61" t="s">
        <v>173</v>
      </c>
      <c r="J62" s="61">
        <v>10</v>
      </c>
      <c r="K62" s="61" t="str">
        <f>IFERROR(VLOOKUP(Table25[[#This Row],[Code3]],'[2]New defect code '!$A$2:$D$129,2,0),0)</f>
        <v xml:space="preserve">Bore u/s </v>
      </c>
      <c r="L62" s="61" t="s">
        <v>178</v>
      </c>
      <c r="M62" s="56">
        <v>46266</v>
      </c>
      <c r="N62" s="61">
        <v>2</v>
      </c>
      <c r="O62" s="61"/>
      <c r="P62" s="61"/>
      <c r="Q62" s="61"/>
      <c r="R62" s="61">
        <f>SUBTOTAL(9,Table25[[#This Row],[1st]:[FQC]])</f>
        <v>2</v>
      </c>
      <c r="S62" s="61">
        <f>IFERROR(VLOOKUP(Table25[[#This Row],[Part No.]],'[2]New Machine sheet'!$G$2:$I$90,3,0),0)</f>
        <v>65.17</v>
      </c>
      <c r="T62" s="61">
        <f>Table25[[#This Row],[cost per piece]]*Table25[[#This Row],[Total Rej. qty]]</f>
        <v>130.34</v>
      </c>
      <c r="U62" s="61">
        <f>IFERROR(VLOOKUP(Table25[[#This Row],[Non Conformance]],'[2]New defect code '!$B$2:$C$129,2,0),0)</f>
        <v>0</v>
      </c>
      <c r="V62" s="61">
        <v>45</v>
      </c>
      <c r="W62" s="61" t="str">
        <f>IFERROR(VLOOKUP(Table25[[#This Row],[Code4]],'[2]New Reason code'!$A$2:$D$77,2,0),0)</f>
        <v>Running m/c</v>
      </c>
      <c r="X62" s="61">
        <f ca="1">#REF!+Table25[[#This Row],[Rejection Identified at]]</f>
        <v>0</v>
      </c>
      <c r="Y62" s="63">
        <f>IFERROR(VLOOKUP(Table25[[#This Row],[Reason]],Coding!A59:C116,3,0),0)</f>
        <v>0</v>
      </c>
    </row>
    <row r="63" spans="1:25" ht="20.25" customHeight="1">
      <c r="A63" s="50">
        <v>59</v>
      </c>
      <c r="B63" s="61"/>
      <c r="C63" s="61" t="s">
        <v>118</v>
      </c>
      <c r="D63" s="61" t="s">
        <v>117</v>
      </c>
      <c r="E63" s="61" t="str">
        <f>IFERROR(VLOOKUP(Table25[[#This Row],[M/c Name]],'[2]New Machine sheet'!$C$1:$D$101,2,0),0)</f>
        <v>Turning</v>
      </c>
      <c r="F63" s="61">
        <v>127</v>
      </c>
      <c r="G63" s="61">
        <f>IFERROR(VLOOKUP(Table25[[#This Row],[Code2]],'[2]New Machine sheet'!$F$2:$I$64,2,),0)</f>
        <v>24127</v>
      </c>
      <c r="H63" s="61" t="str">
        <f>IFERROR(VLOOKUP(Table25[[#This Row],[Code2]],'[2]New Machine sheet'!$F$2:$I$64,3,0),0)</f>
        <v>RE J1</v>
      </c>
      <c r="I63" s="61" t="s">
        <v>120</v>
      </c>
      <c r="J63" s="61">
        <v>37</v>
      </c>
      <c r="K63" s="61" t="str">
        <f>IFERROR(VLOOKUP(Table25[[#This Row],[Code3]],'[2]New defect code '!$A$2:$D$129,2,0),0)</f>
        <v>Face chatring</v>
      </c>
      <c r="L63" s="61" t="s">
        <v>178</v>
      </c>
      <c r="M63" s="56">
        <v>46266</v>
      </c>
      <c r="N63" s="61">
        <v>1</v>
      </c>
      <c r="O63" s="61"/>
      <c r="P63" s="61"/>
      <c r="Q63" s="61"/>
      <c r="R63" s="61">
        <f>SUBTOTAL(9,Table25[[#This Row],[1st]:[FQC]])</f>
        <v>1</v>
      </c>
      <c r="S63" s="61">
        <f>IFERROR(VLOOKUP(Table25[[#This Row],[Part No.]],'[2]New Machine sheet'!$G$2:$I$90,3,0),0)</f>
        <v>262.81200000000001</v>
      </c>
      <c r="T63" s="61">
        <f>Table25[[#This Row],[cost per piece]]*Table25[[#This Row],[Total Rej. qty]]</f>
        <v>262.81200000000001</v>
      </c>
      <c r="U63" s="61">
        <f>IFERROR(VLOOKUP(Table25[[#This Row],[Non Conformance]],'[2]New defect code '!$B$2:$C$129,2,0),0)</f>
        <v>0</v>
      </c>
      <c r="V63" s="61">
        <v>45</v>
      </c>
      <c r="W63" s="61" t="str">
        <f>IFERROR(VLOOKUP(Table25[[#This Row],[Code4]],'[2]New Reason code'!$A$2:$D$77,2,0),0)</f>
        <v>Running m/c</v>
      </c>
      <c r="X63" s="61">
        <f ca="1">#REF!+Table25[[#This Row],[Rejection Identified at]]</f>
        <v>0</v>
      </c>
      <c r="Y63" s="63">
        <f>IFERROR(VLOOKUP(Table25[[#This Row],[Reason]],Coding!A60:C117,3,0),0)</f>
        <v>0</v>
      </c>
    </row>
    <row r="64" spans="1:25" ht="20.25" customHeight="1">
      <c r="A64" s="60">
        <v>60</v>
      </c>
      <c r="B64" s="61">
        <v>44</v>
      </c>
      <c r="C64" s="61" t="str">
        <f>IFERROR(VLOOKUP(Table25[[#This Row],[Code]],'[2]New Machine sheet'!$A$1:$D$101,2,0),0)</f>
        <v>LT20-NEW</v>
      </c>
      <c r="D64" s="61" t="str">
        <f>IFERROR(VLOOKUP(Table25[[#This Row],[M/c No]],'[2]New Machine sheet'!$B$1:$D$101,2,0),0)</f>
        <v>ACE</v>
      </c>
      <c r="E64" s="61" t="str">
        <f>IFERROR(VLOOKUP(Table25[[#This Row],[M/c Name]],'[2]New Machine sheet'!$C$1:$D$101,2,0),0)</f>
        <v xml:space="preserve">turning </v>
      </c>
      <c r="F64" s="61">
        <v>122</v>
      </c>
      <c r="G64" s="61">
        <f>IFERROR(VLOOKUP(Table25[[#This Row],[Code2]],'[2]New Machine sheet'!$F$2:$I$64,2,),0)</f>
        <v>24122</v>
      </c>
      <c r="H64" s="61" t="str">
        <f>IFERROR(VLOOKUP(Table25[[#This Row],[Code2]],'[2]New Machine sheet'!$F$2:$I$64,3,0),0)</f>
        <v>RE J1</v>
      </c>
      <c r="I64" s="61" t="s">
        <v>169</v>
      </c>
      <c r="J64" s="61">
        <v>57</v>
      </c>
      <c r="K64" s="61" t="str">
        <f>IFERROR(VLOOKUP(Table25[[#This Row],[Code3]],'[2]New defect code '!$A$2:$D$129,2,0),0)</f>
        <v>OD chatring</v>
      </c>
      <c r="L64" s="61" t="s">
        <v>178</v>
      </c>
      <c r="M64" s="56">
        <v>46266</v>
      </c>
      <c r="N64" s="61">
        <v>2</v>
      </c>
      <c r="O64" s="61"/>
      <c r="P64" s="61"/>
      <c r="Q64" s="61"/>
      <c r="R64" s="61">
        <f>SUBTOTAL(9,Table25[[#This Row],[1st]:[FQC]])</f>
        <v>2</v>
      </c>
      <c r="S64" s="61">
        <f>IFERROR(VLOOKUP(Table25[[#This Row],[Part No.]],'[2]New Machine sheet'!$G$2:$I$90,3,0),0)</f>
        <v>335.39977528089889</v>
      </c>
      <c r="T64" s="61">
        <f>Table25[[#This Row],[cost per piece]]*Table25[[#This Row],[Total Rej. qty]]</f>
        <v>670.79955056179779</v>
      </c>
      <c r="U64" s="61">
        <f>IFERROR(VLOOKUP(Table25[[#This Row],[Non Conformance]],'[2]New defect code '!$B$2:$C$129,2,0),0)</f>
        <v>0</v>
      </c>
      <c r="V64" s="61">
        <v>45</v>
      </c>
      <c r="W64" s="61" t="str">
        <f>IFERROR(VLOOKUP(Table25[[#This Row],[Code4]],'[2]New Reason code'!$A$2:$D$77,2,0),0)</f>
        <v>Running m/c</v>
      </c>
      <c r="X64" s="61">
        <f ca="1">#REF!+Table25[[#This Row],[Rejection Identified at]]</f>
        <v>0</v>
      </c>
      <c r="Y64" s="63">
        <f>IFERROR(VLOOKUP(Table25[[#This Row],[Reason]],Coding!A61:C118,3,0),0)</f>
        <v>0</v>
      </c>
    </row>
    <row r="65" spans="1:25" ht="20.25" customHeight="1">
      <c r="A65" s="50">
        <v>61</v>
      </c>
      <c r="B65" s="61">
        <v>47</v>
      </c>
      <c r="C65" s="61" t="str">
        <f>IFERROR(VLOOKUP(Table25[[#This Row],[Code]],'[2]New Machine sheet'!$A$1:$D$101,2,0),0)</f>
        <v>MURATEC-03</v>
      </c>
      <c r="D65" s="61" t="str">
        <f>IFERROR(VLOOKUP(Table25[[#This Row],[M/c No]],'[2]New Machine sheet'!$B$1:$D$101,2,0),0)</f>
        <v>MURATEC</v>
      </c>
      <c r="E65" s="61" t="str">
        <f>IFERROR(VLOOKUP(Table25[[#This Row],[M/c Name]],'[2]New Machine sheet'!$C$1:$D$101,2,0),0)</f>
        <v xml:space="preserve">turning </v>
      </c>
      <c r="F65" s="61">
        <v>127</v>
      </c>
      <c r="G65" s="61">
        <f>IFERROR(VLOOKUP(Table25[[#This Row],[Code2]],'[2]New Machine sheet'!$F$2:$I$64,2,),0)</f>
        <v>24127</v>
      </c>
      <c r="H65" s="61" t="str">
        <f>IFERROR(VLOOKUP(Table25[[#This Row],[Code2]],'[2]New Machine sheet'!$F$2:$I$64,3,0),0)</f>
        <v>RE J1</v>
      </c>
      <c r="I65" s="61" t="s">
        <v>130</v>
      </c>
      <c r="J65" s="61">
        <v>61</v>
      </c>
      <c r="K65" s="61" t="str">
        <f>IFERROR(VLOOKUP(Table25[[#This Row],[Code3]],'[2]New defect code '!$A$2:$D$129,2,0),0)</f>
        <v>Od o/s</v>
      </c>
      <c r="L65" s="61" t="s">
        <v>178</v>
      </c>
      <c r="M65" s="56">
        <v>46266</v>
      </c>
      <c r="N65" s="61">
        <v>2</v>
      </c>
      <c r="O65" s="61"/>
      <c r="P65" s="61"/>
      <c r="Q65" s="61"/>
      <c r="R65" s="61">
        <f>SUBTOTAL(9,Table25[[#This Row],[1st]:[FQC]])</f>
        <v>2</v>
      </c>
      <c r="S65" s="61">
        <f>IFERROR(VLOOKUP(Table25[[#This Row],[Part No.]],'[2]New Machine sheet'!$G$2:$I$90,3,0),0)</f>
        <v>262.81200000000001</v>
      </c>
      <c r="T65" s="61">
        <f>Table25[[#This Row],[cost per piece]]*Table25[[#This Row],[Total Rej. qty]]</f>
        <v>525.62400000000002</v>
      </c>
      <c r="U65" s="61">
        <f>IFERROR(VLOOKUP(Table25[[#This Row],[Non Conformance]],'[2]New defect code '!$B$2:$C$129,2,0),0)</f>
        <v>0</v>
      </c>
      <c r="V65" s="61">
        <v>45</v>
      </c>
      <c r="W65" s="61" t="str">
        <f>IFERROR(VLOOKUP(Table25[[#This Row],[Code4]],'[2]New Reason code'!$A$2:$D$77,2,0),0)</f>
        <v>Running m/c</v>
      </c>
      <c r="X65" s="61">
        <f ca="1">#REF!+Table25[[#This Row],[Rejection Identified at]]</f>
        <v>0</v>
      </c>
      <c r="Y65" s="63">
        <f>IFERROR(VLOOKUP(Table25[[#This Row],[Reason]],Coding!A62:C119,3,0),0)</f>
        <v>0</v>
      </c>
    </row>
    <row r="66" spans="1:25" ht="20.25" customHeight="1">
      <c r="A66" s="60">
        <v>62</v>
      </c>
      <c r="B66" s="61">
        <v>47</v>
      </c>
      <c r="C66" s="61" t="str">
        <f>IFERROR(VLOOKUP(Table25[[#This Row],[Code]],'[2]New Machine sheet'!$A$1:$D$101,2,0),0)</f>
        <v>MURATEC-03</v>
      </c>
      <c r="D66" s="61" t="str">
        <f>IFERROR(VLOOKUP(Table25[[#This Row],[M/c No]],'[2]New Machine sheet'!$B$1:$D$101,2,0),0)</f>
        <v>MURATEC</v>
      </c>
      <c r="E66" s="61" t="str">
        <f>IFERROR(VLOOKUP(Table25[[#This Row],[M/c Name]],'[2]New Machine sheet'!$C$1:$D$101,2,0),0)</f>
        <v xml:space="preserve">turning </v>
      </c>
      <c r="F66" s="61">
        <v>127</v>
      </c>
      <c r="G66" s="61">
        <f>IFERROR(VLOOKUP(Table25[[#This Row],[Code2]],'[2]New Machine sheet'!$F$2:$I$64,2,),0)</f>
        <v>24127</v>
      </c>
      <c r="H66" s="61" t="str">
        <f>IFERROR(VLOOKUP(Table25[[#This Row],[Code2]],'[2]New Machine sheet'!$F$2:$I$64,3,0),0)</f>
        <v>RE J1</v>
      </c>
      <c r="I66" s="61" t="s">
        <v>130</v>
      </c>
      <c r="J66" s="61">
        <v>71</v>
      </c>
      <c r="K66" s="61" t="str">
        <f>IFERROR(VLOOKUP(Table25[[#This Row],[Code3]],'[2]New defect code '!$A$2:$D$129,2,0),0)</f>
        <v>PG go not qualify</v>
      </c>
      <c r="L66" s="61" t="s">
        <v>178</v>
      </c>
      <c r="M66" s="56">
        <v>46266</v>
      </c>
      <c r="N66" s="61">
        <v>1</v>
      </c>
      <c r="O66" s="61"/>
      <c r="P66" s="61"/>
      <c r="Q66" s="61"/>
      <c r="R66" s="61">
        <f>SUBTOTAL(9,Table25[[#This Row],[1st]:[FQC]])</f>
        <v>1</v>
      </c>
      <c r="S66" s="61">
        <f>IFERROR(VLOOKUP(Table25[[#This Row],[Part No.]],'[2]New Machine sheet'!$G$2:$I$90,3,0),0)</f>
        <v>262.81200000000001</v>
      </c>
      <c r="T66" s="61">
        <f>Table25[[#This Row],[cost per piece]]*Table25[[#This Row],[Total Rej. qty]]</f>
        <v>262.81200000000001</v>
      </c>
      <c r="U66" s="61">
        <f>IFERROR(VLOOKUP(Table25[[#This Row],[Non Conformance]],'[2]New defect code '!$B$2:$C$129,2,0),0)</f>
        <v>0</v>
      </c>
      <c r="V66" s="61">
        <v>45</v>
      </c>
      <c r="W66" s="61" t="str">
        <f>IFERROR(VLOOKUP(Table25[[#This Row],[Code4]],'[2]New Reason code'!$A$2:$D$77,2,0),0)</f>
        <v>Running m/c</v>
      </c>
      <c r="X66" s="61">
        <f ca="1">#REF!+Table25[[#This Row],[Rejection Identified at]]</f>
        <v>0</v>
      </c>
      <c r="Y66" s="63">
        <f>IFERROR(VLOOKUP(Table25[[#This Row],[Reason]],Coding!A63:C120,3,0),0)</f>
        <v>0</v>
      </c>
    </row>
    <row r="67" spans="1:25" ht="20.25" customHeight="1">
      <c r="A67" s="50">
        <v>63</v>
      </c>
      <c r="B67" s="61">
        <v>2</v>
      </c>
      <c r="C67" s="61" t="str">
        <f>IFERROR(VLOOKUP(Table25[[#This Row],[Code]],'[2]New Machine sheet'!$A$1:$D$101,2,0),0)</f>
        <v>282-02</v>
      </c>
      <c r="D67" s="61" t="str">
        <f>IFERROR(VLOOKUP(Table25[[#This Row],[M/c No]],'[2]New Machine sheet'!$B$1:$D$101,2,0),0)</f>
        <v>Mazak</v>
      </c>
      <c r="E67" s="61" t="str">
        <f>IFERROR(VLOOKUP(Table25[[#This Row],[M/c Name]],'[2]New Machine sheet'!$C$1:$D$101,2,0),0)</f>
        <v>Turning</v>
      </c>
      <c r="F67" s="61">
        <v>121</v>
      </c>
      <c r="G67" s="61">
        <f>IFERROR(VLOOKUP(Table25[[#This Row],[Code2]],'[2]New Machine sheet'!$F$2:$I$64,2,),0)</f>
        <v>24121</v>
      </c>
      <c r="H67" s="61" t="str">
        <f>IFERROR(VLOOKUP(Table25[[#This Row],[Code2]],'[2]New Machine sheet'!$F$2:$I$64,3,0),0)</f>
        <v>RE J1</v>
      </c>
      <c r="I67" s="61" t="s">
        <v>122</v>
      </c>
      <c r="J67" s="61">
        <v>71</v>
      </c>
      <c r="K67" s="61" t="str">
        <f>IFERROR(VLOOKUP(Table25[[#This Row],[Code3]],'[2]New defect code '!$A$2:$D$129,2,0),0)</f>
        <v>PG go not qualify</v>
      </c>
      <c r="L67" s="61" t="s">
        <v>178</v>
      </c>
      <c r="M67" s="56">
        <v>46266</v>
      </c>
      <c r="N67" s="61">
        <v>20</v>
      </c>
      <c r="O67" s="61"/>
      <c r="P67" s="61"/>
      <c r="Q67" s="61"/>
      <c r="R67" s="61">
        <f>SUBTOTAL(9,Table25[[#This Row],[1st]:[FQC]])</f>
        <v>20</v>
      </c>
      <c r="S67" s="61">
        <f>IFERROR(VLOOKUP(Table25[[#This Row],[Part No.]],'[2]New Machine sheet'!$G$2:$I$90,3,0),0)</f>
        <v>135.66999999999999</v>
      </c>
      <c r="T67" s="61">
        <f>Table25[[#This Row],[cost per piece]]*Table25[[#This Row],[Total Rej. qty]]</f>
        <v>2713.3999999999996</v>
      </c>
      <c r="U67" s="61">
        <f>IFERROR(VLOOKUP(Table25[[#This Row],[Non Conformance]],'[2]New defect code '!$B$2:$C$129,2,0),0)</f>
        <v>0</v>
      </c>
      <c r="V67" s="61">
        <v>45</v>
      </c>
      <c r="W67" s="61" t="str">
        <f>IFERROR(VLOOKUP(Table25[[#This Row],[Code4]],'[2]New Reason code'!$A$2:$D$77,2,0),0)</f>
        <v>Running m/c</v>
      </c>
      <c r="X67" s="61">
        <f ca="1">#REF!+Table25[[#This Row],[Rejection Identified at]]</f>
        <v>0</v>
      </c>
      <c r="Y67" s="63">
        <f>IFERROR(VLOOKUP(Table25[[#This Row],[Reason]],Coding!A64:C121,3,0),0)</f>
        <v>0</v>
      </c>
    </row>
    <row r="68" spans="1:25" ht="20.25" customHeight="1">
      <c r="A68" s="60">
        <v>64</v>
      </c>
      <c r="B68" s="61">
        <v>37</v>
      </c>
      <c r="C68" s="61" t="str">
        <f>IFERROR(VLOOKUP(Table25[[#This Row],[Code]],'[2]New Machine sheet'!$A$1:$D$101,2,0),0)</f>
        <v>ACE-17</v>
      </c>
      <c r="D68" s="61" t="str">
        <f>IFERROR(VLOOKUP(Table25[[#This Row],[M/c No]],'[2]New Machine sheet'!$B$1:$D$101,2,0),0)</f>
        <v>Micromatic</v>
      </c>
      <c r="E68" s="61" t="str">
        <f>IFERROR(VLOOKUP(Table25[[#This Row],[M/c Name]],'[2]New Machine sheet'!$C$1:$D$101,2,0),0)</f>
        <v>Turning</v>
      </c>
      <c r="F68" s="61">
        <v>127</v>
      </c>
      <c r="G68" s="61">
        <f>IFERROR(VLOOKUP(Table25[[#This Row],[Code2]],'[2]New Machine sheet'!$F$2:$I$64,2,),0)</f>
        <v>24127</v>
      </c>
      <c r="H68" s="61" t="str">
        <f>IFERROR(VLOOKUP(Table25[[#This Row],[Code2]],'[2]New Machine sheet'!$F$2:$I$64,3,0),0)</f>
        <v>RE J1</v>
      </c>
      <c r="I68" s="61" t="s">
        <v>137</v>
      </c>
      <c r="J68" s="61">
        <v>73</v>
      </c>
      <c r="K68" s="61" t="str">
        <f>IFERROR(VLOOKUP(Table25[[#This Row],[Code3]],'[2]New defect code '!$A$2:$D$129,2,0),0)</f>
        <v>PG NO go pass (Bush Bore o/s)</v>
      </c>
      <c r="L68" s="61" t="s">
        <v>178</v>
      </c>
      <c r="M68" s="56">
        <v>46266</v>
      </c>
      <c r="N68" s="61"/>
      <c r="O68" s="61">
        <v>1</v>
      </c>
      <c r="P68" s="61"/>
      <c r="Q68" s="61"/>
      <c r="R68" s="61">
        <f>SUBTOTAL(9,Table25[[#This Row],[1st]:[FQC]])</f>
        <v>1</v>
      </c>
      <c r="S68" s="61">
        <f>IFERROR(VLOOKUP(Table25[[#This Row],[Part No.]],'[2]New Machine sheet'!$G$2:$I$90,3,0),0)</f>
        <v>262.81200000000001</v>
      </c>
      <c r="T68" s="61">
        <f>Table25[[#This Row],[cost per piece]]*Table25[[#This Row],[Total Rej. qty]]</f>
        <v>262.81200000000001</v>
      </c>
      <c r="U68" s="61">
        <f>IFERROR(VLOOKUP(Table25[[#This Row],[Non Conformance]],'[2]New defect code '!$B$2:$C$129,2,0),0)</f>
        <v>0</v>
      </c>
      <c r="V68" s="61">
        <v>18</v>
      </c>
      <c r="W68" s="61" t="str">
        <f>IFERROR(VLOOKUP(Table25[[#This Row],[Code4]],'[2]New Reason code'!$A$2:$D$77,2,0),0)</f>
        <v>During insert change</v>
      </c>
      <c r="X68" s="61">
        <f ca="1">#REF!+Table25[[#This Row],[Rejection Identified at]]</f>
        <v>0</v>
      </c>
      <c r="Y68" s="63">
        <f>IFERROR(VLOOKUP(Table25[[#This Row],[Reason]],Coding!A65:C122,3,0),0)</f>
        <v>0</v>
      </c>
    </row>
    <row r="69" spans="1:25" ht="20.25" customHeight="1">
      <c r="A69" s="50">
        <v>65</v>
      </c>
      <c r="B69" s="61">
        <v>5</v>
      </c>
      <c r="C69" s="61" t="str">
        <f>IFERROR(VLOOKUP(Table25[[#This Row],[Code]],'[2]New Machine sheet'!$A$1:$D$101,2,0),0)</f>
        <v>282-05</v>
      </c>
      <c r="D69" s="61" t="str">
        <f>IFERROR(VLOOKUP(Table25[[#This Row],[M/c No]],'[2]New Machine sheet'!$B$1:$D$101,2,0),0)</f>
        <v>Mazak</v>
      </c>
      <c r="E69" s="61" t="str">
        <f>IFERROR(VLOOKUP(Table25[[#This Row],[M/c Name]],'[2]New Machine sheet'!$C$1:$D$101,2,0),0)</f>
        <v>Turning</v>
      </c>
      <c r="F69" s="61">
        <v>119</v>
      </c>
      <c r="G69" s="61">
        <f>IFERROR(VLOOKUP(Table25[[#This Row],[Code2]],'[2]New Machine sheet'!$F$2:$I$64,2,),0)</f>
        <v>24119</v>
      </c>
      <c r="H69" s="61" t="str">
        <f>IFERROR(VLOOKUP(Table25[[#This Row],[Code2]],'[2]New Machine sheet'!$F$2:$I$64,3,0),0)</f>
        <v>RE J1</v>
      </c>
      <c r="I69" s="61" t="s">
        <v>113</v>
      </c>
      <c r="J69" s="61">
        <v>10</v>
      </c>
      <c r="K69" s="61" t="str">
        <f>IFERROR(VLOOKUP(Table25[[#This Row],[Code3]],'[2]New defect code '!$A$2:$D$129,2,0),0)</f>
        <v xml:space="preserve">Bore u/s </v>
      </c>
      <c r="L69" s="61" t="s">
        <v>178</v>
      </c>
      <c r="M69" s="56">
        <v>46266</v>
      </c>
      <c r="N69" s="61"/>
      <c r="O69" s="61">
        <v>1</v>
      </c>
      <c r="P69" s="61"/>
      <c r="Q69" s="61"/>
      <c r="R69" s="61">
        <f>SUBTOTAL(9,Table25[[#This Row],[1st]:[FQC]])</f>
        <v>1</v>
      </c>
      <c r="S69" s="61">
        <f>IFERROR(VLOOKUP(Table25[[#This Row],[Part No.]],'[2]New Machine sheet'!$G$2:$I$90,3,0),0)</f>
        <v>103.2</v>
      </c>
      <c r="T69" s="61">
        <f>Table25[[#This Row],[cost per piece]]*Table25[[#This Row],[Total Rej. qty]]</f>
        <v>103.2</v>
      </c>
      <c r="U69" s="61">
        <f>IFERROR(VLOOKUP(Table25[[#This Row],[Non Conformance]],'[2]New defect code '!$B$2:$C$129,2,0),0)</f>
        <v>0</v>
      </c>
      <c r="V69" s="61">
        <v>44</v>
      </c>
      <c r="W69" s="61" t="str">
        <f>IFERROR(VLOOKUP(Table25[[#This Row],[Code4]],'[2]New Reason code'!$A$2:$D$77,2,0),0)</f>
        <v xml:space="preserve">Power cut </v>
      </c>
      <c r="X69" s="61">
        <f ca="1">#REF!+Table25[[#This Row],[Rejection Identified at]]</f>
        <v>0</v>
      </c>
      <c r="Y69" s="63">
        <f>IFERROR(VLOOKUP(Table25[[#This Row],[Reason]],Coding!A66:C123,3,0),0)</f>
        <v>0</v>
      </c>
    </row>
    <row r="70" spans="1:25" ht="20.25" customHeight="1">
      <c r="A70" s="60">
        <v>66</v>
      </c>
      <c r="B70" s="61">
        <v>7</v>
      </c>
      <c r="C70" s="61" t="str">
        <f>IFERROR(VLOOKUP(Table25[[#This Row],[Code]],'[2]New Machine sheet'!$A$1:$D$101,2,0),0)</f>
        <v>282-07</v>
      </c>
      <c r="D70" s="61" t="str">
        <f>IFERROR(VLOOKUP(Table25[[#This Row],[M/c No]],'[2]New Machine sheet'!$B$1:$D$101,2,0),0)</f>
        <v>Mazak</v>
      </c>
      <c r="E70" s="61" t="str">
        <f>IFERROR(VLOOKUP(Table25[[#This Row],[M/c Name]],'[2]New Machine sheet'!$C$1:$D$101,2,0),0)</f>
        <v>Turning</v>
      </c>
      <c r="F70" s="61">
        <v>119</v>
      </c>
      <c r="G70" s="61">
        <f>IFERROR(VLOOKUP(Table25[[#This Row],[Code2]],'[2]New Machine sheet'!$F$2:$I$64,2,),0)</f>
        <v>24119</v>
      </c>
      <c r="H70" s="61" t="str">
        <f>IFERROR(VLOOKUP(Table25[[#This Row],[Code2]],'[2]New Machine sheet'!$F$2:$I$64,3,0),0)</f>
        <v>RE J1</v>
      </c>
      <c r="I70" s="61" t="s">
        <v>113</v>
      </c>
      <c r="J70" s="61">
        <v>10</v>
      </c>
      <c r="K70" s="61" t="str">
        <f>IFERROR(VLOOKUP(Table25[[#This Row],[Code3]],'[2]New defect code '!$A$2:$D$129,2,0),0)</f>
        <v xml:space="preserve">Bore u/s </v>
      </c>
      <c r="L70" s="61" t="s">
        <v>178</v>
      </c>
      <c r="M70" s="56">
        <v>46266</v>
      </c>
      <c r="N70" s="61"/>
      <c r="O70" s="61">
        <v>1</v>
      </c>
      <c r="P70" s="61"/>
      <c r="Q70" s="61"/>
      <c r="R70" s="61">
        <f>SUBTOTAL(9,Table25[[#This Row],[1st]:[FQC]])</f>
        <v>1</v>
      </c>
      <c r="S70" s="61">
        <f>IFERROR(VLOOKUP(Table25[[#This Row],[Part No.]],'[2]New Machine sheet'!$G$2:$I$90,3,0),0)</f>
        <v>103.2</v>
      </c>
      <c r="T70" s="61">
        <f>Table25[[#This Row],[cost per piece]]*Table25[[#This Row],[Total Rej. qty]]</f>
        <v>103.2</v>
      </c>
      <c r="U70" s="61">
        <f>IFERROR(VLOOKUP(Table25[[#This Row],[Non Conformance]],'[2]New defect code '!$B$2:$C$129,2,0),0)</f>
        <v>0</v>
      </c>
      <c r="V70" s="61">
        <v>44</v>
      </c>
      <c r="W70" s="61" t="str">
        <f>IFERROR(VLOOKUP(Table25[[#This Row],[Code4]],'[2]New Reason code'!$A$2:$D$77,2,0),0)</f>
        <v xml:space="preserve">Power cut </v>
      </c>
      <c r="X70" s="61">
        <f ca="1">#REF!+Table25[[#This Row],[Rejection Identified at]]</f>
        <v>0</v>
      </c>
      <c r="Y70" s="63">
        <f>IFERROR(VLOOKUP(Table25[[#This Row],[Reason]],Coding!A67:C124,3,0),0)</f>
        <v>0</v>
      </c>
    </row>
    <row r="71" spans="1:25" ht="20.25" customHeight="1">
      <c r="A71" s="50">
        <v>67</v>
      </c>
      <c r="B71" s="61">
        <v>8</v>
      </c>
      <c r="C71" s="61" t="str">
        <f>IFERROR(VLOOKUP(Table25[[#This Row],[Code]],'[2]New Machine sheet'!$A$1:$D$101,2,0),0)</f>
        <v>282-08</v>
      </c>
      <c r="D71" s="61" t="str">
        <f>IFERROR(VLOOKUP(Table25[[#This Row],[M/c No]],'[2]New Machine sheet'!$B$1:$D$101,2,0),0)</f>
        <v>Mazak</v>
      </c>
      <c r="E71" s="61" t="str">
        <f>IFERROR(VLOOKUP(Table25[[#This Row],[M/c Name]],'[2]New Machine sheet'!$C$1:$D$101,2,0),0)</f>
        <v>Turning</v>
      </c>
      <c r="F71" s="61">
        <v>117</v>
      </c>
      <c r="G71" s="61">
        <f>IFERROR(VLOOKUP(Table25[[#This Row],[Code2]],'[2]New Machine sheet'!$F$2:$I$64,2,),0)</f>
        <v>24117</v>
      </c>
      <c r="H71" s="61" t="str">
        <f>IFERROR(VLOOKUP(Table25[[#This Row],[Code2]],'[2]New Machine sheet'!$F$2:$I$64,3,0),0)</f>
        <v>RE J1</v>
      </c>
      <c r="I71" s="61" t="s">
        <v>113</v>
      </c>
      <c r="J71" s="61">
        <v>10</v>
      </c>
      <c r="K71" s="61" t="str">
        <f>IFERROR(VLOOKUP(Table25[[#This Row],[Code3]],'[2]New defect code '!$A$2:$D$129,2,0),0)</f>
        <v xml:space="preserve">Bore u/s </v>
      </c>
      <c r="L71" s="61" t="s">
        <v>178</v>
      </c>
      <c r="M71" s="56">
        <v>46266</v>
      </c>
      <c r="N71" s="61"/>
      <c r="O71" s="61">
        <v>1</v>
      </c>
      <c r="P71" s="61"/>
      <c r="Q71" s="61"/>
      <c r="R71" s="61">
        <f>SUBTOTAL(9,Table25[[#This Row],[1st]:[FQC]])</f>
        <v>1</v>
      </c>
      <c r="S71" s="61">
        <f>IFERROR(VLOOKUP(Table25[[#This Row],[Part No.]],'[2]New Machine sheet'!$G$2:$I$90,3,0),0)</f>
        <v>111.97</v>
      </c>
      <c r="T71" s="61">
        <f>Table25[[#This Row],[cost per piece]]*Table25[[#This Row],[Total Rej. qty]]</f>
        <v>111.97</v>
      </c>
      <c r="U71" s="61">
        <f>IFERROR(VLOOKUP(Table25[[#This Row],[Non Conformance]],'[2]New defect code '!$B$2:$C$129,2,0),0)</f>
        <v>0</v>
      </c>
      <c r="V71" s="61">
        <v>44</v>
      </c>
      <c r="W71" s="61" t="str">
        <f>IFERROR(VLOOKUP(Table25[[#This Row],[Code4]],'[2]New Reason code'!$A$2:$D$77,2,0),0)</f>
        <v xml:space="preserve">Power cut </v>
      </c>
      <c r="X71" s="61">
        <f ca="1">#REF!+Table25[[#This Row],[Rejection Identified at]]</f>
        <v>0</v>
      </c>
      <c r="Y71" s="63">
        <f>IFERROR(VLOOKUP(Table25[[#This Row],[Reason]],Coding!A68:C125,3,0),0)</f>
        <v>0</v>
      </c>
    </row>
    <row r="72" spans="1:25" ht="20.25" customHeight="1">
      <c r="A72" s="60">
        <v>68</v>
      </c>
      <c r="B72" s="61">
        <v>39</v>
      </c>
      <c r="C72" s="61" t="str">
        <f>IFERROR(VLOOKUP(Table25[[#This Row],[Code]],'[2]New Machine sheet'!$A$1:$D$101,2,0),0)</f>
        <v>ACE-19</v>
      </c>
      <c r="D72" s="61" t="str">
        <f>IFERROR(VLOOKUP(Table25[[#This Row],[M/c No]],'[2]New Machine sheet'!$B$1:$D$101,2,0),0)</f>
        <v>Micromatic</v>
      </c>
      <c r="E72" s="61" t="str">
        <f>IFERROR(VLOOKUP(Table25[[#This Row],[M/c Name]],'[2]New Machine sheet'!$C$1:$D$101,2,0),0)</f>
        <v>Turning</v>
      </c>
      <c r="F72" s="61">
        <v>117</v>
      </c>
      <c r="G72" s="61">
        <f>IFERROR(VLOOKUP(Table25[[#This Row],[Code2]],'[2]New Machine sheet'!$F$2:$I$64,2,),0)</f>
        <v>24117</v>
      </c>
      <c r="H72" s="61" t="str">
        <f>IFERROR(VLOOKUP(Table25[[#This Row],[Code2]],'[2]New Machine sheet'!$F$2:$I$64,3,0),0)</f>
        <v>RE J1</v>
      </c>
      <c r="I72" s="61" t="s">
        <v>113</v>
      </c>
      <c r="J72" s="61">
        <v>10</v>
      </c>
      <c r="K72" s="61" t="str">
        <f>IFERROR(VLOOKUP(Table25[[#This Row],[Code3]],'[2]New defect code '!$A$2:$D$129,2,0),0)</f>
        <v xml:space="preserve">Bore u/s </v>
      </c>
      <c r="L72" s="61" t="s">
        <v>178</v>
      </c>
      <c r="M72" s="56">
        <v>46266</v>
      </c>
      <c r="N72" s="61"/>
      <c r="O72" s="61">
        <v>1</v>
      </c>
      <c r="P72" s="61"/>
      <c r="Q72" s="61"/>
      <c r="R72" s="61">
        <f>SUBTOTAL(9,Table25[[#This Row],[1st]:[FQC]])</f>
        <v>1</v>
      </c>
      <c r="S72" s="61">
        <f>IFERROR(VLOOKUP(Table25[[#This Row],[Part No.]],'[2]New Machine sheet'!$G$2:$I$90,3,0),0)</f>
        <v>111.97</v>
      </c>
      <c r="T72" s="61">
        <f>Table25[[#This Row],[cost per piece]]*Table25[[#This Row],[Total Rej. qty]]</f>
        <v>111.97</v>
      </c>
      <c r="U72" s="61">
        <f>IFERROR(VLOOKUP(Table25[[#This Row],[Non Conformance]],'[2]New defect code '!$B$2:$C$129,2,0),0)</f>
        <v>0</v>
      </c>
      <c r="V72" s="61">
        <v>44</v>
      </c>
      <c r="W72" s="61" t="str">
        <f>IFERROR(VLOOKUP(Table25[[#This Row],[Code4]],'[2]New Reason code'!$A$2:$D$77,2,0),0)</f>
        <v xml:space="preserve">Power cut </v>
      </c>
      <c r="X72" s="61">
        <f ca="1">#REF!+Table25[[#This Row],[Rejection Identified at]]</f>
        <v>0</v>
      </c>
      <c r="Y72" s="63">
        <f>IFERROR(VLOOKUP(Table25[[#This Row],[Reason]],Coding!A69:C126,3,0),0)</f>
        <v>0</v>
      </c>
    </row>
    <row r="73" spans="1:25" ht="20.25" customHeight="1">
      <c r="A73" s="50">
        <v>69</v>
      </c>
      <c r="B73" s="61">
        <v>15</v>
      </c>
      <c r="C73" s="61" t="str">
        <f>IFERROR(VLOOKUP(Table25[[#This Row],[Code]],'[2]New Machine sheet'!$A$1:$D$101,2,0),0)</f>
        <v>282-15</v>
      </c>
      <c r="D73" s="61" t="str">
        <f>IFERROR(VLOOKUP(Table25[[#This Row],[M/c No]],'[2]New Machine sheet'!$B$1:$D$101,2,0),0)</f>
        <v>Mazak</v>
      </c>
      <c r="E73" s="61" t="str">
        <f>IFERROR(VLOOKUP(Table25[[#This Row],[M/c Name]],'[2]New Machine sheet'!$C$1:$D$101,2,0),0)</f>
        <v>Turning</v>
      </c>
      <c r="F73" s="61">
        <v>78</v>
      </c>
      <c r="G73" s="61">
        <f>IFERROR(VLOOKUP(Table25[[#This Row],[Code2]],'[2]New Machine sheet'!$F$2:$I$64,2,),0)</f>
        <v>2478</v>
      </c>
      <c r="H73" s="61" t="str">
        <f>IFERROR(VLOOKUP(Table25[[#This Row],[Code2]],'[2]New Machine sheet'!$F$2:$I$64,3,0),0)</f>
        <v>RE P1</v>
      </c>
      <c r="I73" s="61" t="s">
        <v>175</v>
      </c>
      <c r="J73" s="61">
        <v>10</v>
      </c>
      <c r="K73" s="61" t="str">
        <f>IFERROR(VLOOKUP(Table25[[#This Row],[Code3]],'[2]New defect code '!$A$2:$D$129,2,0),0)</f>
        <v xml:space="preserve">Bore u/s </v>
      </c>
      <c r="L73" s="61" t="s">
        <v>178</v>
      </c>
      <c r="M73" s="56">
        <v>46266</v>
      </c>
      <c r="N73" s="61"/>
      <c r="O73" s="61">
        <v>2</v>
      </c>
      <c r="P73" s="61"/>
      <c r="Q73" s="61"/>
      <c r="R73" s="61">
        <f>SUBTOTAL(9,Table25[[#This Row],[1st]:[FQC]])</f>
        <v>2</v>
      </c>
      <c r="S73" s="61">
        <f>IFERROR(VLOOKUP(Table25[[#This Row],[Part No.]],'[2]New Machine sheet'!$G$2:$I$90,3,0),0)</f>
        <v>468.06</v>
      </c>
      <c r="T73" s="61">
        <f>Table25[[#This Row],[cost per piece]]*Table25[[#This Row],[Total Rej. qty]]</f>
        <v>936.12</v>
      </c>
      <c r="U73" s="61">
        <f>IFERROR(VLOOKUP(Table25[[#This Row],[Non Conformance]],'[2]New defect code '!$B$2:$C$129,2,0),0)</f>
        <v>0</v>
      </c>
      <c r="V73" s="61">
        <v>45</v>
      </c>
      <c r="W73" s="61" t="str">
        <f>IFERROR(VLOOKUP(Table25[[#This Row],[Code4]],'[2]New Reason code'!$A$2:$D$77,2,0),0)</f>
        <v>Running m/c</v>
      </c>
      <c r="X73" s="61">
        <f ca="1">#REF!+Table25[[#This Row],[Rejection Identified at]]</f>
        <v>0</v>
      </c>
      <c r="Y73" s="63">
        <f>IFERROR(VLOOKUP(Table25[[#This Row],[Reason]],Coding!A70:C127,3,0),0)</f>
        <v>0</v>
      </c>
    </row>
    <row r="74" spans="1:25" ht="20.25" customHeight="1">
      <c r="A74" s="60">
        <v>70</v>
      </c>
      <c r="B74" s="61">
        <v>4</v>
      </c>
      <c r="C74" s="61" t="str">
        <f>IFERROR(VLOOKUP(Table25[[#This Row],[Code]],'[2]New Machine sheet'!$A$1:$D$101,2,0),0)</f>
        <v>282-04</v>
      </c>
      <c r="D74" s="61" t="str">
        <f>IFERROR(VLOOKUP(Table25[[#This Row],[M/c No]],'[2]New Machine sheet'!$B$1:$D$101,2,0),0)</f>
        <v>Mazak</v>
      </c>
      <c r="E74" s="61" t="str">
        <f>IFERROR(VLOOKUP(Table25[[#This Row],[M/c Name]],'[2]New Machine sheet'!$C$1:$D$101,2,0),0)</f>
        <v>Turning</v>
      </c>
      <c r="F74" s="61">
        <v>117</v>
      </c>
      <c r="G74" s="61">
        <f>IFERROR(VLOOKUP(Table25[[#This Row],[Code2]],'[2]New Machine sheet'!$F$2:$I$64,2,),0)</f>
        <v>24117</v>
      </c>
      <c r="H74" s="61" t="str">
        <f>IFERROR(VLOOKUP(Table25[[#This Row],[Code2]],'[2]New Machine sheet'!$F$2:$I$64,3,0),0)</f>
        <v>RE J1</v>
      </c>
      <c r="I74" s="61" t="s">
        <v>140</v>
      </c>
      <c r="J74" s="61">
        <v>10</v>
      </c>
      <c r="K74" s="61" t="str">
        <f>IFERROR(VLOOKUP(Table25[[#This Row],[Code3]],'[2]New defect code '!$A$2:$D$129,2,0),0)</f>
        <v xml:space="preserve">Bore u/s </v>
      </c>
      <c r="L74" s="61" t="s">
        <v>178</v>
      </c>
      <c r="M74" s="56">
        <v>46266</v>
      </c>
      <c r="N74" s="61"/>
      <c r="O74" s="61">
        <v>1</v>
      </c>
      <c r="P74" s="61"/>
      <c r="Q74" s="61"/>
      <c r="R74" s="61">
        <f>SUBTOTAL(9,Table25[[#This Row],[1st]:[FQC]])</f>
        <v>1</v>
      </c>
      <c r="S74" s="61">
        <f>IFERROR(VLOOKUP(Table25[[#This Row],[Part No.]],'[2]New Machine sheet'!$G$2:$I$90,3,0),0)</f>
        <v>111.97</v>
      </c>
      <c r="T74" s="61">
        <f>Table25[[#This Row],[cost per piece]]*Table25[[#This Row],[Total Rej. qty]]</f>
        <v>111.97</v>
      </c>
      <c r="U74" s="61">
        <f>IFERROR(VLOOKUP(Table25[[#This Row],[Non Conformance]],'[2]New defect code '!$B$2:$C$129,2,0),0)</f>
        <v>0</v>
      </c>
      <c r="V74" s="61">
        <v>18</v>
      </c>
      <c r="W74" s="61" t="str">
        <f>IFERROR(VLOOKUP(Table25[[#This Row],[Code4]],'[2]New Reason code'!$A$2:$D$77,2,0),0)</f>
        <v>During insert change</v>
      </c>
      <c r="X74" s="61">
        <f ca="1">#REF!+Table25[[#This Row],[Rejection Identified at]]</f>
        <v>0</v>
      </c>
      <c r="Y74" s="63">
        <f>IFERROR(VLOOKUP(Table25[[#This Row],[Reason]],Coding!A71:C128,3,0),0)</f>
        <v>0</v>
      </c>
    </row>
    <row r="75" spans="1:25" ht="20.25" customHeight="1">
      <c r="A75" s="50">
        <v>71</v>
      </c>
      <c r="B75" s="61">
        <v>15</v>
      </c>
      <c r="C75" s="61" t="str">
        <f>IFERROR(VLOOKUP(Table25[[#This Row],[Code]],'[2]New Machine sheet'!$A$1:$D$101,2,0),0)</f>
        <v>282-15</v>
      </c>
      <c r="D75" s="61" t="str">
        <f>IFERROR(VLOOKUP(Table25[[#This Row],[M/c No]],'[2]New Machine sheet'!$B$1:$D$101,2,0),0)</f>
        <v>Mazak</v>
      </c>
      <c r="E75" s="61" t="str">
        <f>IFERROR(VLOOKUP(Table25[[#This Row],[M/c Name]],'[2]New Machine sheet'!$C$1:$D$101,2,0),0)</f>
        <v>Turning</v>
      </c>
      <c r="F75" s="61">
        <v>78</v>
      </c>
      <c r="G75" s="61">
        <f>IFERROR(VLOOKUP(Table25[[#This Row],[Code2]],'[2]New Machine sheet'!$F$2:$I$64,2,),0)</f>
        <v>2478</v>
      </c>
      <c r="H75" s="61" t="str">
        <f>IFERROR(VLOOKUP(Table25[[#This Row],[Code2]],'[2]New Machine sheet'!$F$2:$I$64,3,0),0)</f>
        <v>RE P1</v>
      </c>
      <c r="I75" s="61" t="s">
        <v>168</v>
      </c>
      <c r="J75" s="61">
        <v>10</v>
      </c>
      <c r="K75" s="61" t="str">
        <f>IFERROR(VLOOKUP(Table25[[#This Row],[Code3]],'[2]New defect code '!$A$2:$D$129,2,0),0)</f>
        <v xml:space="preserve">Bore u/s </v>
      </c>
      <c r="L75" s="61" t="s">
        <v>178</v>
      </c>
      <c r="M75" s="56">
        <v>46266</v>
      </c>
      <c r="N75" s="61"/>
      <c r="O75" s="61"/>
      <c r="P75" s="61">
        <v>1</v>
      </c>
      <c r="Q75" s="61"/>
      <c r="R75" s="61">
        <f>SUBTOTAL(9,Table25[[#This Row],[1st]:[FQC]])</f>
        <v>1</v>
      </c>
      <c r="S75" s="61">
        <f>IFERROR(VLOOKUP(Table25[[#This Row],[Part No.]],'[2]New Machine sheet'!$G$2:$I$90,3,0),0)</f>
        <v>468.06</v>
      </c>
      <c r="T75" s="61">
        <f>Table25[[#This Row],[cost per piece]]*Table25[[#This Row],[Total Rej. qty]]</f>
        <v>468.06</v>
      </c>
      <c r="U75" s="61">
        <f>IFERROR(VLOOKUP(Table25[[#This Row],[Non Conformance]],'[2]New defect code '!$B$2:$C$129,2,0),0)</f>
        <v>0</v>
      </c>
      <c r="V75" s="61">
        <v>45</v>
      </c>
      <c r="W75" s="61" t="str">
        <f>IFERROR(VLOOKUP(Table25[[#This Row],[Code4]],'[2]New Reason code'!$A$2:$D$77,2,0),0)</f>
        <v>Running m/c</v>
      </c>
      <c r="X75" s="61">
        <f ca="1">#REF!+Table25[[#This Row],[Rejection Identified at]]</f>
        <v>0</v>
      </c>
      <c r="Y75" s="63">
        <f>IFERROR(VLOOKUP(Table25[[#This Row],[Reason]],Coding!A72:C129,3,0),0)</f>
        <v>0</v>
      </c>
    </row>
    <row r="76" spans="1:25" ht="20.25" customHeight="1">
      <c r="A76" s="60">
        <v>72</v>
      </c>
      <c r="B76" s="61">
        <v>24</v>
      </c>
      <c r="C76" s="61" t="str">
        <f>IFERROR(VLOOKUP(Table25[[#This Row],[Code]],'[2]New Machine sheet'!$A$1:$D$101,2,0),0)</f>
        <v>ACE-04</v>
      </c>
      <c r="D76" s="61" t="str">
        <f>IFERROR(VLOOKUP(Table25[[#This Row],[M/c No]],'[2]New Machine sheet'!$B$1:$D$101,2,0),0)</f>
        <v>Micromatic</v>
      </c>
      <c r="E76" s="61" t="str">
        <f>IFERROR(VLOOKUP(Table25[[#This Row],[M/c Name]],'[2]New Machine sheet'!$C$1:$D$101,2,0),0)</f>
        <v>Turning</v>
      </c>
      <c r="F76" s="61">
        <v>125</v>
      </c>
      <c r="G76" s="61">
        <f>IFERROR(VLOOKUP(Table25[[#This Row],[Code2]],'[2]New Machine sheet'!$F$2:$I$64,2,),0)</f>
        <v>24125</v>
      </c>
      <c r="H76" s="61" t="str">
        <f>IFERROR(VLOOKUP(Table25[[#This Row],[Code2]],'[2]New Machine sheet'!$F$2:$I$64,3,0),0)</f>
        <v>RE J1</v>
      </c>
      <c r="I76" s="61" t="s">
        <v>158</v>
      </c>
      <c r="J76" s="61">
        <v>10</v>
      </c>
      <c r="K76" s="61" t="str">
        <f>IFERROR(VLOOKUP(Table25[[#This Row],[Code3]],'[2]New defect code '!$A$2:$D$129,2,0),0)</f>
        <v xml:space="preserve">Bore u/s </v>
      </c>
      <c r="L76" s="61" t="s">
        <v>178</v>
      </c>
      <c r="M76" s="56">
        <v>46266</v>
      </c>
      <c r="N76" s="61"/>
      <c r="O76" s="61"/>
      <c r="P76" s="61">
        <v>6</v>
      </c>
      <c r="Q76" s="61"/>
      <c r="R76" s="61">
        <f>SUBTOTAL(9,Table25[[#This Row],[1st]:[FQC]])</f>
        <v>6</v>
      </c>
      <c r="S76" s="61">
        <f>IFERROR(VLOOKUP(Table25[[#This Row],[Part No.]],'[2]New Machine sheet'!$G$2:$I$90,3,0),0)</f>
        <v>65.17</v>
      </c>
      <c r="T76" s="61">
        <f>Table25[[#This Row],[cost per piece]]*Table25[[#This Row],[Total Rej. qty]]</f>
        <v>391.02</v>
      </c>
      <c r="U76" s="61">
        <f>IFERROR(VLOOKUP(Table25[[#This Row],[Non Conformance]],'[2]New defect code '!$B$2:$C$129,2,0),0)</f>
        <v>0</v>
      </c>
      <c r="V76" s="61">
        <v>45</v>
      </c>
      <c r="W76" s="61" t="str">
        <f>IFERROR(VLOOKUP(Table25[[#This Row],[Code4]],'[2]New Reason code'!$A$2:$D$77,2,0),0)</f>
        <v>Running m/c</v>
      </c>
      <c r="X76" s="61">
        <f ca="1">#REF!+Table25[[#This Row],[Rejection Identified at]]</f>
        <v>0</v>
      </c>
      <c r="Y76" s="63">
        <f>IFERROR(VLOOKUP(Table25[[#This Row],[Reason]],Coding!A73:C130,3,0),0)</f>
        <v>0</v>
      </c>
    </row>
    <row r="77" spans="1:25" ht="20.25" customHeight="1">
      <c r="A77" s="50">
        <v>73</v>
      </c>
      <c r="B77" s="61">
        <v>8</v>
      </c>
      <c r="C77" s="61" t="str">
        <f>IFERROR(VLOOKUP(Table25[[#This Row],[Code]],'[2]New Machine sheet'!$A$1:$D$101,2,0),0)</f>
        <v>282-08</v>
      </c>
      <c r="D77" s="61" t="str">
        <f>IFERROR(VLOOKUP(Table25[[#This Row],[M/c No]],'[2]New Machine sheet'!$B$1:$D$101,2,0),0)</f>
        <v>Mazak</v>
      </c>
      <c r="E77" s="61" t="str">
        <f>IFERROR(VLOOKUP(Table25[[#This Row],[M/c Name]],'[2]New Machine sheet'!$C$1:$D$101,2,0),0)</f>
        <v>Turning</v>
      </c>
      <c r="F77" s="61">
        <v>117</v>
      </c>
      <c r="G77" s="61">
        <f>IFERROR(VLOOKUP(Table25[[#This Row],[Code2]],'[2]New Machine sheet'!$F$2:$I$64,2,),0)</f>
        <v>24117</v>
      </c>
      <c r="H77" s="61" t="str">
        <f>IFERROR(VLOOKUP(Table25[[#This Row],[Code2]],'[2]New Machine sheet'!$F$2:$I$64,3,0),0)</f>
        <v>RE J1</v>
      </c>
      <c r="I77" s="61" t="s">
        <v>187</v>
      </c>
      <c r="J77" s="61">
        <v>10</v>
      </c>
      <c r="K77" s="61" t="str">
        <f>IFERROR(VLOOKUP(Table25[[#This Row],[Code3]],'[2]New defect code '!$A$2:$D$129,2,0),0)</f>
        <v xml:space="preserve">Bore u/s </v>
      </c>
      <c r="L77" s="61" t="s">
        <v>178</v>
      </c>
      <c r="M77" s="56">
        <v>46266</v>
      </c>
      <c r="N77" s="61"/>
      <c r="O77" s="61"/>
      <c r="P77" s="61">
        <v>1</v>
      </c>
      <c r="Q77" s="61"/>
      <c r="R77" s="61">
        <f>SUBTOTAL(9,Table25[[#This Row],[1st]:[FQC]])</f>
        <v>1</v>
      </c>
      <c r="S77" s="61">
        <f>IFERROR(VLOOKUP(Table25[[#This Row],[Part No.]],'[2]New Machine sheet'!$G$2:$I$90,3,0),0)</f>
        <v>111.97</v>
      </c>
      <c r="T77" s="61">
        <f>Table25[[#This Row],[cost per piece]]*Table25[[#This Row],[Total Rej. qty]]</f>
        <v>111.97</v>
      </c>
      <c r="U77" s="61">
        <f>IFERROR(VLOOKUP(Table25[[#This Row],[Non Conformance]],'[2]New defect code '!$B$2:$C$129,2,0),0)</f>
        <v>0</v>
      </c>
      <c r="V77" s="61">
        <v>45</v>
      </c>
      <c r="W77" s="61" t="str">
        <f>IFERROR(VLOOKUP(Table25[[#This Row],[Code4]],'[2]New Reason code'!$A$2:$D$77,2,0),0)</f>
        <v>Running m/c</v>
      </c>
      <c r="X77" s="61">
        <f ca="1">#REF!+Table25[[#This Row],[Rejection Identified at]]</f>
        <v>0</v>
      </c>
      <c r="Y77" s="63">
        <f>IFERROR(VLOOKUP(Table25[[#This Row],[Reason]],Coding!A74:C131,3,0),0)</f>
        <v>0</v>
      </c>
    </row>
    <row r="78" spans="1:25" ht="20.25" customHeight="1">
      <c r="A78" s="60">
        <v>74</v>
      </c>
      <c r="B78" s="61">
        <v>23</v>
      </c>
      <c r="C78" s="61" t="str">
        <f>IFERROR(VLOOKUP(Table25[[#This Row],[Code]],'[2]New Machine sheet'!$A$1:$D$101,2,0),0)</f>
        <v>ACE-03</v>
      </c>
      <c r="D78" s="61" t="str">
        <f>IFERROR(VLOOKUP(Table25[[#This Row],[M/c No]],'[2]New Machine sheet'!$B$1:$D$101,2,0),0)</f>
        <v>Micromatic</v>
      </c>
      <c r="E78" s="61" t="str">
        <f>IFERROR(VLOOKUP(Table25[[#This Row],[M/c Name]],'[2]New Machine sheet'!$C$1:$D$101,2,0),0)</f>
        <v>Turning</v>
      </c>
      <c r="F78" s="61">
        <v>29</v>
      </c>
      <c r="G78" s="61">
        <f>IFERROR(VLOOKUP(Table25[[#This Row],[Code2]],'[2]New Machine sheet'!$F$2:$I$64,2,),0)</f>
        <v>2429</v>
      </c>
      <c r="H78" s="61" t="str">
        <f>IFERROR(VLOOKUP(Table25[[#This Row],[Code2]],'[2]New Machine sheet'!$F$2:$I$64,3,0),0)</f>
        <v>RE P1</v>
      </c>
      <c r="I78" s="61" t="s">
        <v>141</v>
      </c>
      <c r="J78" s="61">
        <v>41</v>
      </c>
      <c r="K78" s="61" t="str">
        <f>IFERROR(VLOOKUP(Table25[[#This Row],[Code3]],'[2]New defect code '!$A$2:$D$129,2,0),0)</f>
        <v>Face Less metal</v>
      </c>
      <c r="L78" s="61" t="s">
        <v>188</v>
      </c>
      <c r="M78" s="56">
        <v>46266</v>
      </c>
      <c r="N78" s="61">
        <v>2</v>
      </c>
      <c r="O78" s="61"/>
      <c r="P78" s="61"/>
      <c r="Q78" s="61"/>
      <c r="R78" s="61">
        <f>SUBTOTAL(9,Table25[[#This Row],[1st]:[FQC]])</f>
        <v>2</v>
      </c>
      <c r="S78" s="61">
        <f>IFERROR(VLOOKUP(Table25[[#This Row],[Part No.]],'[2]New Machine sheet'!$G$2:$I$90,3,0),0)</f>
        <v>142.61000000000001</v>
      </c>
      <c r="T78" s="61">
        <f>Table25[[#This Row],[cost per piece]]*Table25[[#This Row],[Total Rej. qty]]</f>
        <v>285.22000000000003</v>
      </c>
      <c r="U78" s="61">
        <f>IFERROR(VLOOKUP(Table25[[#This Row],[Non Conformance]],'[2]New defect code '!$B$2:$C$129,2,0),0)</f>
        <v>3259</v>
      </c>
      <c r="V78" s="61">
        <v>45</v>
      </c>
      <c r="W78" s="61" t="str">
        <f>IFERROR(VLOOKUP(Table25[[#This Row],[Code4]],'[2]New Reason code'!$A$2:$D$77,2,0),0)</f>
        <v>Running m/c</v>
      </c>
      <c r="X78" s="61">
        <f ca="1">#REF!+Table25[[#This Row],[Rejection Identified at]]</f>
        <v>0</v>
      </c>
      <c r="Y78" s="63">
        <f>IFERROR(VLOOKUP(Table25[[#This Row],[Reason]],Coding!A75:C132,3,0),0)</f>
        <v>0</v>
      </c>
    </row>
    <row r="79" spans="1:25" ht="20.25" customHeight="1">
      <c r="A79" s="50">
        <v>75</v>
      </c>
      <c r="B79" s="61">
        <v>4</v>
      </c>
      <c r="C79" s="61" t="str">
        <f>IFERROR(VLOOKUP(Table25[[#This Row],[Code]],'[2]New Machine sheet'!$A$1:$D$101,2,0),0)</f>
        <v>282-04</v>
      </c>
      <c r="D79" s="61" t="str">
        <f>IFERROR(VLOOKUP(Table25[[#This Row],[M/c No]],'[2]New Machine sheet'!$B$1:$D$101,2,0),0)</f>
        <v>Mazak</v>
      </c>
      <c r="E79" s="61" t="str">
        <f>IFERROR(VLOOKUP(Table25[[#This Row],[M/c Name]],'[2]New Machine sheet'!$C$1:$D$101,2,0),0)</f>
        <v>Turning</v>
      </c>
      <c r="F79" s="61">
        <v>117</v>
      </c>
      <c r="G79" s="61">
        <f>IFERROR(VLOOKUP(Table25[[#This Row],[Code2]],'[2]New Machine sheet'!$F$2:$I$64,2,),0)</f>
        <v>24117</v>
      </c>
      <c r="H79" s="61" t="str">
        <f>IFERROR(VLOOKUP(Table25[[#This Row],[Code2]],'[2]New Machine sheet'!$F$2:$I$64,3,0),0)</f>
        <v>RE J1</v>
      </c>
      <c r="I79" s="61" t="s">
        <v>141</v>
      </c>
      <c r="J79" s="61">
        <v>41</v>
      </c>
      <c r="K79" s="61" t="str">
        <f>IFERROR(VLOOKUP(Table25[[#This Row],[Code3]],'[2]New defect code '!$A$2:$D$129,2,0),0)</f>
        <v>Face Less metal</v>
      </c>
      <c r="L79" s="61" t="s">
        <v>188</v>
      </c>
      <c r="M79" s="56">
        <v>46266</v>
      </c>
      <c r="N79" s="61">
        <v>2</v>
      </c>
      <c r="O79" s="61"/>
      <c r="P79" s="61"/>
      <c r="Q79" s="61"/>
      <c r="R79" s="61">
        <f>SUBTOTAL(9,Table25[[#This Row],[1st]:[FQC]])</f>
        <v>2</v>
      </c>
      <c r="S79" s="61">
        <f>IFERROR(VLOOKUP(Table25[[#This Row],[Part No.]],'[2]New Machine sheet'!$G$2:$I$90,3,0),0)</f>
        <v>111.97</v>
      </c>
      <c r="T79" s="61">
        <f>Table25[[#This Row],[cost per piece]]*Table25[[#This Row],[Total Rej. qty]]</f>
        <v>223.94</v>
      </c>
      <c r="U79" s="61">
        <f>IFERROR(VLOOKUP(Table25[[#This Row],[Non Conformance]],'[2]New defect code '!$B$2:$C$129,2,0),0)</f>
        <v>3259</v>
      </c>
      <c r="V79" s="61">
        <v>45</v>
      </c>
      <c r="W79" s="61" t="str">
        <f>IFERROR(VLOOKUP(Table25[[#This Row],[Code4]],'[2]New Reason code'!$A$2:$D$77,2,0),0)</f>
        <v>Running m/c</v>
      </c>
      <c r="X79" s="61">
        <f ca="1">#REF!+Table25[[#This Row],[Rejection Identified at]]</f>
        <v>0</v>
      </c>
      <c r="Y79" s="63">
        <f>IFERROR(VLOOKUP(Table25[[#This Row],[Reason]],Coding!A76:C133,3,0),0)</f>
        <v>0</v>
      </c>
    </row>
    <row r="80" spans="1:25" ht="20.25" customHeight="1">
      <c r="A80" s="60">
        <v>76</v>
      </c>
      <c r="B80" s="61">
        <v>15</v>
      </c>
      <c r="C80" s="61" t="str">
        <f>IFERROR(VLOOKUP(Table25[[#This Row],[Code]],'[2]New Machine sheet'!$A$1:$D$101,2,0),0)</f>
        <v>282-15</v>
      </c>
      <c r="D80" s="61" t="str">
        <f>IFERROR(VLOOKUP(Table25[[#This Row],[M/c No]],'[2]New Machine sheet'!$B$1:$D$101,2,0),0)</f>
        <v>Mazak</v>
      </c>
      <c r="E80" s="61" t="str">
        <f>IFERROR(VLOOKUP(Table25[[#This Row],[M/c Name]],'[2]New Machine sheet'!$C$1:$D$101,2,0),0)</f>
        <v>Turning</v>
      </c>
      <c r="F80" s="61">
        <v>78</v>
      </c>
      <c r="G80" s="61">
        <f>IFERROR(VLOOKUP(Table25[[#This Row],[Code2]],'[2]New Machine sheet'!$F$2:$I$64,2,),0)</f>
        <v>2478</v>
      </c>
      <c r="H80" s="61" t="str">
        <f>IFERROR(VLOOKUP(Table25[[#This Row],[Code2]],'[2]New Machine sheet'!$F$2:$I$64,3,0),0)</f>
        <v>RE P1</v>
      </c>
      <c r="I80" s="61" t="s">
        <v>165</v>
      </c>
      <c r="J80" s="61">
        <v>10</v>
      </c>
      <c r="K80" s="61" t="str">
        <f>IFERROR(VLOOKUP(Table25[[#This Row],[Code3]],'[2]New defect code '!$A$2:$D$129,2,0),0)</f>
        <v xml:space="preserve">Bore u/s </v>
      </c>
      <c r="L80" s="61" t="s">
        <v>188</v>
      </c>
      <c r="M80" s="56">
        <v>46266</v>
      </c>
      <c r="N80" s="61">
        <v>1</v>
      </c>
      <c r="O80" s="61"/>
      <c r="P80" s="61"/>
      <c r="Q80" s="61"/>
      <c r="R80" s="61">
        <f>SUBTOTAL(9,Table25[[#This Row],[1st]:[FQC]])</f>
        <v>1</v>
      </c>
      <c r="S80" s="61">
        <f>IFERROR(VLOOKUP(Table25[[#This Row],[Part No.]],'[2]New Machine sheet'!$G$2:$I$90,3,0),0)</f>
        <v>468.06</v>
      </c>
      <c r="T80" s="61">
        <f>Table25[[#This Row],[cost per piece]]*Table25[[#This Row],[Total Rej. qty]]</f>
        <v>468.06</v>
      </c>
      <c r="U80" s="61">
        <f>IFERROR(VLOOKUP(Table25[[#This Row],[Non Conformance]],'[2]New defect code '!$B$2:$C$129,2,0),0)</f>
        <v>0</v>
      </c>
      <c r="V80" s="61">
        <v>18</v>
      </c>
      <c r="W80" s="61" t="str">
        <f>IFERROR(VLOOKUP(Table25[[#This Row],[Code4]],'[2]New Reason code'!$A$2:$D$77,2,0),0)</f>
        <v>During insert change</v>
      </c>
      <c r="X80" s="61">
        <f ca="1">#REF!+Table25[[#This Row],[Rejection Identified at]]</f>
        <v>0</v>
      </c>
      <c r="Y80" s="63">
        <f>IFERROR(VLOOKUP(Table25[[#This Row],[Reason]],Coding!A77:C134,3,0),0)</f>
        <v>0</v>
      </c>
    </row>
    <row r="81" spans="1:25" ht="20.25" customHeight="1">
      <c r="A81" s="50">
        <v>77</v>
      </c>
      <c r="B81" s="61"/>
      <c r="C81" s="61" t="s">
        <v>118</v>
      </c>
      <c r="D81" s="61" t="s">
        <v>117</v>
      </c>
      <c r="E81" s="61" t="str">
        <f>IFERROR(VLOOKUP(Table25[[#This Row],[M/c Name]],'[2]New Machine sheet'!$C$1:$D$101,2,0),0)</f>
        <v>Turning</v>
      </c>
      <c r="F81" s="61">
        <v>127</v>
      </c>
      <c r="G81" s="61">
        <f>IFERROR(VLOOKUP(Table25[[#This Row],[Code2]],'[2]New Machine sheet'!$F$2:$I$64,2,),0)</f>
        <v>24127</v>
      </c>
      <c r="H81" s="61" t="str">
        <f>IFERROR(VLOOKUP(Table25[[#This Row],[Code2]],'[2]New Machine sheet'!$F$2:$I$64,3,0),0)</f>
        <v>RE J1</v>
      </c>
      <c r="I81" s="61" t="s">
        <v>120</v>
      </c>
      <c r="J81" s="61">
        <v>73</v>
      </c>
      <c r="K81" s="61" t="str">
        <f>IFERROR(VLOOKUP(Table25[[#This Row],[Code3]],'[2]New defect code '!$A$2:$D$129,2,0),0)</f>
        <v>PG NO go pass (Bush Bore o/s)</v>
      </c>
      <c r="L81" s="61" t="s">
        <v>188</v>
      </c>
      <c r="M81" s="56">
        <v>46266</v>
      </c>
      <c r="N81" s="61">
        <v>1</v>
      </c>
      <c r="O81" s="61"/>
      <c r="P81" s="61"/>
      <c r="Q81" s="61"/>
      <c r="R81" s="61">
        <f>SUBTOTAL(9,Table25[[#This Row],[1st]:[FQC]])</f>
        <v>1</v>
      </c>
      <c r="S81" s="61">
        <f>IFERROR(VLOOKUP(Table25[[#This Row],[Part No.]],'[2]New Machine sheet'!$G$2:$I$90,3,0),0)</f>
        <v>262.81200000000001</v>
      </c>
      <c r="T81" s="61">
        <f>Table25[[#This Row],[cost per piece]]*Table25[[#This Row],[Total Rej. qty]]</f>
        <v>262.81200000000001</v>
      </c>
      <c r="U81" s="61">
        <f>IFERROR(VLOOKUP(Table25[[#This Row],[Non Conformance]],'[2]New defect code '!$B$2:$C$129,2,0),0)</f>
        <v>0</v>
      </c>
      <c r="V81" s="61">
        <v>45</v>
      </c>
      <c r="W81" s="61" t="str">
        <f>IFERROR(VLOOKUP(Table25[[#This Row],[Code4]],'[2]New Reason code'!$A$2:$D$77,2,0),0)</f>
        <v>Running m/c</v>
      </c>
      <c r="X81" s="61">
        <f ca="1">#REF!+Table25[[#This Row],[Rejection Identified at]]</f>
        <v>0</v>
      </c>
      <c r="Y81" s="63">
        <f>IFERROR(VLOOKUP(Table25[[#This Row],[Reason]],Coding!A78:C135,3,0),0)</f>
        <v>0</v>
      </c>
    </row>
    <row r="82" spans="1:25" ht="20.25" customHeight="1">
      <c r="A82" s="60">
        <v>78</v>
      </c>
      <c r="B82" s="61">
        <v>45</v>
      </c>
      <c r="C82" s="61" t="str">
        <f>IFERROR(VLOOKUP(Table25[[#This Row],[Code]],'[2]New Machine sheet'!$A$1:$D$101,2,0),0)</f>
        <v>MURATEC-01</v>
      </c>
      <c r="D82" s="61" t="str">
        <f>IFERROR(VLOOKUP(Table25[[#This Row],[M/c No]],'[2]New Machine sheet'!$B$1:$D$101,2,0),0)</f>
        <v>MURATEC</v>
      </c>
      <c r="E82" s="61" t="str">
        <f>IFERROR(VLOOKUP(Table25[[#This Row],[M/c Name]],'[2]New Machine sheet'!$C$1:$D$101,2,0),0)</f>
        <v xml:space="preserve">turning </v>
      </c>
      <c r="F82" s="61">
        <v>122</v>
      </c>
      <c r="G82" s="61">
        <f>IFERROR(VLOOKUP(Table25[[#This Row],[Code2]],'[2]New Machine sheet'!$F$2:$I$64,2,),0)</f>
        <v>24122</v>
      </c>
      <c r="H82" s="61" t="str">
        <f>IFERROR(VLOOKUP(Table25[[#This Row],[Code2]],'[2]New Machine sheet'!$F$2:$I$64,3,0),0)</f>
        <v>RE J1</v>
      </c>
      <c r="I82" s="61" t="s">
        <v>170</v>
      </c>
      <c r="J82" s="61">
        <v>61</v>
      </c>
      <c r="K82" s="61" t="str">
        <f>IFERROR(VLOOKUP(Table25[[#This Row],[Code3]],'[2]New defect code '!$A$2:$D$129,2,0),0)</f>
        <v>Od o/s</v>
      </c>
      <c r="L82" s="61" t="s">
        <v>188</v>
      </c>
      <c r="M82" s="56">
        <v>46266</v>
      </c>
      <c r="N82" s="61"/>
      <c r="O82" s="61">
        <v>1</v>
      </c>
      <c r="P82" s="61"/>
      <c r="Q82" s="61"/>
      <c r="R82" s="61">
        <f>SUBTOTAL(9,Table25[[#This Row],[1st]:[FQC]])</f>
        <v>1</v>
      </c>
      <c r="S82" s="61">
        <f>IFERROR(VLOOKUP(Table25[[#This Row],[Part No.]],'[2]New Machine sheet'!$G$2:$I$90,3,0),0)</f>
        <v>335.39977528089889</v>
      </c>
      <c r="T82" s="61">
        <f>Table25[[#This Row],[cost per piece]]*Table25[[#This Row],[Total Rej. qty]]</f>
        <v>335.39977528089889</v>
      </c>
      <c r="U82" s="61">
        <f>IFERROR(VLOOKUP(Table25[[#This Row],[Non Conformance]],'[2]New defect code '!$B$2:$C$129,2,0),0)</f>
        <v>0</v>
      </c>
      <c r="V82" s="61">
        <v>45</v>
      </c>
      <c r="W82" s="61" t="str">
        <f>IFERROR(VLOOKUP(Table25[[#This Row],[Code4]],'[2]New Reason code'!$A$2:$D$77,2,0),0)</f>
        <v>Running m/c</v>
      </c>
      <c r="X82" s="61">
        <f ca="1">#REF!+Table25[[#This Row],[Rejection Identified at]]</f>
        <v>0</v>
      </c>
      <c r="Y82" s="63">
        <f>IFERROR(VLOOKUP(Table25[[#This Row],[Reason]],Coding!A79:C136,3,0),0)</f>
        <v>0</v>
      </c>
    </row>
    <row r="83" spans="1:25" ht="20.25" customHeight="1">
      <c r="A83" s="50">
        <v>79</v>
      </c>
      <c r="B83" s="61">
        <v>5</v>
      </c>
      <c r="C83" s="61" t="str">
        <f>IFERROR(VLOOKUP(Table25[[#This Row],[Code]],'[2]New Machine sheet'!$A$1:$D$101,2,0),0)</f>
        <v>282-05</v>
      </c>
      <c r="D83" s="61" t="str">
        <f>IFERROR(VLOOKUP(Table25[[#This Row],[M/c No]],'[2]New Machine sheet'!$B$1:$D$101,2,0),0)</f>
        <v>Mazak</v>
      </c>
      <c r="E83" s="61" t="str">
        <f>IFERROR(VLOOKUP(Table25[[#This Row],[M/c Name]],'[2]New Machine sheet'!$C$1:$D$101,2,0),0)</f>
        <v>Turning</v>
      </c>
      <c r="F83" s="61">
        <v>119</v>
      </c>
      <c r="G83" s="61">
        <f>IFERROR(VLOOKUP(Table25[[#This Row],[Code2]],'[2]New Machine sheet'!$F$2:$I$64,2,),0)</f>
        <v>24119</v>
      </c>
      <c r="H83" s="61" t="str">
        <f>IFERROR(VLOOKUP(Table25[[#This Row],[Code2]],'[2]New Machine sheet'!$F$2:$I$64,3,0),0)</f>
        <v>RE J1</v>
      </c>
      <c r="I83" s="61" t="s">
        <v>113</v>
      </c>
      <c r="J83" s="61">
        <v>10</v>
      </c>
      <c r="K83" s="61" t="str">
        <f>IFERROR(VLOOKUP(Table25[[#This Row],[Code3]],'[2]New defect code '!$A$2:$D$129,2,0),0)</f>
        <v xml:space="preserve">Bore u/s </v>
      </c>
      <c r="L83" s="61" t="s">
        <v>188</v>
      </c>
      <c r="M83" s="56">
        <v>46266</v>
      </c>
      <c r="N83" s="61"/>
      <c r="O83" s="61">
        <v>3</v>
      </c>
      <c r="P83" s="61"/>
      <c r="Q83" s="61"/>
      <c r="R83" s="61">
        <f>SUBTOTAL(9,Table25[[#This Row],[1st]:[FQC]])</f>
        <v>3</v>
      </c>
      <c r="S83" s="61">
        <f>IFERROR(VLOOKUP(Table25[[#This Row],[Part No.]],'[2]New Machine sheet'!$G$2:$I$90,3,0),0)</f>
        <v>103.2</v>
      </c>
      <c r="T83" s="61">
        <f>Table25[[#This Row],[cost per piece]]*Table25[[#This Row],[Total Rej. qty]]</f>
        <v>309.60000000000002</v>
      </c>
      <c r="U83" s="61">
        <f>IFERROR(VLOOKUP(Table25[[#This Row],[Non Conformance]],'[2]New defect code '!$B$2:$C$129,2,0),0)</f>
        <v>0</v>
      </c>
      <c r="V83" s="61">
        <v>45</v>
      </c>
      <c r="W83" s="61" t="str">
        <f>IFERROR(VLOOKUP(Table25[[#This Row],[Code4]],'[2]New Reason code'!$A$2:$D$77,2,0),0)</f>
        <v>Running m/c</v>
      </c>
      <c r="X83" s="61">
        <f ca="1">#REF!+Table25[[#This Row],[Rejection Identified at]]</f>
        <v>0</v>
      </c>
      <c r="Y83" s="63">
        <f>IFERROR(VLOOKUP(Table25[[#This Row],[Reason]],Coding!A80:C137,3,0),0)</f>
        <v>0</v>
      </c>
    </row>
    <row r="84" spans="1:25" ht="20.25" customHeight="1">
      <c r="A84" s="60">
        <v>80</v>
      </c>
      <c r="B84" s="61"/>
      <c r="C84" s="61" t="s">
        <v>118</v>
      </c>
      <c r="D84" s="61" t="s">
        <v>117</v>
      </c>
      <c r="E84" s="61" t="str">
        <f>IFERROR(VLOOKUP(Table25[[#This Row],[M/c Name]],'[2]New Machine sheet'!$C$1:$D$101,2,0),0)</f>
        <v>Turning</v>
      </c>
      <c r="F84" s="61">
        <v>127</v>
      </c>
      <c r="G84" s="61">
        <f>IFERROR(VLOOKUP(Table25[[#This Row],[Code2]],'[2]New Machine sheet'!$F$2:$I$64,2,),0)</f>
        <v>24127</v>
      </c>
      <c r="H84" s="61" t="str">
        <f>IFERROR(VLOOKUP(Table25[[#This Row],[Code2]],'[2]New Machine sheet'!$F$2:$I$64,3,0),0)</f>
        <v>RE J1</v>
      </c>
      <c r="I84" s="61" t="s">
        <v>168</v>
      </c>
      <c r="J84" s="61">
        <v>61</v>
      </c>
      <c r="K84" s="61" t="str">
        <f>IFERROR(VLOOKUP(Table25[[#This Row],[Code3]],'[2]New defect code '!$A$2:$D$129,2,0),0)</f>
        <v>Od o/s</v>
      </c>
      <c r="L84" s="61" t="s">
        <v>188</v>
      </c>
      <c r="M84" s="56">
        <v>46266</v>
      </c>
      <c r="N84" s="61"/>
      <c r="O84" s="61">
        <v>1</v>
      </c>
      <c r="P84" s="61"/>
      <c r="Q84" s="61"/>
      <c r="R84" s="61">
        <f>SUBTOTAL(9,Table25[[#This Row],[1st]:[FQC]])</f>
        <v>1</v>
      </c>
      <c r="S84" s="61">
        <f>IFERROR(VLOOKUP(Table25[[#This Row],[Part No.]],'[2]New Machine sheet'!$G$2:$I$90,3,0),0)</f>
        <v>262.81200000000001</v>
      </c>
      <c r="T84" s="61">
        <f>Table25[[#This Row],[cost per piece]]*Table25[[#This Row],[Total Rej. qty]]</f>
        <v>262.81200000000001</v>
      </c>
      <c r="U84" s="61">
        <f>IFERROR(VLOOKUP(Table25[[#This Row],[Non Conformance]],'[2]New defect code '!$B$2:$C$129,2,0),0)</f>
        <v>0</v>
      </c>
      <c r="V84" s="61">
        <v>45</v>
      </c>
      <c r="W84" s="61" t="str">
        <f>IFERROR(VLOOKUP(Table25[[#This Row],[Code4]],'[2]New Reason code'!$A$2:$D$77,2,0),0)</f>
        <v>Running m/c</v>
      </c>
      <c r="X84" s="61">
        <f ca="1">#REF!+Table25[[#This Row],[Rejection Identified at]]</f>
        <v>0</v>
      </c>
      <c r="Y84" s="63">
        <f>IFERROR(VLOOKUP(Table25[[#This Row],[Reason]],Coding!A81:C138,3,0),0)</f>
        <v>0</v>
      </c>
    </row>
    <row r="85" spans="1:25" ht="20.25" customHeight="1">
      <c r="A85" s="50">
        <v>81</v>
      </c>
      <c r="B85" s="61">
        <v>24</v>
      </c>
      <c r="C85" s="61" t="str">
        <f>IFERROR(VLOOKUP(Table25[[#This Row],[Code]],'[2]New Machine sheet'!$A$1:$D$101,2,0),0)</f>
        <v>ACE-04</v>
      </c>
      <c r="D85" s="61" t="str">
        <f>IFERROR(VLOOKUP(Table25[[#This Row],[M/c No]],'[2]New Machine sheet'!$B$1:$D$101,2,0),0)</f>
        <v>Micromatic</v>
      </c>
      <c r="E85" s="61" t="str">
        <f>IFERROR(VLOOKUP(Table25[[#This Row],[M/c Name]],'[2]New Machine sheet'!$C$1:$D$101,2,0),0)</f>
        <v>Turning</v>
      </c>
      <c r="F85" s="61">
        <v>125</v>
      </c>
      <c r="G85" s="61">
        <f>IFERROR(VLOOKUP(Table25[[#This Row],[Code2]],'[2]New Machine sheet'!$F$2:$I$64,2,),0)</f>
        <v>24125</v>
      </c>
      <c r="H85" s="61" t="str">
        <f>IFERROR(VLOOKUP(Table25[[#This Row],[Code2]],'[2]New Machine sheet'!$F$2:$I$64,3,0),0)</f>
        <v>RE J1</v>
      </c>
      <c r="I85" s="61"/>
      <c r="J85" s="61">
        <v>10</v>
      </c>
      <c r="K85" s="61" t="str">
        <f>IFERROR(VLOOKUP(Table25[[#This Row],[Code3]],'[2]New defect code '!$A$2:$D$129,2,0),0)</f>
        <v xml:space="preserve">Bore u/s </v>
      </c>
      <c r="L85" s="61" t="s">
        <v>188</v>
      </c>
      <c r="M85" s="56">
        <v>46266</v>
      </c>
      <c r="N85" s="61"/>
      <c r="O85" s="61">
        <v>2</v>
      </c>
      <c r="P85" s="61"/>
      <c r="Q85" s="61"/>
      <c r="R85" s="61">
        <f>SUBTOTAL(9,Table25[[#This Row],[1st]:[FQC]])</f>
        <v>2</v>
      </c>
      <c r="S85" s="61">
        <f>IFERROR(VLOOKUP(Table25[[#This Row],[Part No.]],'[2]New Machine sheet'!$G$2:$I$90,3,0),0)</f>
        <v>65.17</v>
      </c>
      <c r="T85" s="61">
        <f>Table25[[#This Row],[cost per piece]]*Table25[[#This Row],[Total Rej. qty]]</f>
        <v>130.34</v>
      </c>
      <c r="U85" s="61">
        <f>IFERROR(VLOOKUP(Table25[[#This Row],[Non Conformance]],'[2]New defect code '!$B$2:$C$129,2,0),0)</f>
        <v>0</v>
      </c>
      <c r="V85" s="61">
        <v>45</v>
      </c>
      <c r="W85" s="61" t="str">
        <f>IFERROR(VLOOKUP(Table25[[#This Row],[Code4]],'[2]New Reason code'!$A$2:$D$77,2,0),0)</f>
        <v>Running m/c</v>
      </c>
      <c r="X85" s="61">
        <f ca="1">#REF!+Table25[[#This Row],[Rejection Identified at]]</f>
        <v>0</v>
      </c>
      <c r="Y85" s="63">
        <f>IFERROR(VLOOKUP(Table25[[#This Row],[Reason]],Coding!A82:C139,3,0),0)</f>
        <v>0</v>
      </c>
    </row>
    <row r="86" spans="1:25" ht="20.25" customHeight="1">
      <c r="A86" s="60">
        <v>82</v>
      </c>
      <c r="B86" s="61">
        <v>15</v>
      </c>
      <c r="C86" s="61" t="str">
        <f>IFERROR(VLOOKUP(Table25[[#This Row],[Code]],'[2]New Machine sheet'!$A$1:$D$101,2,0),0)</f>
        <v>282-15</v>
      </c>
      <c r="D86" s="61" t="str">
        <f>IFERROR(VLOOKUP(Table25[[#This Row],[M/c No]],'[2]New Machine sheet'!$B$1:$D$101,2,0),0)</f>
        <v>Mazak</v>
      </c>
      <c r="E86" s="61" t="str">
        <f>IFERROR(VLOOKUP(Table25[[#This Row],[M/c Name]],'[2]New Machine sheet'!$C$1:$D$101,2,0),0)</f>
        <v>Turning</v>
      </c>
      <c r="F86" s="61">
        <v>78</v>
      </c>
      <c r="G86" s="61">
        <f>IFERROR(VLOOKUP(Table25[[#This Row],[Code2]],'[2]New Machine sheet'!$F$2:$I$64,2,),0)</f>
        <v>2478</v>
      </c>
      <c r="H86" s="61" t="str">
        <f>IFERROR(VLOOKUP(Table25[[#This Row],[Code2]],'[2]New Machine sheet'!$F$2:$I$64,3,0),0)</f>
        <v>RE P1</v>
      </c>
      <c r="I86" s="61" t="s">
        <v>175</v>
      </c>
      <c r="J86" s="61">
        <v>61</v>
      </c>
      <c r="K86" s="61" t="str">
        <f>IFERROR(VLOOKUP(Table25[[#This Row],[Code3]],'[2]New defect code '!$A$2:$D$129,2,0),0)</f>
        <v>Od o/s</v>
      </c>
      <c r="L86" s="61" t="s">
        <v>188</v>
      </c>
      <c r="M86" s="56">
        <v>46266</v>
      </c>
      <c r="N86" s="61"/>
      <c r="O86" s="61">
        <v>2</v>
      </c>
      <c r="P86" s="61"/>
      <c r="Q86" s="61"/>
      <c r="R86" s="61">
        <f>SUBTOTAL(9,Table25[[#This Row],[1st]:[FQC]])</f>
        <v>2</v>
      </c>
      <c r="S86" s="61">
        <f>IFERROR(VLOOKUP(Table25[[#This Row],[Part No.]],'[2]New Machine sheet'!$G$2:$I$90,3,0),0)</f>
        <v>468.06</v>
      </c>
      <c r="T86" s="61">
        <f>Table25[[#This Row],[cost per piece]]*Table25[[#This Row],[Total Rej. qty]]</f>
        <v>936.12</v>
      </c>
      <c r="U86" s="61">
        <f>IFERROR(VLOOKUP(Table25[[#This Row],[Non Conformance]],'[2]New defect code '!$B$2:$C$129,2,0),0)</f>
        <v>0</v>
      </c>
      <c r="V86" s="61">
        <v>45</v>
      </c>
      <c r="W86" s="61" t="str">
        <f>IFERROR(VLOOKUP(Table25[[#This Row],[Code4]],'[2]New Reason code'!$A$2:$D$77,2,0),0)</f>
        <v>Running m/c</v>
      </c>
      <c r="X86" s="61">
        <f ca="1">#REF!+Table25[[#This Row],[Rejection Identified at]]</f>
        <v>0</v>
      </c>
      <c r="Y86" s="63">
        <f>IFERROR(VLOOKUP(Table25[[#This Row],[Reason]],Coding!A83:C140,3,0),0)</f>
        <v>0</v>
      </c>
    </row>
    <row r="87" spans="1:25" ht="20.25" customHeight="1">
      <c r="A87" s="50">
        <v>83</v>
      </c>
      <c r="B87" s="61">
        <v>40</v>
      </c>
      <c r="C87" s="61" t="str">
        <f>IFERROR(VLOOKUP(Table25[[#This Row],[Code]],'[2]New Machine sheet'!$A$1:$D$101,2,0),0)</f>
        <v>ACE-20</v>
      </c>
      <c r="D87" s="61" t="str">
        <f>IFERROR(VLOOKUP(Table25[[#This Row],[M/c No]],'[2]New Machine sheet'!$B$1:$D$101,2,0),0)</f>
        <v>Micromatic</v>
      </c>
      <c r="E87" s="61" t="str">
        <f>IFERROR(VLOOKUP(Table25[[#This Row],[M/c Name]],'[2]New Machine sheet'!$C$1:$D$101,2,0),0)</f>
        <v>Turning</v>
      </c>
      <c r="F87" s="61">
        <v>122</v>
      </c>
      <c r="G87" s="61">
        <f>IFERROR(VLOOKUP(Table25[[#This Row],[Code2]],'[2]New Machine sheet'!$F$2:$I$64,2,),0)</f>
        <v>24122</v>
      </c>
      <c r="H87" s="61" t="str">
        <f>IFERROR(VLOOKUP(Table25[[#This Row],[Code2]],'[2]New Machine sheet'!$F$2:$I$64,3,0),0)</f>
        <v>RE J1</v>
      </c>
      <c r="I87" s="61" t="s">
        <v>176</v>
      </c>
      <c r="J87" s="61">
        <v>49</v>
      </c>
      <c r="K87" s="61" t="str">
        <f>IFERROR(VLOOKUP(Table25[[#This Row],[Code3]],'[2]New defect code '!$A$2:$D$129,2,0),0)</f>
        <v>Thickness over size</v>
      </c>
      <c r="L87" s="61" t="s">
        <v>188</v>
      </c>
      <c r="M87" s="56">
        <v>46266</v>
      </c>
      <c r="N87" s="61"/>
      <c r="O87" s="61">
        <v>1</v>
      </c>
      <c r="P87" s="61"/>
      <c r="Q87" s="61"/>
      <c r="R87" s="61">
        <f>SUBTOTAL(9,Table25[[#This Row],[1st]:[FQC]])</f>
        <v>1</v>
      </c>
      <c r="S87" s="61">
        <f>IFERROR(VLOOKUP(Table25[[#This Row],[Part No.]],'[2]New Machine sheet'!$G$2:$I$90,3,0),0)</f>
        <v>335.39977528089889</v>
      </c>
      <c r="T87" s="61">
        <f>Table25[[#This Row],[cost per piece]]*Table25[[#This Row],[Total Rej. qty]]</f>
        <v>335.39977528089889</v>
      </c>
      <c r="U87" s="61">
        <f>IFERROR(VLOOKUP(Table25[[#This Row],[Non Conformance]],'[2]New defect code '!$B$2:$C$129,2,0),0)</f>
        <v>0</v>
      </c>
      <c r="V87" s="61">
        <v>18</v>
      </c>
      <c r="W87" s="61" t="str">
        <f>IFERROR(VLOOKUP(Table25[[#This Row],[Code4]],'[2]New Reason code'!$A$2:$D$77,2,0),0)</f>
        <v>During insert change</v>
      </c>
      <c r="X87" s="61">
        <f ca="1">#REF!+Table25[[#This Row],[Rejection Identified at]]</f>
        <v>0</v>
      </c>
      <c r="Y87" s="63">
        <f>IFERROR(VLOOKUP(Table25[[#This Row],[Reason]],Coding!A84:C141,3,0),0)</f>
        <v>0</v>
      </c>
    </row>
    <row r="88" spans="1:25" ht="20.25" customHeight="1">
      <c r="A88" s="60">
        <v>84</v>
      </c>
      <c r="B88" s="61">
        <v>40</v>
      </c>
      <c r="C88" s="61" t="str">
        <f>IFERROR(VLOOKUP(Table25[[#This Row],[Code]],'[2]New Machine sheet'!$A$1:$D$101,2,0),0)</f>
        <v>ACE-20</v>
      </c>
      <c r="D88" s="61" t="str">
        <f>IFERROR(VLOOKUP(Table25[[#This Row],[M/c No]],'[2]New Machine sheet'!$B$1:$D$101,2,0),0)</f>
        <v>Micromatic</v>
      </c>
      <c r="E88" s="61" t="str">
        <f>IFERROR(VLOOKUP(Table25[[#This Row],[M/c Name]],'[2]New Machine sheet'!$C$1:$D$101,2,0),0)</f>
        <v>Turning</v>
      </c>
      <c r="F88" s="61">
        <v>122</v>
      </c>
      <c r="G88" s="61">
        <f>IFERROR(VLOOKUP(Table25[[#This Row],[Code2]],'[2]New Machine sheet'!$F$2:$I$64,2,),0)</f>
        <v>24122</v>
      </c>
      <c r="H88" s="61" t="str">
        <f>IFERROR(VLOOKUP(Table25[[#This Row],[Code2]],'[2]New Machine sheet'!$F$2:$I$64,3,0),0)</f>
        <v>RE J1</v>
      </c>
      <c r="I88" s="61" t="s">
        <v>113</v>
      </c>
      <c r="J88" s="61">
        <v>41</v>
      </c>
      <c r="K88" s="61" t="str">
        <f>IFERROR(VLOOKUP(Table25[[#This Row],[Code3]],'[2]New defect code '!$A$2:$D$129,2,0),0)</f>
        <v>Face Less metal</v>
      </c>
      <c r="L88" s="61" t="s">
        <v>188</v>
      </c>
      <c r="M88" s="56">
        <v>46266</v>
      </c>
      <c r="N88" s="61"/>
      <c r="O88" s="61"/>
      <c r="P88" s="61">
        <v>1</v>
      </c>
      <c r="Q88" s="61"/>
      <c r="R88" s="61">
        <f>SUBTOTAL(9,Table25[[#This Row],[1st]:[FQC]])</f>
        <v>1</v>
      </c>
      <c r="S88" s="61">
        <f>IFERROR(VLOOKUP(Table25[[#This Row],[Part No.]],'[2]New Machine sheet'!$G$2:$I$90,3,0),0)</f>
        <v>335.39977528089889</v>
      </c>
      <c r="T88" s="61">
        <f>Table25[[#This Row],[cost per piece]]*Table25[[#This Row],[Total Rej. qty]]</f>
        <v>335.39977528089889</v>
      </c>
      <c r="U88" s="61">
        <f>IFERROR(VLOOKUP(Table25[[#This Row],[Non Conformance]],'[2]New defect code '!$B$2:$C$129,2,0),0)</f>
        <v>3259</v>
      </c>
      <c r="V88" s="61">
        <v>45</v>
      </c>
      <c r="W88" s="61" t="str">
        <f>IFERROR(VLOOKUP(Table25[[#This Row],[Code4]],'[2]New Reason code'!$A$2:$D$77,2,0),0)</f>
        <v>Running m/c</v>
      </c>
      <c r="X88" s="61">
        <f ca="1">#REF!+Table25[[#This Row],[Rejection Identified at]]</f>
        <v>0</v>
      </c>
      <c r="Y88" s="63">
        <f>IFERROR(VLOOKUP(Table25[[#This Row],[Reason]],Coding!A85:C142,3,0),0)</f>
        <v>0</v>
      </c>
    </row>
    <row r="89" spans="1:25" ht="20.25" customHeight="1">
      <c r="A89" s="50">
        <v>85</v>
      </c>
      <c r="B89" s="61">
        <v>22</v>
      </c>
      <c r="C89" s="61" t="str">
        <f>IFERROR(VLOOKUP(Table25[[#This Row],[Code]],'[2]New Machine sheet'!$A$1:$D$101,2,0),0)</f>
        <v>ACE-02</v>
      </c>
      <c r="D89" s="61" t="str">
        <f>IFERROR(VLOOKUP(Table25[[#This Row],[M/c No]],'[2]New Machine sheet'!$B$1:$D$101,2,0),0)</f>
        <v>Micromatic</v>
      </c>
      <c r="E89" s="61" t="str">
        <f>IFERROR(VLOOKUP(Table25[[#This Row],[M/c Name]],'[2]New Machine sheet'!$C$1:$D$101,2,0),0)</f>
        <v>Turning</v>
      </c>
      <c r="F89" s="61">
        <v>115</v>
      </c>
      <c r="G89" s="61">
        <f>IFERROR(VLOOKUP(Table25[[#This Row],[Code2]],'[2]New Machine sheet'!$F$2:$I$64,2,),0)</f>
        <v>24115</v>
      </c>
      <c r="H89" s="61" t="str">
        <f>IFERROR(VLOOKUP(Table25[[#This Row],[Code2]],'[2]New Machine sheet'!$F$2:$I$64,3,0),0)</f>
        <v>RE J1</v>
      </c>
      <c r="I89" s="61" t="s">
        <v>133</v>
      </c>
      <c r="J89" s="61">
        <v>10</v>
      </c>
      <c r="K89" s="61" t="str">
        <f>IFERROR(VLOOKUP(Table25[[#This Row],[Code3]],'[2]New defect code '!$A$2:$D$129,2,0),0)</f>
        <v xml:space="preserve">Bore u/s </v>
      </c>
      <c r="L89" s="61" t="s">
        <v>188</v>
      </c>
      <c r="M89" s="56">
        <v>46266</v>
      </c>
      <c r="N89" s="61"/>
      <c r="O89" s="61"/>
      <c r="P89" s="61">
        <v>3</v>
      </c>
      <c r="Q89" s="61"/>
      <c r="R89" s="61">
        <f>SUBTOTAL(9,Table25[[#This Row],[1st]:[FQC]])</f>
        <v>3</v>
      </c>
      <c r="S89" s="61">
        <f>IFERROR(VLOOKUP(Table25[[#This Row],[Part No.]],'[2]New Machine sheet'!$G$2:$I$90,3,0),0)</f>
        <v>66.900000000000006</v>
      </c>
      <c r="T89" s="61">
        <f>Table25[[#This Row],[cost per piece]]*Table25[[#This Row],[Total Rej. qty]]</f>
        <v>200.70000000000002</v>
      </c>
      <c r="U89" s="61">
        <f>IFERROR(VLOOKUP(Table25[[#This Row],[Non Conformance]],'[2]New defect code '!$B$2:$C$129,2,0),0)</f>
        <v>0</v>
      </c>
      <c r="V89" s="61">
        <v>45</v>
      </c>
      <c r="W89" s="61" t="str">
        <f>IFERROR(VLOOKUP(Table25[[#This Row],[Code4]],'[2]New Reason code'!$A$2:$D$77,2,0),0)</f>
        <v>Running m/c</v>
      </c>
      <c r="X89" s="61">
        <f ca="1">#REF!+Table25[[#This Row],[Rejection Identified at]]</f>
        <v>0</v>
      </c>
      <c r="Y89" s="63">
        <f>IFERROR(VLOOKUP(Table25[[#This Row],[Reason]],Coding!A86:C143,3,0),0)</f>
        <v>0</v>
      </c>
    </row>
    <row r="90" spans="1:25" ht="20.25" customHeight="1">
      <c r="A90" s="60">
        <v>86</v>
      </c>
      <c r="B90" s="61">
        <v>35</v>
      </c>
      <c r="C90" s="61" t="str">
        <f>IFERROR(VLOOKUP(Table25[[#This Row],[Code]],'[2]New Machine sheet'!$A$1:$D$101,2,0),0)</f>
        <v>ACE-15</v>
      </c>
      <c r="D90" s="61" t="str">
        <f>IFERROR(VLOOKUP(Table25[[#This Row],[M/c No]],'[2]New Machine sheet'!$B$1:$D$101,2,0),0)</f>
        <v>Micromatic</v>
      </c>
      <c r="E90" s="61" t="str">
        <f>IFERROR(VLOOKUP(Table25[[#This Row],[M/c Name]],'[2]New Machine sheet'!$C$1:$D$101,2,0),0)</f>
        <v>Turning</v>
      </c>
      <c r="F90" s="61">
        <v>113</v>
      </c>
      <c r="G90" s="61">
        <f>IFERROR(VLOOKUP(Table25[[#This Row],[Code2]],'[2]New Machine sheet'!$F$2:$I$64,2,),0)</f>
        <v>24113</v>
      </c>
      <c r="H90" s="61" t="str">
        <f>IFERROR(VLOOKUP(Table25[[#This Row],[Code2]],'[2]New Machine sheet'!$F$2:$I$64,3,0),0)</f>
        <v>RE J1</v>
      </c>
      <c r="I90" s="61" t="s">
        <v>137</v>
      </c>
      <c r="J90" s="61">
        <v>10</v>
      </c>
      <c r="K90" s="61" t="str">
        <f>IFERROR(VLOOKUP(Table25[[#This Row],[Code3]],'[2]New defect code '!$A$2:$D$129,2,0),0)</f>
        <v xml:space="preserve">Bore u/s </v>
      </c>
      <c r="L90" s="61" t="s">
        <v>188</v>
      </c>
      <c r="M90" s="56">
        <v>46266</v>
      </c>
      <c r="N90" s="61"/>
      <c r="O90" s="61"/>
      <c r="P90" s="61">
        <v>2</v>
      </c>
      <c r="Q90" s="61"/>
      <c r="R90" s="61">
        <f>SUBTOTAL(9,Table25[[#This Row],[1st]:[FQC]])</f>
        <v>2</v>
      </c>
      <c r="S90" s="61">
        <f>IFERROR(VLOOKUP(Table25[[#This Row],[Part No.]],'[2]New Machine sheet'!$G$2:$I$90,3,0),0)</f>
        <v>90</v>
      </c>
      <c r="T90" s="61">
        <f>Table25[[#This Row],[cost per piece]]*Table25[[#This Row],[Total Rej. qty]]</f>
        <v>180</v>
      </c>
      <c r="U90" s="61">
        <f>IFERROR(VLOOKUP(Table25[[#This Row],[Non Conformance]],'[2]New defect code '!$B$2:$C$129,2,0),0)</f>
        <v>0</v>
      </c>
      <c r="V90" s="61">
        <v>45</v>
      </c>
      <c r="W90" s="61" t="str">
        <f>IFERROR(VLOOKUP(Table25[[#This Row],[Code4]],'[2]New Reason code'!$A$2:$D$77,2,0),0)</f>
        <v>Running m/c</v>
      </c>
      <c r="X90" s="61">
        <f ca="1">#REF!+Table25[[#This Row],[Rejection Identified at]]</f>
        <v>0</v>
      </c>
      <c r="Y90" s="63">
        <f>IFERROR(VLOOKUP(Table25[[#This Row],[Reason]],Coding!A87:C144,3,0),0)</f>
        <v>0</v>
      </c>
    </row>
    <row r="91" spans="1:25" ht="20.25" customHeight="1">
      <c r="A91" s="50">
        <v>87</v>
      </c>
      <c r="B91" s="61"/>
      <c r="C91" s="61" t="s">
        <v>118</v>
      </c>
      <c r="D91" s="61" t="s">
        <v>117</v>
      </c>
      <c r="E91" s="61" t="str">
        <f>IFERROR(VLOOKUP(Table25[[#This Row],[M/c Name]],'[2]New Machine sheet'!$C$1:$D$101,2,0),0)</f>
        <v>Turning</v>
      </c>
      <c r="F91" s="61">
        <v>127</v>
      </c>
      <c r="G91" s="61">
        <f>IFERROR(VLOOKUP(Table25[[#This Row],[Code2]],'[2]New Machine sheet'!$F$2:$I$64,2,),0)</f>
        <v>24127</v>
      </c>
      <c r="H91" s="61" t="str">
        <f>IFERROR(VLOOKUP(Table25[[#This Row],[Code2]],'[2]New Machine sheet'!$F$2:$I$64,3,0),0)</f>
        <v>RE J1</v>
      </c>
      <c r="I91" s="61" t="s">
        <v>136</v>
      </c>
      <c r="J91" s="61">
        <v>71</v>
      </c>
      <c r="K91" s="61" t="str">
        <f>IFERROR(VLOOKUP(Table25[[#This Row],[Code3]],'[2]New defect code '!$A$2:$D$129,2,0),0)</f>
        <v>PG go not qualify</v>
      </c>
      <c r="L91" s="61" t="s">
        <v>188</v>
      </c>
      <c r="M91" s="56">
        <v>46266</v>
      </c>
      <c r="N91" s="61"/>
      <c r="O91" s="61"/>
      <c r="P91" s="61">
        <v>2</v>
      </c>
      <c r="Q91" s="61"/>
      <c r="R91" s="61">
        <f>SUBTOTAL(9,Table25[[#This Row],[1st]:[FQC]])</f>
        <v>2</v>
      </c>
      <c r="S91" s="61">
        <f>IFERROR(VLOOKUP(Table25[[#This Row],[Part No.]],'[2]New Machine sheet'!$G$2:$I$90,3,0),0)</f>
        <v>262.81200000000001</v>
      </c>
      <c r="T91" s="61">
        <f>Table25[[#This Row],[cost per piece]]*Table25[[#This Row],[Total Rej. qty]]</f>
        <v>525.62400000000002</v>
      </c>
      <c r="U91" s="61">
        <f>IFERROR(VLOOKUP(Table25[[#This Row],[Non Conformance]],'[2]New defect code '!$B$2:$C$129,2,0),0)</f>
        <v>0</v>
      </c>
      <c r="V91" s="61">
        <v>45</v>
      </c>
      <c r="W91" s="61" t="str">
        <f>IFERROR(VLOOKUP(Table25[[#This Row],[Code4]],'[2]New Reason code'!$A$2:$D$77,2,0),0)</f>
        <v>Running m/c</v>
      </c>
      <c r="X91" s="61">
        <f ca="1">#REF!+Table25[[#This Row],[Rejection Identified at]]</f>
        <v>0</v>
      </c>
      <c r="Y91" s="63">
        <f>IFERROR(VLOOKUP(Table25[[#This Row],[Reason]],Coding!A88:C145,3,0),0)</f>
        <v>0</v>
      </c>
    </row>
    <row r="92" spans="1:25" ht="20.25" customHeight="1">
      <c r="A92" s="60">
        <v>88</v>
      </c>
      <c r="B92" s="61">
        <v>7</v>
      </c>
      <c r="C92" s="61" t="str">
        <f>IFERROR(VLOOKUP(Table25[[#This Row],[Code]],'[2]New Machine sheet'!$A$1:$D$101,2,0),0)</f>
        <v>282-07</v>
      </c>
      <c r="D92" s="61" t="str">
        <f>IFERROR(VLOOKUP(Table25[[#This Row],[M/c No]],'[2]New Machine sheet'!$B$1:$D$101,2,0),0)</f>
        <v>Mazak</v>
      </c>
      <c r="E92" s="61" t="str">
        <f>IFERROR(VLOOKUP(Table25[[#This Row],[M/c Name]],'[2]New Machine sheet'!$C$1:$D$101,2,0),0)</f>
        <v>Turning</v>
      </c>
      <c r="F92" s="61">
        <v>119</v>
      </c>
      <c r="G92" s="61">
        <f>IFERROR(VLOOKUP(Table25[[#This Row],[Code2]],'[2]New Machine sheet'!$F$2:$I$64,2,),0)</f>
        <v>24119</v>
      </c>
      <c r="H92" s="61" t="str">
        <f>IFERROR(VLOOKUP(Table25[[#This Row],[Code2]],'[2]New Machine sheet'!$F$2:$I$64,3,0),0)</f>
        <v>RE J1</v>
      </c>
      <c r="I92" s="61" t="s">
        <v>142</v>
      </c>
      <c r="J92" s="61">
        <v>10</v>
      </c>
      <c r="K92" s="61" t="str">
        <f>IFERROR(VLOOKUP(Table25[[#This Row],[Code3]],'[2]New defect code '!$A$2:$D$129,2,0),0)</f>
        <v xml:space="preserve">Bore u/s </v>
      </c>
      <c r="L92" s="61" t="s">
        <v>188</v>
      </c>
      <c r="M92" s="56">
        <v>46266</v>
      </c>
      <c r="N92" s="61"/>
      <c r="O92" s="61"/>
      <c r="P92" s="61">
        <v>1</v>
      </c>
      <c r="Q92" s="61"/>
      <c r="R92" s="61">
        <f>SUBTOTAL(9,Table25[[#This Row],[1st]:[FQC]])</f>
        <v>1</v>
      </c>
      <c r="S92" s="61">
        <f>IFERROR(VLOOKUP(Table25[[#This Row],[Part No.]],'[2]New Machine sheet'!$G$2:$I$90,3,0),0)</f>
        <v>103.2</v>
      </c>
      <c r="T92" s="61">
        <f>Table25[[#This Row],[cost per piece]]*Table25[[#This Row],[Total Rej. qty]]</f>
        <v>103.2</v>
      </c>
      <c r="U92" s="61">
        <f>IFERROR(VLOOKUP(Table25[[#This Row],[Non Conformance]],'[2]New defect code '!$B$2:$C$129,2,0),0)</f>
        <v>0</v>
      </c>
      <c r="V92" s="61">
        <v>45</v>
      </c>
      <c r="W92" s="61" t="str">
        <f>IFERROR(VLOOKUP(Table25[[#This Row],[Code4]],'[2]New Reason code'!$A$2:$D$77,2,0),0)</f>
        <v>Running m/c</v>
      </c>
      <c r="X92" s="61">
        <f ca="1">#REF!+Table25[[#This Row],[Rejection Identified at]]</f>
        <v>0</v>
      </c>
      <c r="Y92" s="63">
        <f>IFERROR(VLOOKUP(Table25[[#This Row],[Reason]],Coding!A89:C146,3,0),0)</f>
        <v>0</v>
      </c>
    </row>
    <row r="93" spans="1:25" ht="20.25" customHeight="1">
      <c r="A93" s="50">
        <v>89</v>
      </c>
      <c r="B93" s="61">
        <v>15</v>
      </c>
      <c r="C93" s="61" t="str">
        <f>IFERROR(VLOOKUP(Table25[[#This Row],[Code]],'[2]New Machine sheet'!$A$1:$D$101,2,0),0)</f>
        <v>282-15</v>
      </c>
      <c r="D93" s="61" t="str">
        <f>IFERROR(VLOOKUP(Table25[[#This Row],[M/c No]],'[2]New Machine sheet'!$B$1:$D$101,2,0),0)</f>
        <v>Mazak</v>
      </c>
      <c r="E93" s="61" t="str">
        <f>IFERROR(VLOOKUP(Table25[[#This Row],[M/c Name]],'[2]New Machine sheet'!$C$1:$D$101,2,0),0)</f>
        <v>Turning</v>
      </c>
      <c r="F93" s="61">
        <v>78</v>
      </c>
      <c r="G93" s="61">
        <f>IFERROR(VLOOKUP(Table25[[#This Row],[Code2]],'[2]New Machine sheet'!$F$2:$I$64,2,),0)</f>
        <v>2478</v>
      </c>
      <c r="H93" s="61" t="str">
        <f>IFERROR(VLOOKUP(Table25[[#This Row],[Code2]],'[2]New Machine sheet'!$F$2:$I$64,3,0),0)</f>
        <v>RE P1</v>
      </c>
      <c r="I93" s="61" t="s">
        <v>168</v>
      </c>
      <c r="J93" s="61">
        <v>49</v>
      </c>
      <c r="K93" s="61" t="str">
        <f>IFERROR(VLOOKUP(Table25[[#This Row],[Code3]],'[2]New defect code '!$A$2:$D$129,2,0),0)</f>
        <v>Thickness over size</v>
      </c>
      <c r="L93" s="61" t="s">
        <v>188</v>
      </c>
      <c r="M93" s="56">
        <v>46266</v>
      </c>
      <c r="N93" s="61"/>
      <c r="O93" s="61"/>
      <c r="P93" s="61">
        <v>1</v>
      </c>
      <c r="Q93" s="61"/>
      <c r="R93" s="61">
        <f>SUBTOTAL(9,Table25[[#This Row],[1st]:[FQC]])</f>
        <v>1</v>
      </c>
      <c r="S93" s="61">
        <f>IFERROR(VLOOKUP(Table25[[#This Row],[Part No.]],'[2]New Machine sheet'!$G$2:$I$90,3,0),0)</f>
        <v>468.06</v>
      </c>
      <c r="T93" s="61">
        <f>Table25[[#This Row],[cost per piece]]*Table25[[#This Row],[Total Rej. qty]]</f>
        <v>468.06</v>
      </c>
      <c r="U93" s="61">
        <f>IFERROR(VLOOKUP(Table25[[#This Row],[Non Conformance]],'[2]New defect code '!$B$2:$C$129,2,0),0)</f>
        <v>0</v>
      </c>
      <c r="V93" s="61">
        <v>45</v>
      </c>
      <c r="W93" s="61" t="str">
        <f>IFERROR(VLOOKUP(Table25[[#This Row],[Code4]],'[2]New Reason code'!$A$2:$D$77,2,0),0)</f>
        <v>Running m/c</v>
      </c>
      <c r="X93" s="61">
        <f ca="1">#REF!+Table25[[#This Row],[Rejection Identified at]]</f>
        <v>0</v>
      </c>
      <c r="Y93" s="63">
        <f>IFERROR(VLOOKUP(Table25[[#This Row],[Reason]],Coding!A90:C147,3,0),0)</f>
        <v>0</v>
      </c>
    </row>
    <row r="94" spans="1:25" ht="20.25" customHeight="1">
      <c r="A94" s="60">
        <v>90</v>
      </c>
      <c r="B94" s="61"/>
      <c r="C94" s="61" t="s">
        <v>150</v>
      </c>
      <c r="D94" s="61" t="s">
        <v>117</v>
      </c>
      <c r="E94" s="61" t="str">
        <f>IFERROR(VLOOKUP(Table25[[#This Row],[M/c Name]],'[2]New Machine sheet'!$C$1:$D$101,2,0),0)</f>
        <v>Turning</v>
      </c>
      <c r="F94" s="61">
        <v>122</v>
      </c>
      <c r="G94" s="61">
        <f>IFERROR(VLOOKUP(Table25[[#This Row],[Code2]],'[2]New Machine sheet'!$F$2:$I$64,2,),0)</f>
        <v>24122</v>
      </c>
      <c r="H94" s="61" t="str">
        <f>IFERROR(VLOOKUP(Table25[[#This Row],[Code2]],'[2]New Machine sheet'!$F$2:$I$64,3,0),0)</f>
        <v>RE J1</v>
      </c>
      <c r="I94" s="61" t="s">
        <v>121</v>
      </c>
      <c r="J94" s="61">
        <v>41</v>
      </c>
      <c r="K94" s="61" t="str">
        <f>IFERROR(VLOOKUP(Table25[[#This Row],[Code3]],'[2]New defect code '!$A$2:$D$129,2,0),0)</f>
        <v>Face Less metal</v>
      </c>
      <c r="L94" s="61" t="s">
        <v>189</v>
      </c>
      <c r="M94" s="56">
        <v>46266</v>
      </c>
      <c r="N94" s="61">
        <v>1</v>
      </c>
      <c r="O94" s="61"/>
      <c r="P94" s="61"/>
      <c r="Q94" s="61"/>
      <c r="R94" s="61">
        <f>SUBTOTAL(9,Table25[[#This Row],[1st]:[FQC]])</f>
        <v>1</v>
      </c>
      <c r="S94" s="61">
        <f>IFERROR(VLOOKUP(Table25[[#This Row],[Part No.]],'[2]New Machine sheet'!$G$2:$I$90,3,0),0)</f>
        <v>335.39977528089889</v>
      </c>
      <c r="T94" s="61">
        <f>Table25[[#This Row],[cost per piece]]*Table25[[#This Row],[Total Rej. qty]]</f>
        <v>335.39977528089889</v>
      </c>
      <c r="U94" s="61">
        <f>IFERROR(VLOOKUP(Table25[[#This Row],[Non Conformance]],'[2]New defect code '!$B$2:$C$129,2,0),0)</f>
        <v>3259</v>
      </c>
      <c r="V94" s="61">
        <v>45</v>
      </c>
      <c r="W94" s="61" t="str">
        <f>IFERROR(VLOOKUP(Table25[[#This Row],[Code4]],'[2]New Reason code'!$A$2:$D$77,2,0),0)</f>
        <v>Running m/c</v>
      </c>
      <c r="X94" s="61">
        <f ca="1">#REF!+Table25[[#This Row],[Rejection Identified at]]</f>
        <v>0</v>
      </c>
      <c r="Y94" s="63">
        <f>IFERROR(VLOOKUP(Table25[[#This Row],[Reason]],Coding!A91:C148,3,0),0)</f>
        <v>0</v>
      </c>
    </row>
    <row r="95" spans="1:25" ht="20.25" customHeight="1">
      <c r="A95" s="50">
        <v>91</v>
      </c>
      <c r="B95" s="61">
        <v>23</v>
      </c>
      <c r="C95" s="61" t="str">
        <f>IFERROR(VLOOKUP(Table25[[#This Row],[Code]],'[2]New Machine sheet'!$A$1:$D$101,2,0),0)</f>
        <v>ACE-03</v>
      </c>
      <c r="D95" s="61" t="str">
        <f>IFERROR(VLOOKUP(Table25[[#This Row],[M/c No]],'[2]New Machine sheet'!$B$1:$D$101,2,0),0)</f>
        <v>Micromatic</v>
      </c>
      <c r="E95" s="61" t="str">
        <f>IFERROR(VLOOKUP(Table25[[#This Row],[M/c Name]],'[2]New Machine sheet'!$C$1:$D$101,2,0),0)</f>
        <v>Turning</v>
      </c>
      <c r="F95" s="61">
        <v>29</v>
      </c>
      <c r="G95" s="61">
        <f>IFERROR(VLOOKUP(Table25[[#This Row],[Code2]],'[2]New Machine sheet'!$F$2:$I$64,2,),0)</f>
        <v>2429</v>
      </c>
      <c r="H95" s="61" t="str">
        <f>IFERROR(VLOOKUP(Table25[[#This Row],[Code2]],'[2]New Machine sheet'!$F$2:$I$64,3,0),0)</f>
        <v>RE P1</v>
      </c>
      <c r="I95" s="61" t="s">
        <v>141</v>
      </c>
      <c r="J95" s="61">
        <v>41</v>
      </c>
      <c r="K95" s="61" t="str">
        <f>IFERROR(VLOOKUP(Table25[[#This Row],[Code3]],'[2]New defect code '!$A$2:$D$129,2,0),0)</f>
        <v>Face Less metal</v>
      </c>
      <c r="L95" s="61" t="s">
        <v>189</v>
      </c>
      <c r="M95" s="56">
        <v>46266</v>
      </c>
      <c r="N95" s="61">
        <v>5</v>
      </c>
      <c r="O95" s="61"/>
      <c r="P95" s="61"/>
      <c r="Q95" s="61"/>
      <c r="R95" s="61">
        <f>SUBTOTAL(9,Table25[[#This Row],[1st]:[FQC]])</f>
        <v>5</v>
      </c>
      <c r="S95" s="61">
        <f>IFERROR(VLOOKUP(Table25[[#This Row],[Part No.]],'[2]New Machine sheet'!$G$2:$I$90,3,0),0)</f>
        <v>142.61000000000001</v>
      </c>
      <c r="T95" s="61">
        <f>Table25[[#This Row],[cost per piece]]*Table25[[#This Row],[Total Rej. qty]]</f>
        <v>713.05000000000007</v>
      </c>
      <c r="U95" s="61">
        <f>IFERROR(VLOOKUP(Table25[[#This Row],[Non Conformance]],'[2]New defect code '!$B$2:$C$129,2,0),0)</f>
        <v>3259</v>
      </c>
      <c r="V95" s="61">
        <v>45</v>
      </c>
      <c r="W95" s="61" t="str">
        <f>IFERROR(VLOOKUP(Table25[[#This Row],[Code4]],'[2]New Reason code'!$A$2:$D$77,2,0),0)</f>
        <v>Running m/c</v>
      </c>
      <c r="X95" s="61">
        <f ca="1">#REF!+Table25[[#This Row],[Rejection Identified at]]</f>
        <v>0</v>
      </c>
      <c r="Y95" s="63">
        <f>IFERROR(VLOOKUP(Table25[[#This Row],[Reason]],Coding!A92:C149,3,0),0)</f>
        <v>0</v>
      </c>
    </row>
    <row r="96" spans="1:25" ht="20.25" customHeight="1">
      <c r="A96" s="60">
        <v>92</v>
      </c>
      <c r="B96" s="61">
        <v>23</v>
      </c>
      <c r="C96" s="61" t="str">
        <f>IFERROR(VLOOKUP(Table25[[#This Row],[Code]],'[2]New Machine sheet'!$A$1:$D$101,2,0),0)</f>
        <v>ACE-03</v>
      </c>
      <c r="D96" s="61" t="str">
        <f>IFERROR(VLOOKUP(Table25[[#This Row],[M/c No]],'[2]New Machine sheet'!$B$1:$D$101,2,0),0)</f>
        <v>Micromatic</v>
      </c>
      <c r="E96" s="61" t="str">
        <f>IFERROR(VLOOKUP(Table25[[#This Row],[M/c Name]],'[2]New Machine sheet'!$C$1:$D$101,2,0),0)</f>
        <v>Turning</v>
      </c>
      <c r="F96" s="61">
        <v>29</v>
      </c>
      <c r="G96" s="61">
        <f>IFERROR(VLOOKUP(Table25[[#This Row],[Code2]],'[2]New Machine sheet'!$F$2:$I$64,2,),0)</f>
        <v>2429</v>
      </c>
      <c r="H96" s="61" t="str">
        <f>IFERROR(VLOOKUP(Table25[[#This Row],[Code2]],'[2]New Machine sheet'!$F$2:$I$64,3,0),0)</f>
        <v>RE P1</v>
      </c>
      <c r="I96" s="61" t="s">
        <v>141</v>
      </c>
      <c r="J96" s="61">
        <v>2</v>
      </c>
      <c r="K96" s="61" t="str">
        <f>IFERROR(VLOOKUP(Table25[[#This Row],[Code3]],'[2]New defect code '!$A$2:$D$129,2,0),0)</f>
        <v xml:space="preserve">Bore chatring </v>
      </c>
      <c r="L96" s="61" t="s">
        <v>189</v>
      </c>
      <c r="M96" s="56">
        <v>46266</v>
      </c>
      <c r="N96" s="61">
        <v>20</v>
      </c>
      <c r="O96" s="61"/>
      <c r="P96" s="61"/>
      <c r="Q96" s="61"/>
      <c r="R96" s="61">
        <f>SUBTOTAL(9,Table25[[#This Row],[1st]:[FQC]])</f>
        <v>20</v>
      </c>
      <c r="S96" s="61">
        <f>IFERROR(VLOOKUP(Table25[[#This Row],[Part No.]],'[2]New Machine sheet'!$G$2:$I$90,3,0),0)</f>
        <v>142.61000000000001</v>
      </c>
      <c r="T96" s="61">
        <f>Table25[[#This Row],[cost per piece]]*Table25[[#This Row],[Total Rej. qty]]</f>
        <v>2852.2000000000003</v>
      </c>
      <c r="U96" s="61">
        <f>IFERROR(VLOOKUP(Table25[[#This Row],[Non Conformance]],'[2]New defect code '!$B$2:$C$129,2,0),0)</f>
        <v>0</v>
      </c>
      <c r="V96" s="61">
        <v>45</v>
      </c>
      <c r="W96" s="61" t="str">
        <f>IFERROR(VLOOKUP(Table25[[#This Row],[Code4]],'[2]New Reason code'!$A$2:$D$77,2,0),0)</f>
        <v>Running m/c</v>
      </c>
      <c r="X96" s="61">
        <f ca="1">#REF!+Table25[[#This Row],[Rejection Identified at]]</f>
        <v>0</v>
      </c>
      <c r="Y96" s="63">
        <f>IFERROR(VLOOKUP(Table25[[#This Row],[Reason]],Coding!A93:C150,3,0),0)</f>
        <v>0</v>
      </c>
    </row>
    <row r="97" spans="1:25" ht="20.25" customHeight="1">
      <c r="A97" s="50">
        <v>93</v>
      </c>
      <c r="B97" s="61">
        <v>4</v>
      </c>
      <c r="C97" s="61" t="str">
        <f>IFERROR(VLOOKUP(Table25[[#This Row],[Code]],'[2]New Machine sheet'!$A$1:$D$101,2,0),0)</f>
        <v>282-04</v>
      </c>
      <c r="D97" s="61" t="str">
        <f>IFERROR(VLOOKUP(Table25[[#This Row],[M/c No]],'[2]New Machine sheet'!$B$1:$D$101,2,0),0)</f>
        <v>Mazak</v>
      </c>
      <c r="E97" s="61" t="str">
        <f>IFERROR(VLOOKUP(Table25[[#This Row],[M/c Name]],'[2]New Machine sheet'!$C$1:$D$101,2,0),0)</f>
        <v>Turning</v>
      </c>
      <c r="F97" s="61">
        <v>117</v>
      </c>
      <c r="G97" s="61">
        <f>IFERROR(VLOOKUP(Table25[[#This Row],[Code2]],'[2]New Machine sheet'!$F$2:$I$64,2,),0)</f>
        <v>24117</v>
      </c>
      <c r="H97" s="61" t="str">
        <f>IFERROR(VLOOKUP(Table25[[#This Row],[Code2]],'[2]New Machine sheet'!$F$2:$I$64,3,0),0)</f>
        <v>RE J1</v>
      </c>
      <c r="I97" s="61" t="s">
        <v>190</v>
      </c>
      <c r="J97" s="61">
        <v>41</v>
      </c>
      <c r="K97" s="61" t="str">
        <f>IFERROR(VLOOKUP(Table25[[#This Row],[Code3]],'[2]New defect code '!$A$2:$D$129,2,0),0)</f>
        <v>Face Less metal</v>
      </c>
      <c r="L97" s="61" t="s">
        <v>189</v>
      </c>
      <c r="M97" s="56">
        <v>46266</v>
      </c>
      <c r="N97" s="61">
        <v>1</v>
      </c>
      <c r="O97" s="61"/>
      <c r="P97" s="61"/>
      <c r="Q97" s="61"/>
      <c r="R97" s="61">
        <f>SUBTOTAL(9,Table25[[#This Row],[1st]:[FQC]])</f>
        <v>1</v>
      </c>
      <c r="S97" s="61">
        <f>IFERROR(VLOOKUP(Table25[[#This Row],[Part No.]],'[2]New Machine sheet'!$G$2:$I$90,3,0),0)</f>
        <v>111.97</v>
      </c>
      <c r="T97" s="61">
        <f>Table25[[#This Row],[cost per piece]]*Table25[[#This Row],[Total Rej. qty]]</f>
        <v>111.97</v>
      </c>
      <c r="U97" s="61">
        <f>IFERROR(VLOOKUP(Table25[[#This Row],[Non Conformance]],'[2]New defect code '!$B$2:$C$129,2,0),0)</f>
        <v>3259</v>
      </c>
      <c r="V97" s="61">
        <v>45</v>
      </c>
      <c r="W97" s="61" t="str">
        <f>IFERROR(VLOOKUP(Table25[[#This Row],[Code4]],'[2]New Reason code'!$A$2:$D$77,2,0),0)</f>
        <v>Running m/c</v>
      </c>
      <c r="X97" s="61">
        <f ca="1">#REF!+Table25[[#This Row],[Rejection Identified at]]</f>
        <v>0</v>
      </c>
      <c r="Y97" s="63">
        <f>IFERROR(VLOOKUP(Table25[[#This Row],[Reason]],Coding!A94:C151,3,0),0)</f>
        <v>0</v>
      </c>
    </row>
    <row r="98" spans="1:25" ht="20.25" customHeight="1">
      <c r="A98" s="60">
        <v>94</v>
      </c>
      <c r="B98" s="61">
        <v>40</v>
      </c>
      <c r="C98" s="61" t="str">
        <f>IFERROR(VLOOKUP(Table25[[#This Row],[Code]],'[2]New Machine sheet'!$A$1:$D$101,2,0),0)</f>
        <v>ACE-20</v>
      </c>
      <c r="D98" s="61" t="str">
        <f>IFERROR(VLOOKUP(Table25[[#This Row],[M/c No]],'[2]New Machine sheet'!$B$1:$D$101,2,0),0)</f>
        <v>Micromatic</v>
      </c>
      <c r="E98" s="61" t="str">
        <f>IFERROR(VLOOKUP(Table25[[#This Row],[M/c Name]],'[2]New Machine sheet'!$C$1:$D$101,2,0),0)</f>
        <v>Turning</v>
      </c>
      <c r="F98" s="61">
        <v>122</v>
      </c>
      <c r="G98" s="61">
        <f>IFERROR(VLOOKUP(Table25[[#This Row],[Code2]],'[2]New Machine sheet'!$F$2:$I$64,2,),0)</f>
        <v>24122</v>
      </c>
      <c r="H98" s="61" t="str">
        <f>IFERROR(VLOOKUP(Table25[[#This Row],[Code2]],'[2]New Machine sheet'!$F$2:$I$64,3,0),0)</f>
        <v>RE J1</v>
      </c>
      <c r="I98" s="61" t="s">
        <v>141</v>
      </c>
      <c r="J98" s="61">
        <v>41</v>
      </c>
      <c r="K98" s="61" t="str">
        <f>IFERROR(VLOOKUP(Table25[[#This Row],[Code3]],'[2]New defect code '!$A$2:$D$129,2,0),0)</f>
        <v>Face Less metal</v>
      </c>
      <c r="L98" s="61" t="s">
        <v>189</v>
      </c>
      <c r="M98" s="56">
        <v>46266</v>
      </c>
      <c r="N98" s="61">
        <v>1</v>
      </c>
      <c r="O98" s="61"/>
      <c r="P98" s="61"/>
      <c r="Q98" s="61"/>
      <c r="R98" s="61">
        <f>SUBTOTAL(9,Table25[[#This Row],[1st]:[FQC]])</f>
        <v>1</v>
      </c>
      <c r="S98" s="61">
        <f>IFERROR(VLOOKUP(Table25[[#This Row],[Part No.]],'[2]New Machine sheet'!$G$2:$I$90,3,0),0)</f>
        <v>335.39977528089889</v>
      </c>
      <c r="T98" s="61">
        <f>Table25[[#This Row],[cost per piece]]*Table25[[#This Row],[Total Rej. qty]]</f>
        <v>335.39977528089889</v>
      </c>
      <c r="U98" s="61">
        <f>IFERROR(VLOOKUP(Table25[[#This Row],[Non Conformance]],'[2]New defect code '!$B$2:$C$129,2,0),0)</f>
        <v>3259</v>
      </c>
      <c r="V98" s="61">
        <v>45</v>
      </c>
      <c r="W98" s="61" t="str">
        <f>IFERROR(VLOOKUP(Table25[[#This Row],[Code4]],'[2]New Reason code'!$A$2:$D$77,2,0),0)</f>
        <v>Running m/c</v>
      </c>
      <c r="X98" s="61">
        <f ca="1">#REF!+Table25[[#This Row],[Rejection Identified at]]</f>
        <v>0</v>
      </c>
      <c r="Y98" s="63">
        <f>IFERROR(VLOOKUP(Table25[[#This Row],[Reason]],Coding!A95:C152,3,0),0)</f>
        <v>0</v>
      </c>
    </row>
    <row r="99" spans="1:25" ht="20.25" customHeight="1">
      <c r="A99" s="50">
        <v>95</v>
      </c>
      <c r="B99" s="61">
        <v>20</v>
      </c>
      <c r="C99" s="61" t="str">
        <f>IFERROR(VLOOKUP(Table25[[#This Row],[Code]],'[2]New Machine sheet'!$A$1:$D$101,2,0),0)</f>
        <v>282-20</v>
      </c>
      <c r="D99" s="61" t="str">
        <f>IFERROR(VLOOKUP(Table25[[#This Row],[M/c No]],'[2]New Machine sheet'!$B$1:$D$101,2,0),0)</f>
        <v>Mazak</v>
      </c>
      <c r="E99" s="61" t="str">
        <f>IFERROR(VLOOKUP(Table25[[#This Row],[M/c Name]],'[2]New Machine sheet'!$C$1:$D$101,2,0),0)</f>
        <v>Turning</v>
      </c>
      <c r="F99" s="61">
        <v>115</v>
      </c>
      <c r="G99" s="61">
        <f>IFERROR(VLOOKUP(Table25[[#This Row],[Code2]],'[2]New Machine sheet'!$F$2:$I$64,2,),0)</f>
        <v>24115</v>
      </c>
      <c r="H99" s="61" t="str">
        <f>IFERROR(VLOOKUP(Table25[[#This Row],[Code2]],'[2]New Machine sheet'!$F$2:$I$64,3,0),0)</f>
        <v>RE J1</v>
      </c>
      <c r="I99" s="61" t="s">
        <v>191</v>
      </c>
      <c r="J99" s="61">
        <v>10</v>
      </c>
      <c r="K99" s="61" t="str">
        <f>IFERROR(VLOOKUP(Table25[[#This Row],[Code3]],'[2]New defect code '!$A$2:$D$129,2,0),0)</f>
        <v xml:space="preserve">Bore u/s </v>
      </c>
      <c r="L99" s="61" t="s">
        <v>189</v>
      </c>
      <c r="M99" s="56">
        <v>46266</v>
      </c>
      <c r="N99" s="61">
        <v>24</v>
      </c>
      <c r="O99" s="61"/>
      <c r="P99" s="61"/>
      <c r="Q99" s="61"/>
      <c r="R99" s="61">
        <f>SUBTOTAL(9,Table25[[#This Row],[1st]:[FQC]])</f>
        <v>24</v>
      </c>
      <c r="S99" s="61">
        <f>IFERROR(VLOOKUP(Table25[[#This Row],[Part No.]],'[2]New Machine sheet'!$G$2:$I$90,3,0),0)</f>
        <v>66.900000000000006</v>
      </c>
      <c r="T99" s="61">
        <f>Table25[[#This Row],[cost per piece]]*Table25[[#This Row],[Total Rej. qty]]</f>
        <v>1605.6000000000001</v>
      </c>
      <c r="U99" s="61">
        <f>IFERROR(VLOOKUP(Table25[[#This Row],[Non Conformance]],'[2]New defect code '!$B$2:$C$129,2,0),0)</f>
        <v>0</v>
      </c>
      <c r="V99" s="61">
        <v>45</v>
      </c>
      <c r="W99" s="61" t="str">
        <f>IFERROR(VLOOKUP(Table25[[#This Row],[Code4]],'[2]New Reason code'!$A$2:$D$77,2,0),0)</f>
        <v>Running m/c</v>
      </c>
      <c r="X99" s="61">
        <f ca="1">#REF!+Table25[[#This Row],[Rejection Identified at]]</f>
        <v>0</v>
      </c>
      <c r="Y99" s="63">
        <f>IFERROR(VLOOKUP(Table25[[#This Row],[Reason]],Coding!A96:C153,3,0),0)</f>
        <v>0</v>
      </c>
    </row>
    <row r="100" spans="1:25" ht="20.25" customHeight="1">
      <c r="A100" s="60">
        <v>96</v>
      </c>
      <c r="B100" s="61">
        <v>24</v>
      </c>
      <c r="C100" s="61" t="str">
        <f>IFERROR(VLOOKUP(Table25[[#This Row],[Code]],'[2]New Machine sheet'!$A$1:$D$101,2,0),0)</f>
        <v>ACE-04</v>
      </c>
      <c r="D100" s="61" t="str">
        <f>IFERROR(VLOOKUP(Table25[[#This Row],[M/c No]],'[2]New Machine sheet'!$B$1:$D$101,2,0),0)</f>
        <v>Micromatic</v>
      </c>
      <c r="E100" s="61" t="str">
        <f>IFERROR(VLOOKUP(Table25[[#This Row],[M/c Name]],'[2]New Machine sheet'!$C$1:$D$101,2,0),0)</f>
        <v>Turning</v>
      </c>
      <c r="F100" s="61">
        <v>125</v>
      </c>
      <c r="G100" s="61">
        <f>IFERROR(VLOOKUP(Table25[[#This Row],[Code2]],'[2]New Machine sheet'!$F$2:$I$64,2,),0)</f>
        <v>24125</v>
      </c>
      <c r="H100" s="61" t="str">
        <f>IFERROR(VLOOKUP(Table25[[#This Row],[Code2]],'[2]New Machine sheet'!$F$2:$I$64,3,0),0)</f>
        <v>RE J1</v>
      </c>
      <c r="I100" s="61" t="s">
        <v>173</v>
      </c>
      <c r="J100" s="61">
        <v>10</v>
      </c>
      <c r="K100" s="61" t="str">
        <f>IFERROR(VLOOKUP(Table25[[#This Row],[Code3]],'[2]New defect code '!$A$2:$D$129,2,0),0)</f>
        <v xml:space="preserve">Bore u/s </v>
      </c>
      <c r="L100" s="61" t="s">
        <v>189</v>
      </c>
      <c r="M100" s="56">
        <v>46266</v>
      </c>
      <c r="N100" s="61">
        <v>3</v>
      </c>
      <c r="O100" s="61"/>
      <c r="P100" s="61"/>
      <c r="Q100" s="61"/>
      <c r="R100" s="61">
        <f>SUBTOTAL(9,Table25[[#This Row],[1st]:[FQC]])</f>
        <v>3</v>
      </c>
      <c r="S100" s="61">
        <f>IFERROR(VLOOKUP(Table25[[#This Row],[Part No.]],'[2]New Machine sheet'!$G$2:$I$90,3,0),0)</f>
        <v>65.17</v>
      </c>
      <c r="T100" s="61">
        <f>Table25[[#This Row],[cost per piece]]*Table25[[#This Row],[Total Rej. qty]]</f>
        <v>195.51</v>
      </c>
      <c r="U100" s="61">
        <f>IFERROR(VLOOKUP(Table25[[#This Row],[Non Conformance]],'[2]New defect code '!$B$2:$C$129,2,0),0)</f>
        <v>0</v>
      </c>
      <c r="V100" s="61">
        <v>45</v>
      </c>
      <c r="W100" s="61" t="str">
        <f>IFERROR(VLOOKUP(Table25[[#This Row],[Code4]],'[2]New Reason code'!$A$2:$D$77,2,0),0)</f>
        <v>Running m/c</v>
      </c>
      <c r="X100" s="61">
        <f ca="1">#REF!+Table25[[#This Row],[Rejection Identified at]]</f>
        <v>0</v>
      </c>
      <c r="Y100" s="63">
        <f>IFERROR(VLOOKUP(Table25[[#This Row],[Reason]],Coding!A97:C154,3,0),0)</f>
        <v>0</v>
      </c>
    </row>
    <row r="101" spans="1:25" ht="20.25" customHeight="1">
      <c r="A101" s="50">
        <v>97</v>
      </c>
      <c r="B101" s="61">
        <v>21</v>
      </c>
      <c r="C101" s="61" t="str">
        <f>IFERROR(VLOOKUP(Table25[[#This Row],[Code]],'[2]New Machine sheet'!$A$1:$D$101,2,0),0)</f>
        <v>ACE-01</v>
      </c>
      <c r="D101" s="61" t="str">
        <f>IFERROR(VLOOKUP(Table25[[#This Row],[M/c No]],'[2]New Machine sheet'!$B$1:$D$101,2,0),0)</f>
        <v>Micromatic</v>
      </c>
      <c r="E101" s="61" t="str">
        <f>IFERROR(VLOOKUP(Table25[[#This Row],[M/c Name]],'[2]New Machine sheet'!$C$1:$D$101,2,0),0)</f>
        <v>Turning</v>
      </c>
      <c r="F101" s="61">
        <v>121</v>
      </c>
      <c r="G101" s="61">
        <f>IFERROR(VLOOKUP(Table25[[#This Row],[Code2]],'[2]New Machine sheet'!$F$2:$I$64,2,),0)</f>
        <v>24121</v>
      </c>
      <c r="H101" s="61" t="str">
        <f>IFERROR(VLOOKUP(Table25[[#This Row],[Code2]],'[2]New Machine sheet'!$F$2:$I$64,3,0),0)</f>
        <v>RE J1</v>
      </c>
      <c r="I101" s="61" t="s">
        <v>145</v>
      </c>
      <c r="J101" s="61">
        <v>10</v>
      </c>
      <c r="K101" s="61" t="str">
        <f>IFERROR(VLOOKUP(Table25[[#This Row],[Code3]],'[2]New defect code '!$A$2:$D$129,2,0),0)</f>
        <v xml:space="preserve">Bore u/s </v>
      </c>
      <c r="L101" s="61" t="s">
        <v>189</v>
      </c>
      <c r="M101" s="56">
        <v>46266</v>
      </c>
      <c r="N101" s="61">
        <v>4</v>
      </c>
      <c r="O101" s="61"/>
      <c r="P101" s="61"/>
      <c r="Q101" s="61"/>
      <c r="R101" s="61">
        <f>SUBTOTAL(9,Table25[[#This Row],[1st]:[FQC]])</f>
        <v>4</v>
      </c>
      <c r="S101" s="61">
        <f>IFERROR(VLOOKUP(Table25[[#This Row],[Part No.]],'[2]New Machine sheet'!$G$2:$I$90,3,0),0)</f>
        <v>135.66999999999999</v>
      </c>
      <c r="T101" s="61">
        <f>Table25[[#This Row],[cost per piece]]*Table25[[#This Row],[Total Rej. qty]]</f>
        <v>542.67999999999995</v>
      </c>
      <c r="U101" s="61">
        <f>IFERROR(VLOOKUP(Table25[[#This Row],[Non Conformance]],'[2]New defect code '!$B$2:$C$129,2,0),0)</f>
        <v>0</v>
      </c>
      <c r="V101" s="61">
        <v>45</v>
      </c>
      <c r="W101" s="61" t="str">
        <f>IFERROR(VLOOKUP(Table25[[#This Row],[Code4]],'[2]New Reason code'!$A$2:$D$77,2,0),0)</f>
        <v>Running m/c</v>
      </c>
      <c r="X101" s="61">
        <f ca="1">#REF!+Table25[[#This Row],[Rejection Identified at]]</f>
        <v>0</v>
      </c>
      <c r="Y101" s="63">
        <f>IFERROR(VLOOKUP(Table25[[#This Row],[Reason]],Coding!A98:C155,3,0),0)</f>
        <v>0</v>
      </c>
    </row>
    <row r="102" spans="1:25" ht="20.25" customHeight="1">
      <c r="A102" s="60">
        <v>98</v>
      </c>
      <c r="B102" s="61"/>
      <c r="C102" s="61" t="s">
        <v>118</v>
      </c>
      <c r="D102" s="61">
        <f>IFERROR(VLOOKUP(Table25[[#This Row],[M/c No]],'[2]New Machine sheet'!$B$1:$D$101,2,0),0)</f>
        <v>0</v>
      </c>
      <c r="E102" s="61">
        <f>IFERROR(VLOOKUP(Table25[[#This Row],[M/c Name]],'[2]New Machine sheet'!$C$1:$D$101,2,0),0)</f>
        <v>0</v>
      </c>
      <c r="F102" s="61">
        <v>127</v>
      </c>
      <c r="G102" s="61">
        <f>IFERROR(VLOOKUP(Table25[[#This Row],[Code2]],'[2]New Machine sheet'!$F$2:$I$64,2,),0)</f>
        <v>24127</v>
      </c>
      <c r="H102" s="61" t="str">
        <f>IFERROR(VLOOKUP(Table25[[#This Row],[Code2]],'[2]New Machine sheet'!$F$2:$I$64,3,0),0)</f>
        <v>RE J1</v>
      </c>
      <c r="I102" s="61" t="s">
        <v>120</v>
      </c>
      <c r="J102" s="61">
        <v>49</v>
      </c>
      <c r="K102" s="61" t="str">
        <f>IFERROR(VLOOKUP(Table25[[#This Row],[Code3]],'[2]New defect code '!$A$2:$D$129,2,0),0)</f>
        <v>Thickness over size</v>
      </c>
      <c r="L102" s="61" t="s">
        <v>189</v>
      </c>
      <c r="M102" s="56">
        <v>46266</v>
      </c>
      <c r="N102" s="61">
        <v>1</v>
      </c>
      <c r="O102" s="61"/>
      <c r="P102" s="61"/>
      <c r="Q102" s="61"/>
      <c r="R102" s="61">
        <f>SUBTOTAL(9,Table25[[#This Row],[1st]:[FQC]])</f>
        <v>1</v>
      </c>
      <c r="S102" s="61">
        <f>IFERROR(VLOOKUP(Table25[[#This Row],[Part No.]],'[2]New Machine sheet'!$G$2:$I$90,3,0),0)</f>
        <v>262.81200000000001</v>
      </c>
      <c r="T102" s="61">
        <f>Table25[[#This Row],[cost per piece]]*Table25[[#This Row],[Total Rej. qty]]</f>
        <v>262.81200000000001</v>
      </c>
      <c r="U102" s="61">
        <f>IFERROR(VLOOKUP(Table25[[#This Row],[Non Conformance]],'[2]New defect code '!$B$2:$C$129,2,0),0)</f>
        <v>0</v>
      </c>
      <c r="V102" s="61">
        <v>45</v>
      </c>
      <c r="W102" s="61" t="str">
        <f>IFERROR(VLOOKUP(Table25[[#This Row],[Code4]],'[2]New Reason code'!$A$2:$D$77,2,0),0)</f>
        <v>Running m/c</v>
      </c>
      <c r="X102" s="61">
        <f ca="1">#REF!+Table25[[#This Row],[Rejection Identified at]]</f>
        <v>0</v>
      </c>
      <c r="Y102" s="63">
        <f>IFERROR(VLOOKUP(Table25[[#This Row],[Reason]],Coding!A99:C156,3,0),0)</f>
        <v>0</v>
      </c>
    </row>
    <row r="103" spans="1:25" ht="20.25" customHeight="1">
      <c r="A103" s="50">
        <v>99</v>
      </c>
      <c r="B103" s="61">
        <v>47</v>
      </c>
      <c r="C103" s="61" t="str">
        <f>IFERROR(VLOOKUP(Table25[[#This Row],[Code]],'[2]New Machine sheet'!$A$1:$D$101,2,0),0)</f>
        <v>MURATEC-03</v>
      </c>
      <c r="D103" s="61" t="str">
        <f>IFERROR(VLOOKUP(Table25[[#This Row],[M/c No]],'[2]New Machine sheet'!$B$1:$D$101,2,0),0)</f>
        <v>MURATEC</v>
      </c>
      <c r="E103" s="61" t="str">
        <f>IFERROR(VLOOKUP(Table25[[#This Row],[M/c Name]],'[2]New Machine sheet'!$C$1:$D$101,2,0),0)</f>
        <v xml:space="preserve">turning </v>
      </c>
      <c r="F103" s="61">
        <v>127</v>
      </c>
      <c r="G103" s="61">
        <f>IFERROR(VLOOKUP(Table25[[#This Row],[Code2]],'[2]New Machine sheet'!$F$2:$I$64,2,),0)</f>
        <v>24127</v>
      </c>
      <c r="H103" s="61" t="str">
        <f>IFERROR(VLOOKUP(Table25[[#This Row],[Code2]],'[2]New Machine sheet'!$F$2:$I$64,3,0),0)</f>
        <v>RE J1</v>
      </c>
      <c r="I103" s="61" t="s">
        <v>130</v>
      </c>
      <c r="J103" s="61">
        <v>61</v>
      </c>
      <c r="K103" s="61" t="str">
        <f>IFERROR(VLOOKUP(Table25[[#This Row],[Code3]],'[2]New defect code '!$A$2:$D$129,2,0),0)</f>
        <v>Od o/s</v>
      </c>
      <c r="L103" s="61" t="s">
        <v>189</v>
      </c>
      <c r="M103" s="56">
        <v>46266</v>
      </c>
      <c r="N103" s="61">
        <v>1</v>
      </c>
      <c r="O103" s="61"/>
      <c r="P103" s="61"/>
      <c r="Q103" s="61"/>
      <c r="R103" s="61">
        <f>SUBTOTAL(9,Table25[[#This Row],[1st]:[FQC]])</f>
        <v>1</v>
      </c>
      <c r="S103" s="61">
        <f>IFERROR(VLOOKUP(Table25[[#This Row],[Part No.]],'[2]New Machine sheet'!$G$2:$I$90,3,0),0)</f>
        <v>262.81200000000001</v>
      </c>
      <c r="T103" s="61">
        <f>Table25[[#This Row],[cost per piece]]*Table25[[#This Row],[Total Rej. qty]]</f>
        <v>262.81200000000001</v>
      </c>
      <c r="U103" s="61">
        <f>IFERROR(VLOOKUP(Table25[[#This Row],[Non Conformance]],'[2]New defect code '!$B$2:$C$129,2,0),0)</f>
        <v>0</v>
      </c>
      <c r="V103" s="61">
        <v>45</v>
      </c>
      <c r="W103" s="61" t="str">
        <f>IFERROR(VLOOKUP(Table25[[#This Row],[Code4]],'[2]New Reason code'!$A$2:$D$77,2,0),0)</f>
        <v>Running m/c</v>
      </c>
      <c r="X103" s="61">
        <f ca="1">#REF!+Table25[[#This Row],[Rejection Identified at]]</f>
        <v>0</v>
      </c>
      <c r="Y103" s="63">
        <f>IFERROR(VLOOKUP(Table25[[#This Row],[Reason]],Coding!A100:C157,3,0),0)</f>
        <v>0</v>
      </c>
    </row>
    <row r="104" spans="1:25" ht="20.25" customHeight="1">
      <c r="A104" s="60">
        <v>100</v>
      </c>
      <c r="B104" s="61"/>
      <c r="C104" s="61" t="s">
        <v>150</v>
      </c>
      <c r="D104" s="61" t="s">
        <v>117</v>
      </c>
      <c r="E104" s="61" t="str">
        <f>IFERROR(VLOOKUP(Table25[[#This Row],[M/c Name]],'[2]New Machine sheet'!$C$1:$D$101,2,0),0)</f>
        <v>Turning</v>
      </c>
      <c r="F104" s="61">
        <v>122</v>
      </c>
      <c r="G104" s="61">
        <f>IFERROR(VLOOKUP(Table25[[#This Row],[Code2]],'[2]New Machine sheet'!$F$2:$I$64,2,),0)</f>
        <v>24122</v>
      </c>
      <c r="H104" s="61" t="str">
        <f>IFERROR(VLOOKUP(Table25[[#This Row],[Code2]],'[2]New Machine sheet'!$F$2:$I$64,3,0),0)</f>
        <v>RE J1</v>
      </c>
      <c r="I104" s="61" t="s">
        <v>136</v>
      </c>
      <c r="J104" s="61">
        <v>61</v>
      </c>
      <c r="K104" s="61" t="str">
        <f>IFERROR(VLOOKUP(Table25[[#This Row],[Code3]],'[2]New defect code '!$A$2:$D$129,2,0),0)</f>
        <v>Od o/s</v>
      </c>
      <c r="L104" s="61" t="s">
        <v>189</v>
      </c>
      <c r="M104" s="56">
        <v>46266</v>
      </c>
      <c r="N104" s="61"/>
      <c r="O104" s="61">
        <v>2</v>
      </c>
      <c r="P104" s="61"/>
      <c r="Q104" s="61"/>
      <c r="R104" s="61">
        <f>SUBTOTAL(9,Table25[[#This Row],[1st]:[FQC]])</f>
        <v>2</v>
      </c>
      <c r="S104" s="61">
        <f>IFERROR(VLOOKUP(Table25[[#This Row],[Part No.]],'[2]New Machine sheet'!$G$2:$I$90,3,0),0)</f>
        <v>335.39977528089889</v>
      </c>
      <c r="T104" s="61">
        <f>Table25[[#This Row],[cost per piece]]*Table25[[#This Row],[Total Rej. qty]]</f>
        <v>670.79955056179779</v>
      </c>
      <c r="U104" s="61">
        <f>IFERROR(VLOOKUP(Table25[[#This Row],[Non Conformance]],'[2]New defect code '!$B$2:$C$129,2,0),0)</f>
        <v>0</v>
      </c>
      <c r="V104" s="61">
        <v>45</v>
      </c>
      <c r="W104" s="61" t="str">
        <f>IFERROR(VLOOKUP(Table25[[#This Row],[Code4]],'[2]New Reason code'!$A$2:$D$77,2,0),0)</f>
        <v>Running m/c</v>
      </c>
      <c r="X104" s="61">
        <f ca="1">#REF!+Table25[[#This Row],[Rejection Identified at]]</f>
        <v>0</v>
      </c>
      <c r="Y104" s="63">
        <f>IFERROR(VLOOKUP(Table25[[#This Row],[Reason]],Coding!A101:C158,3,0),0)</f>
        <v>0</v>
      </c>
    </row>
    <row r="105" spans="1:25" ht="20.25" customHeight="1">
      <c r="A105" s="50">
        <v>101</v>
      </c>
      <c r="B105" s="61">
        <v>20</v>
      </c>
      <c r="C105" s="61" t="str">
        <f>IFERROR(VLOOKUP(Table25[[#This Row],[Code]],'[2]New Machine sheet'!$A$1:$D$101,2,0),0)</f>
        <v>282-20</v>
      </c>
      <c r="D105" s="61" t="str">
        <f>IFERROR(VLOOKUP(Table25[[#This Row],[M/c No]],'[2]New Machine sheet'!$B$1:$D$101,2,0),0)</f>
        <v>Mazak</v>
      </c>
      <c r="E105" s="61" t="str">
        <f>IFERROR(VLOOKUP(Table25[[#This Row],[M/c Name]],'[2]New Machine sheet'!$C$1:$D$101,2,0),0)</f>
        <v>Turning</v>
      </c>
      <c r="F105" s="61">
        <v>115</v>
      </c>
      <c r="G105" s="61">
        <f>IFERROR(VLOOKUP(Table25[[#This Row],[Code2]],'[2]New Machine sheet'!$F$2:$I$64,2,),0)</f>
        <v>24115</v>
      </c>
      <c r="H105" s="61" t="str">
        <f>IFERROR(VLOOKUP(Table25[[#This Row],[Code2]],'[2]New Machine sheet'!$F$2:$I$64,3,0),0)</f>
        <v>RE J1</v>
      </c>
      <c r="I105" s="61" t="s">
        <v>113</v>
      </c>
      <c r="J105" s="61">
        <v>10</v>
      </c>
      <c r="K105" s="61" t="str">
        <f>IFERROR(VLOOKUP(Table25[[#This Row],[Code3]],'[2]New defect code '!$A$2:$D$129,2,0),0)</f>
        <v xml:space="preserve">Bore u/s </v>
      </c>
      <c r="L105" s="61" t="s">
        <v>189</v>
      </c>
      <c r="M105" s="56">
        <v>46266</v>
      </c>
      <c r="N105" s="61"/>
      <c r="O105" s="61">
        <v>2</v>
      </c>
      <c r="P105" s="61"/>
      <c r="Q105" s="61"/>
      <c r="R105" s="61">
        <f>SUBTOTAL(9,Table25[[#This Row],[1st]:[FQC]])</f>
        <v>2</v>
      </c>
      <c r="S105" s="61">
        <f>IFERROR(VLOOKUP(Table25[[#This Row],[Part No.]],'[2]New Machine sheet'!$G$2:$I$90,3,0),0)</f>
        <v>66.900000000000006</v>
      </c>
      <c r="T105" s="61">
        <f>Table25[[#This Row],[cost per piece]]*Table25[[#This Row],[Total Rej. qty]]</f>
        <v>133.80000000000001</v>
      </c>
      <c r="U105" s="61">
        <f>IFERROR(VLOOKUP(Table25[[#This Row],[Non Conformance]],'[2]New defect code '!$B$2:$C$129,2,0),0)</f>
        <v>0</v>
      </c>
      <c r="V105" s="61">
        <v>45</v>
      </c>
      <c r="W105" s="61" t="str">
        <f>IFERROR(VLOOKUP(Table25[[#This Row],[Code4]],'[2]New Reason code'!$A$2:$D$77,2,0),0)</f>
        <v>Running m/c</v>
      </c>
      <c r="X105" s="61">
        <f ca="1">#REF!+Table25[[#This Row],[Rejection Identified at]]</f>
        <v>0</v>
      </c>
      <c r="Y105" s="63">
        <f>IFERROR(VLOOKUP(Table25[[#This Row],[Reason]],Coding!A102:C159,3,0),0)</f>
        <v>0</v>
      </c>
    </row>
    <row r="106" spans="1:25" ht="20.25" customHeight="1">
      <c r="A106" s="60">
        <v>102</v>
      </c>
      <c r="B106" s="61">
        <v>21</v>
      </c>
      <c r="C106" s="61" t="str">
        <f>IFERROR(VLOOKUP(Table25[[#This Row],[Code]],'[2]New Machine sheet'!$A$1:$D$101,2,0),0)</f>
        <v>ACE-01</v>
      </c>
      <c r="D106" s="61" t="str">
        <f>IFERROR(VLOOKUP(Table25[[#This Row],[M/c No]],'[2]New Machine sheet'!$B$1:$D$101,2,0),0)</f>
        <v>Micromatic</v>
      </c>
      <c r="E106" s="61" t="str">
        <f>IFERROR(VLOOKUP(Table25[[#This Row],[M/c Name]],'[2]New Machine sheet'!$C$1:$D$101,2,0),0)</f>
        <v>Turning</v>
      </c>
      <c r="F106" s="61">
        <v>121</v>
      </c>
      <c r="G106" s="61">
        <f>IFERROR(VLOOKUP(Table25[[#This Row],[Code2]],'[2]New Machine sheet'!$F$2:$I$64,2,),0)</f>
        <v>24121</v>
      </c>
      <c r="H106" s="61" t="str">
        <f>IFERROR(VLOOKUP(Table25[[#This Row],[Code2]],'[2]New Machine sheet'!$F$2:$I$64,3,0),0)</f>
        <v>RE J1</v>
      </c>
      <c r="I106" s="61" t="s">
        <v>159</v>
      </c>
      <c r="J106" s="61">
        <v>10</v>
      </c>
      <c r="K106" s="61" t="str">
        <f>IFERROR(VLOOKUP(Table25[[#This Row],[Code3]],'[2]New defect code '!$A$2:$D$129,2,0),0)</f>
        <v xml:space="preserve">Bore u/s </v>
      </c>
      <c r="L106" s="61" t="s">
        <v>189</v>
      </c>
      <c r="M106" s="56">
        <v>46266</v>
      </c>
      <c r="N106" s="61"/>
      <c r="O106" s="61">
        <v>1</v>
      </c>
      <c r="P106" s="61"/>
      <c r="Q106" s="61"/>
      <c r="R106" s="61">
        <f>SUBTOTAL(9,Table25[[#This Row],[1st]:[FQC]])</f>
        <v>1</v>
      </c>
      <c r="S106" s="61">
        <f>IFERROR(VLOOKUP(Table25[[#This Row],[Part No.]],'[2]New Machine sheet'!$G$2:$I$90,3,0),0)</f>
        <v>135.66999999999999</v>
      </c>
      <c r="T106" s="61">
        <f>Table25[[#This Row],[cost per piece]]*Table25[[#This Row],[Total Rej. qty]]</f>
        <v>135.66999999999999</v>
      </c>
      <c r="U106" s="61">
        <f>IFERROR(VLOOKUP(Table25[[#This Row],[Non Conformance]],'[2]New defect code '!$B$2:$C$129,2,0),0)</f>
        <v>0</v>
      </c>
      <c r="V106" s="61">
        <v>45</v>
      </c>
      <c r="W106" s="61" t="str">
        <f>IFERROR(VLOOKUP(Table25[[#This Row],[Code4]],'[2]New Reason code'!$A$2:$D$77,2,0),0)</f>
        <v>Running m/c</v>
      </c>
      <c r="X106" s="61">
        <f ca="1">#REF!+Table25[[#This Row],[Rejection Identified at]]</f>
        <v>0</v>
      </c>
      <c r="Y106" s="63">
        <f>IFERROR(VLOOKUP(Table25[[#This Row],[Reason]],Coding!A103:C160,3,0),0)</f>
        <v>0</v>
      </c>
    </row>
    <row r="107" spans="1:25" ht="20.25" customHeight="1">
      <c r="A107" s="50">
        <v>103</v>
      </c>
      <c r="B107" s="61">
        <v>22</v>
      </c>
      <c r="C107" s="61" t="str">
        <f>IFERROR(VLOOKUP(Table25[[#This Row],[Code]],'[2]New Machine sheet'!$A$1:$D$101,2,0),0)</f>
        <v>ACE-02</v>
      </c>
      <c r="D107" s="61" t="str">
        <f>IFERROR(VLOOKUP(Table25[[#This Row],[M/c No]],'[2]New Machine sheet'!$B$1:$D$101,2,0),0)</f>
        <v>Micromatic</v>
      </c>
      <c r="E107" s="61" t="str">
        <f>IFERROR(VLOOKUP(Table25[[#This Row],[M/c Name]],'[2]New Machine sheet'!$C$1:$D$101,2,0),0)</f>
        <v>Turning</v>
      </c>
      <c r="F107" s="61">
        <v>115</v>
      </c>
      <c r="G107" s="61">
        <f>IFERROR(VLOOKUP(Table25[[#This Row],[Code2]],'[2]New Machine sheet'!$F$2:$I$64,2,),0)</f>
        <v>24115</v>
      </c>
      <c r="H107" s="61" t="str">
        <f>IFERROR(VLOOKUP(Table25[[#This Row],[Code2]],'[2]New Machine sheet'!$F$2:$I$64,3,0),0)</f>
        <v>RE J1</v>
      </c>
      <c r="I107" s="61" t="s">
        <v>113</v>
      </c>
      <c r="J107" s="61">
        <v>41</v>
      </c>
      <c r="K107" s="61" t="str">
        <f>IFERROR(VLOOKUP(Table25[[#This Row],[Code3]],'[2]New defect code '!$A$2:$D$129,2,0),0)</f>
        <v>Face Less metal</v>
      </c>
      <c r="L107" s="61" t="s">
        <v>189</v>
      </c>
      <c r="M107" s="56">
        <v>46266</v>
      </c>
      <c r="N107" s="61"/>
      <c r="O107" s="61">
        <v>1</v>
      </c>
      <c r="P107" s="61"/>
      <c r="Q107" s="61"/>
      <c r="R107" s="61">
        <f>SUBTOTAL(9,Table25[[#This Row],[1st]:[FQC]])</f>
        <v>1</v>
      </c>
      <c r="S107" s="61">
        <f>IFERROR(VLOOKUP(Table25[[#This Row],[Part No.]],'[2]New Machine sheet'!$G$2:$I$90,3,0),0)</f>
        <v>66.900000000000006</v>
      </c>
      <c r="T107" s="61">
        <f>Table25[[#This Row],[cost per piece]]*Table25[[#This Row],[Total Rej. qty]]</f>
        <v>66.900000000000006</v>
      </c>
      <c r="U107" s="61">
        <f>IFERROR(VLOOKUP(Table25[[#This Row],[Non Conformance]],'[2]New defect code '!$B$2:$C$129,2,0),0)</f>
        <v>3259</v>
      </c>
      <c r="V107" s="61">
        <v>45</v>
      </c>
      <c r="W107" s="61" t="str">
        <f>IFERROR(VLOOKUP(Table25[[#This Row],[Code4]],'[2]New Reason code'!$A$2:$D$77,2,0),0)</f>
        <v>Running m/c</v>
      </c>
      <c r="X107" s="61">
        <f ca="1">#REF!+Table25[[#This Row],[Rejection Identified at]]</f>
        <v>0</v>
      </c>
      <c r="Y107" s="63">
        <f>IFERROR(VLOOKUP(Table25[[#This Row],[Reason]],Coding!A104:C161,3,0),0)</f>
        <v>0</v>
      </c>
    </row>
    <row r="108" spans="1:25" ht="20.25" customHeight="1">
      <c r="A108" s="60">
        <v>104</v>
      </c>
      <c r="B108" s="61">
        <v>44</v>
      </c>
      <c r="C108" s="61" t="str">
        <f>IFERROR(VLOOKUP(Table25[[#This Row],[Code]],'[2]New Machine sheet'!$A$1:$D$101,2,0),0)</f>
        <v>LT20-NEW</v>
      </c>
      <c r="D108" s="61" t="str">
        <f>IFERROR(VLOOKUP(Table25[[#This Row],[M/c No]],'[2]New Machine sheet'!$B$1:$D$101,2,0),0)</f>
        <v>ACE</v>
      </c>
      <c r="E108" s="61" t="str">
        <f>IFERROR(VLOOKUP(Table25[[#This Row],[M/c Name]],'[2]New Machine sheet'!$C$1:$D$101,2,0),0)</f>
        <v xml:space="preserve">turning </v>
      </c>
      <c r="F108" s="61">
        <v>122</v>
      </c>
      <c r="G108" s="61">
        <f>IFERROR(VLOOKUP(Table25[[#This Row],[Code2]],'[2]New Machine sheet'!$F$2:$I$64,2,),0)</f>
        <v>24122</v>
      </c>
      <c r="H108" s="61" t="str">
        <f>IFERROR(VLOOKUP(Table25[[#This Row],[Code2]],'[2]New Machine sheet'!$F$2:$I$64,3,0),0)</f>
        <v>RE J1</v>
      </c>
      <c r="I108" s="61" t="s">
        <v>168</v>
      </c>
      <c r="J108" s="61">
        <v>71</v>
      </c>
      <c r="K108" s="61" t="str">
        <f>IFERROR(VLOOKUP(Table25[[#This Row],[Code3]],'[2]New defect code '!$A$2:$D$129,2,0),0)</f>
        <v>PG go not qualify</v>
      </c>
      <c r="L108" s="61" t="s">
        <v>189</v>
      </c>
      <c r="M108" s="56">
        <v>46266</v>
      </c>
      <c r="N108" s="61"/>
      <c r="O108" s="61">
        <v>1</v>
      </c>
      <c r="P108" s="61"/>
      <c r="Q108" s="61"/>
      <c r="R108" s="61">
        <f>SUBTOTAL(9,Table25[[#This Row],[1st]:[FQC]])</f>
        <v>1</v>
      </c>
      <c r="S108" s="61">
        <f>IFERROR(VLOOKUP(Table25[[#This Row],[Part No.]],'[2]New Machine sheet'!$G$2:$I$90,3,0),0)</f>
        <v>335.39977528089889</v>
      </c>
      <c r="T108" s="61">
        <f>Table25[[#This Row],[cost per piece]]*Table25[[#This Row],[Total Rej. qty]]</f>
        <v>335.39977528089889</v>
      </c>
      <c r="U108" s="61">
        <f>IFERROR(VLOOKUP(Table25[[#This Row],[Non Conformance]],'[2]New defect code '!$B$2:$C$129,2,0),0)</f>
        <v>0</v>
      </c>
      <c r="V108" s="61">
        <v>45</v>
      </c>
      <c r="W108" s="61" t="str">
        <f>IFERROR(VLOOKUP(Table25[[#This Row],[Code4]],'[2]New Reason code'!$A$2:$D$77,2,0),0)</f>
        <v>Running m/c</v>
      </c>
      <c r="X108" s="61">
        <f ca="1">#REF!+Table25[[#This Row],[Rejection Identified at]]</f>
        <v>0</v>
      </c>
      <c r="Y108" s="63">
        <f>IFERROR(VLOOKUP(Table25[[#This Row],[Reason]],Coding!A105:C162,3,0),0)</f>
        <v>0</v>
      </c>
    </row>
    <row r="109" spans="1:25" ht="20.25" customHeight="1">
      <c r="A109" s="50">
        <v>105</v>
      </c>
      <c r="B109" s="61">
        <v>2</v>
      </c>
      <c r="C109" s="61" t="str">
        <f>IFERROR(VLOOKUP(Table25[[#This Row],[Code]],'[2]New Machine sheet'!$A$1:$D$101,2,0),0)</f>
        <v>282-02</v>
      </c>
      <c r="D109" s="61" t="str">
        <f>IFERROR(VLOOKUP(Table25[[#This Row],[M/c No]],'[2]New Machine sheet'!$B$1:$D$101,2,0),0)</f>
        <v>Mazak</v>
      </c>
      <c r="E109" s="61" t="str">
        <f>IFERROR(VLOOKUP(Table25[[#This Row],[M/c Name]],'[2]New Machine sheet'!$C$1:$D$101,2,0),0)</f>
        <v>Turning</v>
      </c>
      <c r="F109" s="61">
        <v>113</v>
      </c>
      <c r="G109" s="61">
        <f>IFERROR(VLOOKUP(Table25[[#This Row],[Code2]],'[2]New Machine sheet'!$F$2:$I$64,2,),0)</f>
        <v>24113</v>
      </c>
      <c r="H109" s="61" t="str">
        <f>IFERROR(VLOOKUP(Table25[[#This Row],[Code2]],'[2]New Machine sheet'!$F$2:$I$64,3,0),0)</f>
        <v>RE J1</v>
      </c>
      <c r="I109" s="61" t="s">
        <v>192</v>
      </c>
      <c r="J109" s="61">
        <v>10</v>
      </c>
      <c r="K109" s="61" t="str">
        <f>IFERROR(VLOOKUP(Table25[[#This Row],[Code3]],'[2]New defect code '!$A$2:$D$129,2,0),0)</f>
        <v xml:space="preserve">Bore u/s </v>
      </c>
      <c r="L109" s="61" t="s">
        <v>189</v>
      </c>
      <c r="M109" s="56">
        <v>46266</v>
      </c>
      <c r="N109" s="61"/>
      <c r="O109" s="61">
        <v>2</v>
      </c>
      <c r="P109" s="61"/>
      <c r="Q109" s="61"/>
      <c r="R109" s="61">
        <f>SUBTOTAL(9,Table25[[#This Row],[1st]:[FQC]])</f>
        <v>2</v>
      </c>
      <c r="S109" s="61">
        <f>IFERROR(VLOOKUP(Table25[[#This Row],[Part No.]],'[2]New Machine sheet'!$G$2:$I$90,3,0),0)</f>
        <v>90</v>
      </c>
      <c r="T109" s="61">
        <f>Table25[[#This Row],[cost per piece]]*Table25[[#This Row],[Total Rej. qty]]</f>
        <v>180</v>
      </c>
      <c r="U109" s="61">
        <f>IFERROR(VLOOKUP(Table25[[#This Row],[Non Conformance]],'[2]New defect code '!$B$2:$C$129,2,0),0)</f>
        <v>0</v>
      </c>
      <c r="V109" s="61">
        <v>18</v>
      </c>
      <c r="W109" s="61" t="str">
        <f>IFERROR(VLOOKUP(Table25[[#This Row],[Code4]],'[2]New Reason code'!$A$2:$D$77,2,0),0)</f>
        <v>During insert change</v>
      </c>
      <c r="X109" s="61">
        <f ca="1">#REF!+Table25[[#This Row],[Rejection Identified at]]</f>
        <v>0</v>
      </c>
      <c r="Y109" s="63">
        <f>IFERROR(VLOOKUP(Table25[[#This Row],[Reason]],Coding!A106:C163,3,0),0)</f>
        <v>0</v>
      </c>
    </row>
    <row r="110" spans="1:25" ht="20.25" customHeight="1">
      <c r="A110" s="60">
        <v>106</v>
      </c>
      <c r="B110" s="61"/>
      <c r="C110" s="61" t="s">
        <v>118</v>
      </c>
      <c r="D110" s="61" t="s">
        <v>117</v>
      </c>
      <c r="E110" s="61" t="str">
        <f>IFERROR(VLOOKUP(Table25[[#This Row],[M/c Name]],'[2]New Machine sheet'!$C$1:$D$101,2,0),0)</f>
        <v>Turning</v>
      </c>
      <c r="F110" s="61">
        <v>127</v>
      </c>
      <c r="G110" s="61">
        <f>IFERROR(VLOOKUP(Table25[[#This Row],[Code2]],'[2]New Machine sheet'!$F$2:$I$64,2,),0)</f>
        <v>24127</v>
      </c>
      <c r="H110" s="61" t="str">
        <f>IFERROR(VLOOKUP(Table25[[#This Row],[Code2]],'[2]New Machine sheet'!$F$2:$I$64,3,0),0)</f>
        <v>RE J1</v>
      </c>
      <c r="I110" s="61" t="s">
        <v>139</v>
      </c>
      <c r="J110" s="61">
        <v>41</v>
      </c>
      <c r="K110" s="61" t="str">
        <f>IFERROR(VLOOKUP(Table25[[#This Row],[Code3]],'[2]New defect code '!$A$2:$D$129,2,0),0)</f>
        <v>Face Less metal</v>
      </c>
      <c r="L110" s="61" t="s">
        <v>189</v>
      </c>
      <c r="M110" s="56">
        <v>46266</v>
      </c>
      <c r="N110" s="61"/>
      <c r="O110" s="61"/>
      <c r="P110" s="61">
        <v>1</v>
      </c>
      <c r="Q110" s="61"/>
      <c r="R110" s="61">
        <f>SUBTOTAL(9,Table25[[#This Row],[1st]:[FQC]])</f>
        <v>1</v>
      </c>
      <c r="S110" s="61">
        <f>IFERROR(VLOOKUP(Table25[[#This Row],[Part No.]],'[2]New Machine sheet'!$G$2:$I$90,3,0),0)</f>
        <v>262.81200000000001</v>
      </c>
      <c r="T110" s="61">
        <f>Table25[[#This Row],[cost per piece]]*Table25[[#This Row],[Total Rej. qty]]</f>
        <v>262.81200000000001</v>
      </c>
      <c r="U110" s="61">
        <f>IFERROR(VLOOKUP(Table25[[#This Row],[Non Conformance]],'[2]New defect code '!$B$2:$C$129,2,0),0)</f>
        <v>3259</v>
      </c>
      <c r="V110" s="61">
        <v>18</v>
      </c>
      <c r="W110" s="61" t="str">
        <f>IFERROR(VLOOKUP(Table25[[#This Row],[Code4]],'[2]New Reason code'!$A$2:$D$77,2,0),0)</f>
        <v>During insert change</v>
      </c>
      <c r="X110" s="61">
        <f ca="1">#REF!+Table25[[#This Row],[Rejection Identified at]]</f>
        <v>0</v>
      </c>
      <c r="Y110" s="63">
        <f>IFERROR(VLOOKUP(Table25[[#This Row],[Reason]],Coding!A107:C164,3,0),0)</f>
        <v>0</v>
      </c>
    </row>
    <row r="111" spans="1:25" ht="20.25" customHeight="1">
      <c r="A111" s="50">
        <v>107</v>
      </c>
      <c r="B111" s="61">
        <v>37</v>
      </c>
      <c r="C111" s="61" t="str">
        <f>IFERROR(VLOOKUP(Table25[[#This Row],[Code]],'[2]New Machine sheet'!$A$1:$D$101,2,0),0)</f>
        <v>ACE-17</v>
      </c>
      <c r="D111" s="61" t="str">
        <f>IFERROR(VLOOKUP(Table25[[#This Row],[M/c No]],'[2]New Machine sheet'!$B$1:$D$101,2,0),0)</f>
        <v>Micromatic</v>
      </c>
      <c r="E111" s="61" t="str">
        <f>IFERROR(VLOOKUP(Table25[[#This Row],[M/c Name]],'[2]New Machine sheet'!$C$1:$D$101,2,0),0)</f>
        <v>Turning</v>
      </c>
      <c r="F111" s="61">
        <v>127</v>
      </c>
      <c r="G111" s="61">
        <f>IFERROR(VLOOKUP(Table25[[#This Row],[Code2]],'[2]New Machine sheet'!$F$2:$I$64,2,),0)</f>
        <v>24127</v>
      </c>
      <c r="H111" s="61" t="str">
        <f>IFERROR(VLOOKUP(Table25[[#This Row],[Code2]],'[2]New Machine sheet'!$F$2:$I$64,3,0),0)</f>
        <v>RE J1</v>
      </c>
      <c r="I111" s="61" t="s">
        <v>193</v>
      </c>
      <c r="J111" s="61">
        <v>41</v>
      </c>
      <c r="K111" s="61" t="str">
        <f>IFERROR(VLOOKUP(Table25[[#This Row],[Code3]],'[2]New defect code '!$A$2:$D$129,2,0),0)</f>
        <v>Face Less metal</v>
      </c>
      <c r="L111" s="61" t="s">
        <v>189</v>
      </c>
      <c r="M111" s="56">
        <v>46266</v>
      </c>
      <c r="N111" s="61"/>
      <c r="O111" s="61"/>
      <c r="P111" s="61">
        <v>3</v>
      </c>
      <c r="Q111" s="61"/>
      <c r="R111" s="61">
        <f>SUBTOTAL(9,Table25[[#This Row],[1st]:[FQC]])</f>
        <v>3</v>
      </c>
      <c r="S111" s="61">
        <f>IFERROR(VLOOKUP(Table25[[#This Row],[Part No.]],'[2]New Machine sheet'!$G$2:$I$90,3,0),0)</f>
        <v>262.81200000000001</v>
      </c>
      <c r="T111" s="61">
        <f>Table25[[#This Row],[cost per piece]]*Table25[[#This Row],[Total Rej. qty]]</f>
        <v>788.43600000000004</v>
      </c>
      <c r="U111" s="61">
        <f>IFERROR(VLOOKUP(Table25[[#This Row],[Non Conformance]],'[2]New defect code '!$B$2:$C$129,2,0),0)</f>
        <v>3259</v>
      </c>
      <c r="V111" s="61">
        <v>45</v>
      </c>
      <c r="W111" s="61" t="str">
        <f>IFERROR(VLOOKUP(Table25[[#This Row],[Code4]],'[2]New Reason code'!$A$2:$D$77,2,0),0)</f>
        <v>Running m/c</v>
      </c>
      <c r="X111" s="61">
        <f ca="1">#REF!+Table25[[#This Row],[Rejection Identified at]]</f>
        <v>0</v>
      </c>
      <c r="Y111" s="63">
        <f>IFERROR(VLOOKUP(Table25[[#This Row],[Reason]],Coding!A108:C165,3,0),0)</f>
        <v>0</v>
      </c>
    </row>
    <row r="112" spans="1:25" ht="20.25" customHeight="1">
      <c r="A112" s="60">
        <v>108</v>
      </c>
      <c r="B112" s="61">
        <v>3</v>
      </c>
      <c r="C112" s="61" t="str">
        <f>IFERROR(VLOOKUP(Table25[[#This Row],[Code]],'[2]New Machine sheet'!$A$1:$D$101,2,0),0)</f>
        <v>282-03</v>
      </c>
      <c r="D112" s="61" t="str">
        <f>IFERROR(VLOOKUP(Table25[[#This Row],[M/c No]],'[2]New Machine sheet'!$B$1:$D$101,2,0),0)</f>
        <v>Mazak</v>
      </c>
      <c r="E112" s="61" t="str">
        <f>IFERROR(VLOOKUP(Table25[[#This Row],[M/c Name]],'[2]New Machine sheet'!$C$1:$D$101,2,0),0)</f>
        <v>Turning</v>
      </c>
      <c r="F112" s="61">
        <v>178</v>
      </c>
      <c r="G112" s="61">
        <f>IFERROR(VLOOKUP(Table25[[#This Row],[Code2]],'[2]New Machine sheet'!$F$2:$I$64,2,),0)</f>
        <v>24178</v>
      </c>
      <c r="H112" s="61" t="str">
        <f>IFERROR(VLOOKUP(Table25[[#This Row],[Code2]],'[2]New Machine sheet'!$F$2:$I$64,3,0),0)</f>
        <v>RE J1</v>
      </c>
      <c r="I112" s="61" t="s">
        <v>143</v>
      </c>
      <c r="J112" s="61">
        <v>71</v>
      </c>
      <c r="K112" s="61" t="str">
        <f>IFERROR(VLOOKUP(Table25[[#This Row],[Code3]],'[2]New defect code '!$A$2:$D$129,2,0),0)</f>
        <v>PG go not qualify</v>
      </c>
      <c r="L112" s="61" t="s">
        <v>189</v>
      </c>
      <c r="M112" s="56">
        <v>46266</v>
      </c>
      <c r="N112" s="61"/>
      <c r="O112" s="61"/>
      <c r="P112" s="61">
        <v>5</v>
      </c>
      <c r="Q112" s="61"/>
      <c r="R112" s="61">
        <f>SUBTOTAL(9,Table25[[#This Row],[1st]:[FQC]])</f>
        <v>5</v>
      </c>
      <c r="S112" s="61">
        <f>IFERROR(VLOOKUP(Table25[[#This Row],[Part No.]],'[2]New Machine sheet'!$G$2:$I$90,3,0),0)</f>
        <v>70.62</v>
      </c>
      <c r="T112" s="61">
        <f>Table25[[#This Row],[cost per piece]]*Table25[[#This Row],[Total Rej. qty]]</f>
        <v>353.1</v>
      </c>
      <c r="U112" s="61">
        <f>IFERROR(VLOOKUP(Table25[[#This Row],[Non Conformance]],'[2]New defect code '!$B$2:$C$129,2,0),0)</f>
        <v>0</v>
      </c>
      <c r="V112" s="61">
        <v>45</v>
      </c>
      <c r="W112" s="61" t="str">
        <f>IFERROR(VLOOKUP(Table25[[#This Row],[Code4]],'[2]New Reason code'!$A$2:$D$77,2,0),0)</f>
        <v>Running m/c</v>
      </c>
      <c r="X112" s="61">
        <f ca="1">#REF!+Table25[[#This Row],[Rejection Identified at]]</f>
        <v>0</v>
      </c>
      <c r="Y112" s="63">
        <f>IFERROR(VLOOKUP(Table25[[#This Row],[Reason]],Coding!A109:C166,3,0),0)</f>
        <v>0</v>
      </c>
    </row>
    <row r="113" spans="1:25" ht="20.25" customHeight="1">
      <c r="A113" s="50">
        <v>109</v>
      </c>
      <c r="B113" s="61">
        <v>4</v>
      </c>
      <c r="C113" s="61" t="str">
        <f>IFERROR(VLOOKUP(Table25[[#This Row],[Code]],'[2]New Machine sheet'!$A$1:$D$101,2,0),0)</f>
        <v>282-04</v>
      </c>
      <c r="D113" s="61" t="str">
        <f>IFERROR(VLOOKUP(Table25[[#This Row],[M/c No]],'[2]New Machine sheet'!$B$1:$D$101,2,0),0)</f>
        <v>Mazak</v>
      </c>
      <c r="E113" s="61" t="str">
        <f>IFERROR(VLOOKUP(Table25[[#This Row],[M/c Name]],'[2]New Machine sheet'!$C$1:$D$101,2,0),0)</f>
        <v>Turning</v>
      </c>
      <c r="F113" s="61">
        <v>117</v>
      </c>
      <c r="G113" s="61">
        <f>IFERROR(VLOOKUP(Table25[[#This Row],[Code2]],'[2]New Machine sheet'!$F$2:$I$64,2,),0)</f>
        <v>24117</v>
      </c>
      <c r="H113" s="61" t="str">
        <f>IFERROR(VLOOKUP(Table25[[#This Row],[Code2]],'[2]New Machine sheet'!$F$2:$I$64,3,0),0)</f>
        <v>RE J1</v>
      </c>
      <c r="I113" s="61" t="s">
        <v>141</v>
      </c>
      <c r="J113" s="61">
        <v>10</v>
      </c>
      <c r="K113" s="61" t="str">
        <f>IFERROR(VLOOKUP(Table25[[#This Row],[Code3]],'[2]New defect code '!$A$2:$D$129,2,0),0)</f>
        <v xml:space="preserve">Bore u/s </v>
      </c>
      <c r="L113" s="61" t="s">
        <v>195</v>
      </c>
      <c r="M113" s="56">
        <v>46266</v>
      </c>
      <c r="N113" s="61">
        <v>2</v>
      </c>
      <c r="O113" s="61"/>
      <c r="P113" s="61"/>
      <c r="Q113" s="61"/>
      <c r="R113" s="61">
        <f>SUBTOTAL(9,Table25[[#This Row],[1st]:[FQC]])</f>
        <v>2</v>
      </c>
      <c r="S113" s="61">
        <f>IFERROR(VLOOKUP(Table25[[#This Row],[Part No.]],'[2]New Machine sheet'!$G$2:$I$90,3,0),0)</f>
        <v>111.97</v>
      </c>
      <c r="T113" s="61">
        <f>Table25[[#This Row],[cost per piece]]*Table25[[#This Row],[Total Rej. qty]]</f>
        <v>223.94</v>
      </c>
      <c r="U113" s="61">
        <f>IFERROR(VLOOKUP(Table25[[#This Row],[Non Conformance]],'[2]New defect code '!$B$2:$C$129,2,0),0)</f>
        <v>0</v>
      </c>
      <c r="V113" s="61">
        <v>18</v>
      </c>
      <c r="W113" s="61" t="str">
        <f>IFERROR(VLOOKUP(Table25[[#This Row],[Code4]],'[2]New Reason code'!$A$2:$D$77,2,0),0)</f>
        <v>During insert change</v>
      </c>
      <c r="X113" s="61">
        <f ca="1">#REF!+Table25[[#This Row],[Rejection Identified at]]</f>
        <v>0</v>
      </c>
      <c r="Y113" s="63">
        <f>IFERROR(VLOOKUP(Table25[[#This Row],[Reason]],Coding!A110:C167,3,0),0)</f>
        <v>0</v>
      </c>
    </row>
    <row r="114" spans="1:25" ht="20.25" customHeight="1">
      <c r="A114" s="60">
        <v>110</v>
      </c>
      <c r="B114" s="61">
        <v>4</v>
      </c>
      <c r="C114" s="61" t="str">
        <f>IFERROR(VLOOKUP(Table25[[#This Row],[Code]],'[2]New Machine sheet'!$A$1:$D$101,2,0),0)</f>
        <v>282-04</v>
      </c>
      <c r="D114" s="61" t="str">
        <f>IFERROR(VLOOKUP(Table25[[#This Row],[M/c No]],'[2]New Machine sheet'!$B$1:$D$101,2,0),0)</f>
        <v>Mazak</v>
      </c>
      <c r="E114" s="61" t="str">
        <f>IFERROR(VLOOKUP(Table25[[#This Row],[M/c Name]],'[2]New Machine sheet'!$C$1:$D$101,2,0),0)</f>
        <v>Turning</v>
      </c>
      <c r="F114" s="61">
        <v>117</v>
      </c>
      <c r="G114" s="61">
        <f>IFERROR(VLOOKUP(Table25[[#This Row],[Code2]],'[2]New Machine sheet'!$F$2:$I$64,2,),0)</f>
        <v>24117</v>
      </c>
      <c r="H114" s="61" t="str">
        <f>IFERROR(VLOOKUP(Table25[[#This Row],[Code2]],'[2]New Machine sheet'!$F$2:$I$64,3,0),0)</f>
        <v>RE J1</v>
      </c>
      <c r="I114" s="61" t="s">
        <v>141</v>
      </c>
      <c r="J114" s="61">
        <v>41</v>
      </c>
      <c r="K114" s="61" t="str">
        <f>IFERROR(VLOOKUP(Table25[[#This Row],[Code3]],'[2]New defect code '!$A$2:$D$129,2,0),0)</f>
        <v>Face Less metal</v>
      </c>
      <c r="L114" s="61" t="s">
        <v>195</v>
      </c>
      <c r="M114" s="56">
        <v>46266</v>
      </c>
      <c r="N114" s="61">
        <v>1</v>
      </c>
      <c r="O114" s="61"/>
      <c r="P114" s="61"/>
      <c r="Q114" s="61"/>
      <c r="R114" s="61">
        <f>SUBTOTAL(9,Table25[[#This Row],[1st]:[FQC]])</f>
        <v>1</v>
      </c>
      <c r="S114" s="61">
        <f>IFERROR(VLOOKUP(Table25[[#This Row],[Part No.]],'[2]New Machine sheet'!$G$2:$I$90,3,0),0)</f>
        <v>111.97</v>
      </c>
      <c r="T114" s="61">
        <f>Table25[[#This Row],[cost per piece]]*Table25[[#This Row],[Total Rej. qty]]</f>
        <v>111.97</v>
      </c>
      <c r="U114" s="61">
        <f>IFERROR(VLOOKUP(Table25[[#This Row],[Non Conformance]],'[2]New defect code '!$B$2:$C$129,2,0),0)</f>
        <v>3259</v>
      </c>
      <c r="V114" s="61">
        <v>45</v>
      </c>
      <c r="W114" s="61" t="str">
        <f>IFERROR(VLOOKUP(Table25[[#This Row],[Code4]],'[2]New Reason code'!$A$2:$D$77,2,0),0)</f>
        <v>Running m/c</v>
      </c>
      <c r="X114" s="61">
        <f ca="1">#REF!+Table25[[#This Row],[Rejection Identified at]]</f>
        <v>0</v>
      </c>
      <c r="Y114" s="63">
        <f>IFERROR(VLOOKUP(Table25[[#This Row],[Reason]],Coding!A111:C168,3,0),0)</f>
        <v>0</v>
      </c>
    </row>
    <row r="115" spans="1:25" ht="20.25" customHeight="1">
      <c r="A115" s="50">
        <v>111</v>
      </c>
      <c r="B115" s="61"/>
      <c r="C115" s="61" t="s">
        <v>118</v>
      </c>
      <c r="D115" s="61" t="s">
        <v>117</v>
      </c>
      <c r="E115" s="61" t="str">
        <f>IFERROR(VLOOKUP(Table25[[#This Row],[M/c Name]],'[2]New Machine sheet'!$C$1:$D$101,2,0),0)</f>
        <v>Turning</v>
      </c>
      <c r="F115" s="61">
        <v>127</v>
      </c>
      <c r="G115" s="61">
        <f>IFERROR(VLOOKUP(Table25[[#This Row],[Code2]],'[2]New Machine sheet'!$F$2:$I$64,2,),0)</f>
        <v>24127</v>
      </c>
      <c r="H115" s="61" t="str">
        <f>IFERROR(VLOOKUP(Table25[[#This Row],[Code2]],'[2]New Machine sheet'!$F$2:$I$64,3,0),0)</f>
        <v>RE J1</v>
      </c>
      <c r="I115" s="61" t="s">
        <v>159</v>
      </c>
      <c r="J115" s="61">
        <v>41</v>
      </c>
      <c r="K115" s="61" t="str">
        <f>IFERROR(VLOOKUP(Table25[[#This Row],[Code3]],'[2]New defect code '!$A$2:$D$129,2,0),0)</f>
        <v>Face Less metal</v>
      </c>
      <c r="L115" s="61" t="s">
        <v>195</v>
      </c>
      <c r="M115" s="56">
        <v>46266</v>
      </c>
      <c r="N115" s="61">
        <v>3</v>
      </c>
      <c r="O115" s="61"/>
      <c r="P115" s="61"/>
      <c r="Q115" s="61"/>
      <c r="R115" s="61">
        <f>SUBTOTAL(9,Table25[[#This Row],[1st]:[FQC]])</f>
        <v>3</v>
      </c>
      <c r="S115" s="61">
        <f>IFERROR(VLOOKUP(Table25[[#This Row],[Part No.]],'[2]New Machine sheet'!$G$2:$I$90,3,0),0)</f>
        <v>262.81200000000001</v>
      </c>
      <c r="T115" s="61">
        <f>Table25[[#This Row],[cost per piece]]*Table25[[#This Row],[Total Rej. qty]]</f>
        <v>788.43600000000004</v>
      </c>
      <c r="U115" s="61">
        <f>IFERROR(VLOOKUP(Table25[[#This Row],[Non Conformance]],'[2]New defect code '!$B$2:$C$129,2,0),0)</f>
        <v>3259</v>
      </c>
      <c r="V115" s="61">
        <v>45</v>
      </c>
      <c r="W115" s="61" t="str">
        <f>IFERROR(VLOOKUP(Table25[[#This Row],[Code4]],'[2]New Reason code'!$A$2:$D$77,2,0),0)</f>
        <v>Running m/c</v>
      </c>
      <c r="X115" s="61">
        <f ca="1">#REF!+Table25[[#This Row],[Rejection Identified at]]</f>
        <v>0</v>
      </c>
      <c r="Y115" s="63">
        <f>IFERROR(VLOOKUP(Table25[[#This Row],[Reason]],Coding!A112:C169,3,0),0)</f>
        <v>0</v>
      </c>
    </row>
    <row r="116" spans="1:25" ht="20.25" customHeight="1">
      <c r="A116" s="60">
        <v>112</v>
      </c>
      <c r="B116" s="61">
        <v>39</v>
      </c>
      <c r="C116" s="61" t="str">
        <f>IFERROR(VLOOKUP(Table25[[#This Row],[Code]],'[2]New Machine sheet'!$A$1:$D$101,2,0),0)</f>
        <v>ACE-19</v>
      </c>
      <c r="D116" s="61" t="str">
        <f>IFERROR(VLOOKUP(Table25[[#This Row],[M/c No]],'[2]New Machine sheet'!$B$1:$D$101,2,0),0)</f>
        <v>Micromatic</v>
      </c>
      <c r="E116" s="61" t="str">
        <f>IFERROR(VLOOKUP(Table25[[#This Row],[M/c Name]],'[2]New Machine sheet'!$C$1:$D$101,2,0),0)</f>
        <v>Turning</v>
      </c>
      <c r="F116" s="61">
        <v>117</v>
      </c>
      <c r="G116" s="61">
        <f>IFERROR(VLOOKUP(Table25[[#This Row],[Code2]],'[2]New Machine sheet'!$F$2:$I$64,2,),0)</f>
        <v>24117</v>
      </c>
      <c r="H116" s="61" t="str">
        <f>IFERROR(VLOOKUP(Table25[[#This Row],[Code2]],'[2]New Machine sheet'!$F$2:$I$64,3,0),0)</f>
        <v>RE J1</v>
      </c>
      <c r="I116" s="61" t="s">
        <v>174</v>
      </c>
      <c r="J116" s="61">
        <v>10</v>
      </c>
      <c r="K116" s="61" t="str">
        <f>IFERROR(VLOOKUP(Table25[[#This Row],[Code3]],'[2]New defect code '!$A$2:$D$129,2,0),0)</f>
        <v xml:space="preserve">Bore u/s </v>
      </c>
      <c r="L116" s="61" t="s">
        <v>195</v>
      </c>
      <c r="M116" s="56">
        <v>46266</v>
      </c>
      <c r="N116" s="61">
        <v>1</v>
      </c>
      <c r="O116" s="61"/>
      <c r="P116" s="61"/>
      <c r="Q116" s="61"/>
      <c r="R116" s="61">
        <f>SUBTOTAL(9,Table25[[#This Row],[1st]:[FQC]])</f>
        <v>1</v>
      </c>
      <c r="S116" s="61">
        <f>IFERROR(VLOOKUP(Table25[[#This Row],[Part No.]],'[2]New Machine sheet'!$G$2:$I$90,3,0),0)</f>
        <v>111.97</v>
      </c>
      <c r="T116" s="61">
        <f>Table25[[#This Row],[cost per piece]]*Table25[[#This Row],[Total Rej. qty]]</f>
        <v>111.97</v>
      </c>
      <c r="U116" s="61">
        <f>IFERROR(VLOOKUP(Table25[[#This Row],[Non Conformance]],'[2]New defect code '!$B$2:$C$129,2,0),0)</f>
        <v>0</v>
      </c>
      <c r="V116" s="61">
        <v>45</v>
      </c>
      <c r="W116" s="61" t="str">
        <f>IFERROR(VLOOKUP(Table25[[#This Row],[Code4]],'[2]New Reason code'!$A$2:$D$77,2,0),0)</f>
        <v>Running m/c</v>
      </c>
      <c r="X116" s="61">
        <f ca="1">#REF!+Table25[[#This Row],[Rejection Identified at]]</f>
        <v>0</v>
      </c>
      <c r="Y116" s="63">
        <f>IFERROR(VLOOKUP(Table25[[#This Row],[Reason]],Coding!A113:C170,3,0),0)</f>
        <v>0</v>
      </c>
    </row>
    <row r="117" spans="1:25" ht="20.25" customHeight="1">
      <c r="A117" s="50">
        <v>113</v>
      </c>
      <c r="B117" s="61">
        <v>3</v>
      </c>
      <c r="C117" s="61" t="str">
        <f>IFERROR(VLOOKUP(Table25[[#This Row],[Code]],'[2]New Machine sheet'!$A$1:$D$101,2,0),0)</f>
        <v>282-03</v>
      </c>
      <c r="D117" s="61" t="str">
        <f>IFERROR(VLOOKUP(Table25[[#This Row],[M/c No]],'[2]New Machine sheet'!$B$1:$D$101,2,0),0)</f>
        <v>Mazak</v>
      </c>
      <c r="E117" s="61" t="str">
        <f>IFERROR(VLOOKUP(Table25[[#This Row],[M/c Name]],'[2]New Machine sheet'!$C$1:$D$101,2,0),0)</f>
        <v>Turning</v>
      </c>
      <c r="F117" s="61">
        <v>178</v>
      </c>
      <c r="G117" s="61">
        <f>IFERROR(VLOOKUP(Table25[[#This Row],[Code2]],'[2]New Machine sheet'!$F$2:$I$64,2,),0)</f>
        <v>24178</v>
      </c>
      <c r="H117" s="61" t="str">
        <f>IFERROR(VLOOKUP(Table25[[#This Row],[Code2]],'[2]New Machine sheet'!$F$2:$I$64,3,0),0)</f>
        <v>RE J1</v>
      </c>
      <c r="I117" s="61" t="s">
        <v>196</v>
      </c>
      <c r="J117" s="61">
        <v>71</v>
      </c>
      <c r="K117" s="61" t="str">
        <f>IFERROR(VLOOKUP(Table25[[#This Row],[Code3]],'[2]New defect code '!$A$2:$D$129,2,0),0)</f>
        <v>PG go not qualify</v>
      </c>
      <c r="L117" s="61" t="s">
        <v>195</v>
      </c>
      <c r="M117" s="56">
        <v>46266</v>
      </c>
      <c r="N117" s="61">
        <v>5</v>
      </c>
      <c r="O117" s="61"/>
      <c r="P117" s="61"/>
      <c r="Q117" s="61"/>
      <c r="R117" s="61">
        <f>SUBTOTAL(9,Table25[[#This Row],[1st]:[FQC]])</f>
        <v>5</v>
      </c>
      <c r="S117" s="61">
        <f>IFERROR(VLOOKUP(Table25[[#This Row],[Part No.]],'[2]New Machine sheet'!$G$2:$I$90,3,0),0)</f>
        <v>70.62</v>
      </c>
      <c r="T117" s="61">
        <f>Table25[[#This Row],[cost per piece]]*Table25[[#This Row],[Total Rej. qty]]</f>
        <v>353.1</v>
      </c>
      <c r="U117" s="61">
        <f>IFERROR(VLOOKUP(Table25[[#This Row],[Non Conformance]],'[2]New defect code '!$B$2:$C$129,2,0),0)</f>
        <v>0</v>
      </c>
      <c r="V117" s="61">
        <v>45</v>
      </c>
      <c r="W117" s="61" t="str">
        <f>IFERROR(VLOOKUP(Table25[[#This Row],[Code4]],'[2]New Reason code'!$A$2:$D$77,2,0),0)</f>
        <v>Running m/c</v>
      </c>
      <c r="X117" s="61">
        <f ca="1">#REF!+Table25[[#This Row],[Rejection Identified at]]</f>
        <v>0</v>
      </c>
      <c r="Y117" s="63">
        <f>IFERROR(VLOOKUP(Table25[[#This Row],[Reason]],Coding!A114:C171,3,0),0)</f>
        <v>0</v>
      </c>
    </row>
    <row r="118" spans="1:25" ht="20.25" customHeight="1">
      <c r="A118" s="60">
        <v>114</v>
      </c>
      <c r="B118" s="61">
        <v>2</v>
      </c>
      <c r="C118" s="61" t="str">
        <f>IFERROR(VLOOKUP(Table25[[#This Row],[Code]],'[2]New Machine sheet'!$A$1:$D$101,2,0),0)</f>
        <v>282-02</v>
      </c>
      <c r="D118" s="61" t="str">
        <f>IFERROR(VLOOKUP(Table25[[#This Row],[M/c No]],'[2]New Machine sheet'!$B$1:$D$101,2,0),0)</f>
        <v>Mazak</v>
      </c>
      <c r="E118" s="61" t="str">
        <f>IFERROR(VLOOKUP(Table25[[#This Row],[M/c Name]],'[2]New Machine sheet'!$C$1:$D$101,2,0),0)</f>
        <v>Turning</v>
      </c>
      <c r="F118" s="61">
        <v>113</v>
      </c>
      <c r="G118" s="61">
        <f>IFERROR(VLOOKUP(Table25[[#This Row],[Code2]],'[2]New Machine sheet'!$F$2:$I$64,2,),0)</f>
        <v>24113</v>
      </c>
      <c r="H118" s="61" t="str">
        <f>IFERROR(VLOOKUP(Table25[[#This Row],[Code2]],'[2]New Machine sheet'!$F$2:$I$64,3,0),0)</f>
        <v>RE J1</v>
      </c>
      <c r="I118" s="61" t="s">
        <v>199</v>
      </c>
      <c r="J118" s="61">
        <v>10</v>
      </c>
      <c r="K118" s="61" t="str">
        <f>IFERROR(VLOOKUP(Table25[[#This Row],[Code3]],'[2]New defect code '!$A$2:$D$129,2,0),0)</f>
        <v xml:space="preserve">Bore u/s </v>
      </c>
      <c r="L118" s="61" t="s">
        <v>195</v>
      </c>
      <c r="M118" s="56">
        <v>46266</v>
      </c>
      <c r="N118" s="61">
        <v>1</v>
      </c>
      <c r="O118" s="61"/>
      <c r="P118" s="61"/>
      <c r="Q118" s="61"/>
      <c r="R118" s="61">
        <f>SUBTOTAL(9,Table25[[#This Row],[1st]:[FQC]])</f>
        <v>1</v>
      </c>
      <c r="S118" s="61">
        <f>IFERROR(VLOOKUP(Table25[[#This Row],[Part No.]],'[2]New Machine sheet'!$G$2:$I$90,3,0),0)</f>
        <v>90</v>
      </c>
      <c r="T118" s="61">
        <f>Table25[[#This Row],[cost per piece]]*Table25[[#This Row],[Total Rej. qty]]</f>
        <v>90</v>
      </c>
      <c r="U118" s="61">
        <f>IFERROR(VLOOKUP(Table25[[#This Row],[Non Conformance]],'[2]New defect code '!$B$2:$C$129,2,0),0)</f>
        <v>0</v>
      </c>
      <c r="V118" s="61">
        <v>45</v>
      </c>
      <c r="W118" s="61" t="str">
        <f>IFERROR(VLOOKUP(Table25[[#This Row],[Code4]],'[2]New Reason code'!$A$2:$D$77,2,0),0)</f>
        <v>Running m/c</v>
      </c>
      <c r="X118" s="61">
        <f ca="1">#REF!+Table25[[#This Row],[Rejection Identified at]]</f>
        <v>0</v>
      </c>
      <c r="Y118" s="63">
        <f>IFERROR(VLOOKUP(Table25[[#This Row],[Reason]],Coding!A115:C172,3,0),0)</f>
        <v>0</v>
      </c>
    </row>
    <row r="119" spans="1:25" ht="20.25" customHeight="1">
      <c r="A119" s="50">
        <v>115</v>
      </c>
      <c r="B119" s="61">
        <v>23</v>
      </c>
      <c r="C119" s="61" t="str">
        <f>IFERROR(VLOOKUP(Table25[[#This Row],[Code]],'[2]New Machine sheet'!$A$1:$D$101,2,0),0)</f>
        <v>ACE-03</v>
      </c>
      <c r="D119" s="61" t="str">
        <f>IFERROR(VLOOKUP(Table25[[#This Row],[M/c No]],'[2]New Machine sheet'!$B$1:$D$101,2,0),0)</f>
        <v>Micromatic</v>
      </c>
      <c r="E119" s="61" t="str">
        <f>IFERROR(VLOOKUP(Table25[[#This Row],[M/c Name]],'[2]New Machine sheet'!$C$1:$D$101,2,0),0)</f>
        <v>Turning</v>
      </c>
      <c r="F119" s="61">
        <v>29</v>
      </c>
      <c r="G119" s="61">
        <f>IFERROR(VLOOKUP(Table25[[#This Row],[Code2]],'[2]New Machine sheet'!$F$2:$I$64,2,),0)</f>
        <v>2429</v>
      </c>
      <c r="H119" s="61" t="str">
        <f>IFERROR(VLOOKUP(Table25[[#This Row],[Code2]],'[2]New Machine sheet'!$F$2:$I$64,3,0),0)</f>
        <v>RE P1</v>
      </c>
      <c r="I119" s="61" t="s">
        <v>185</v>
      </c>
      <c r="J119" s="61">
        <v>10</v>
      </c>
      <c r="K119" s="61" t="str">
        <f>IFERROR(VLOOKUP(Table25[[#This Row],[Code3]],'[2]New defect code '!$A$2:$D$129,2,0),0)</f>
        <v xml:space="preserve">Bore u/s </v>
      </c>
      <c r="L119" s="61" t="s">
        <v>195</v>
      </c>
      <c r="M119" s="56">
        <v>46266</v>
      </c>
      <c r="N119" s="61"/>
      <c r="O119" s="61">
        <v>1</v>
      </c>
      <c r="P119" s="61"/>
      <c r="Q119" s="61"/>
      <c r="R119" s="61">
        <f>SUBTOTAL(9,Table25[[#This Row],[1st]:[FQC]])</f>
        <v>1</v>
      </c>
      <c r="S119" s="61">
        <f>IFERROR(VLOOKUP(Table25[[#This Row],[Part No.]],'[2]New Machine sheet'!$G$2:$I$90,3,0),0)</f>
        <v>142.61000000000001</v>
      </c>
      <c r="T119" s="61">
        <f>Table25[[#This Row],[cost per piece]]*Table25[[#This Row],[Total Rej. qty]]</f>
        <v>142.61000000000001</v>
      </c>
      <c r="U119" s="61">
        <f>IFERROR(VLOOKUP(Table25[[#This Row],[Non Conformance]],'[2]New defect code '!$B$2:$C$129,2,0),0)</f>
        <v>0</v>
      </c>
      <c r="V119" s="61">
        <v>18</v>
      </c>
      <c r="W119" s="61" t="str">
        <f>IFERROR(VLOOKUP(Table25[[#This Row],[Code4]],'[2]New Reason code'!$A$2:$D$77,2,0),0)</f>
        <v>During insert change</v>
      </c>
      <c r="X119" s="61">
        <f ca="1">#REF!+Table25[[#This Row],[Rejection Identified at]]</f>
        <v>0</v>
      </c>
      <c r="Y119" s="63">
        <f>IFERROR(VLOOKUP(Table25[[#This Row],[Reason]],Coding!A116:C173,3,0),0)</f>
        <v>0</v>
      </c>
    </row>
    <row r="120" spans="1:25" ht="20.25" customHeight="1">
      <c r="A120" s="60">
        <v>116</v>
      </c>
      <c r="B120" s="61">
        <v>4</v>
      </c>
      <c r="C120" s="61" t="str">
        <f>IFERROR(VLOOKUP(Table25[[#This Row],[Code]],'[2]New Machine sheet'!$A$1:$D$101,2,0),0)</f>
        <v>282-04</v>
      </c>
      <c r="D120" s="61" t="str">
        <f>IFERROR(VLOOKUP(Table25[[#This Row],[M/c No]],'[2]New Machine sheet'!$B$1:$D$101,2,0),0)</f>
        <v>Mazak</v>
      </c>
      <c r="E120" s="61" t="str">
        <f>IFERROR(VLOOKUP(Table25[[#This Row],[M/c Name]],'[2]New Machine sheet'!$C$1:$D$101,2,0),0)</f>
        <v>Turning</v>
      </c>
      <c r="F120" s="61">
        <v>117</v>
      </c>
      <c r="G120" s="61">
        <f>IFERROR(VLOOKUP(Table25[[#This Row],[Code2]],'[2]New Machine sheet'!$F$2:$I$64,2,),0)</f>
        <v>24117</v>
      </c>
      <c r="H120" s="61" t="str">
        <f>IFERROR(VLOOKUP(Table25[[#This Row],[Code2]],'[2]New Machine sheet'!$F$2:$I$64,3,0),0)</f>
        <v>RE J1</v>
      </c>
      <c r="I120" s="61" t="s">
        <v>121</v>
      </c>
      <c r="J120" s="61">
        <v>10</v>
      </c>
      <c r="K120" s="61" t="str">
        <f>IFERROR(VLOOKUP(Table25[[#This Row],[Code3]],'[2]New defect code '!$A$2:$D$129,2,0),0)</f>
        <v xml:space="preserve">Bore u/s </v>
      </c>
      <c r="L120" s="61" t="s">
        <v>195</v>
      </c>
      <c r="M120" s="56">
        <v>46266</v>
      </c>
      <c r="N120" s="61"/>
      <c r="O120" s="61">
        <v>2</v>
      </c>
      <c r="P120" s="61"/>
      <c r="Q120" s="61"/>
      <c r="R120" s="61">
        <f>SUBTOTAL(9,Table25[[#This Row],[1st]:[FQC]])</f>
        <v>2</v>
      </c>
      <c r="S120" s="61">
        <f>IFERROR(VLOOKUP(Table25[[#This Row],[Part No.]],'[2]New Machine sheet'!$G$2:$I$90,3,0),0)</f>
        <v>111.97</v>
      </c>
      <c r="T120" s="61">
        <f>Table25[[#This Row],[cost per piece]]*Table25[[#This Row],[Total Rej. qty]]</f>
        <v>223.94</v>
      </c>
      <c r="U120" s="61">
        <f>IFERROR(VLOOKUP(Table25[[#This Row],[Non Conformance]],'[2]New defect code '!$B$2:$C$129,2,0),0)</f>
        <v>0</v>
      </c>
      <c r="V120" s="61">
        <v>45</v>
      </c>
      <c r="W120" s="61" t="str">
        <f>IFERROR(VLOOKUP(Table25[[#This Row],[Code4]],'[2]New Reason code'!$A$2:$D$77,2,0),0)</f>
        <v>Running m/c</v>
      </c>
      <c r="X120" s="61">
        <f ca="1">#REF!+Table25[[#This Row],[Rejection Identified at]]</f>
        <v>0</v>
      </c>
      <c r="Y120" s="63">
        <f>IFERROR(VLOOKUP(Table25[[#This Row],[Reason]],Coding!A117:C174,3,0),0)</f>
        <v>0</v>
      </c>
    </row>
    <row r="121" spans="1:25" ht="20.25" customHeight="1">
      <c r="A121" s="50">
        <v>117</v>
      </c>
      <c r="B121" s="61">
        <v>4</v>
      </c>
      <c r="C121" s="61" t="str">
        <f>IFERROR(VLOOKUP(Table25[[#This Row],[Code]],'[2]New Machine sheet'!$A$1:$D$101,2,0),0)</f>
        <v>282-04</v>
      </c>
      <c r="D121" s="61" t="str">
        <f>IFERROR(VLOOKUP(Table25[[#This Row],[M/c No]],'[2]New Machine sheet'!$B$1:$D$101,2,0),0)</f>
        <v>Mazak</v>
      </c>
      <c r="E121" s="61" t="str">
        <f>IFERROR(VLOOKUP(Table25[[#This Row],[M/c Name]],'[2]New Machine sheet'!$C$1:$D$101,2,0),0)</f>
        <v>Turning</v>
      </c>
      <c r="F121" s="61">
        <v>117</v>
      </c>
      <c r="G121" s="61">
        <f>IFERROR(VLOOKUP(Table25[[#This Row],[Code2]],'[2]New Machine sheet'!$F$2:$I$64,2,),0)</f>
        <v>24117</v>
      </c>
      <c r="H121" s="61" t="str">
        <f>IFERROR(VLOOKUP(Table25[[#This Row],[Code2]],'[2]New Machine sheet'!$F$2:$I$64,3,0),0)</f>
        <v>RE J1</v>
      </c>
      <c r="I121" s="61" t="s">
        <v>121</v>
      </c>
      <c r="J121" s="61">
        <v>41</v>
      </c>
      <c r="K121" s="61" t="str">
        <f>IFERROR(VLOOKUP(Table25[[#This Row],[Code3]],'[2]New defect code '!$A$2:$D$129,2,0),0)</f>
        <v>Face Less metal</v>
      </c>
      <c r="L121" s="61" t="s">
        <v>195</v>
      </c>
      <c r="M121" s="56">
        <v>46266</v>
      </c>
      <c r="N121" s="61"/>
      <c r="O121" s="61">
        <v>1</v>
      </c>
      <c r="P121" s="61"/>
      <c r="Q121" s="61"/>
      <c r="R121" s="61">
        <f>SUBTOTAL(9,Table25[[#This Row],[1st]:[FQC]])</f>
        <v>1</v>
      </c>
      <c r="S121" s="61">
        <f>IFERROR(VLOOKUP(Table25[[#This Row],[Part No.]],'[2]New Machine sheet'!$G$2:$I$90,3,0),0)</f>
        <v>111.97</v>
      </c>
      <c r="T121" s="61">
        <f>Table25[[#This Row],[cost per piece]]*Table25[[#This Row],[Total Rej. qty]]</f>
        <v>111.97</v>
      </c>
      <c r="U121" s="61">
        <f>IFERROR(VLOOKUP(Table25[[#This Row],[Non Conformance]],'[2]New defect code '!$B$2:$C$129,2,0),0)</f>
        <v>3259</v>
      </c>
      <c r="V121" s="61">
        <v>45</v>
      </c>
      <c r="W121" s="61" t="str">
        <f>IFERROR(VLOOKUP(Table25[[#This Row],[Code4]],'[2]New Reason code'!$A$2:$D$77,2,0),0)</f>
        <v>Running m/c</v>
      </c>
      <c r="X121" s="61">
        <f ca="1">#REF!+Table25[[#This Row],[Rejection Identified at]]</f>
        <v>0</v>
      </c>
      <c r="Y121" s="63">
        <f>IFERROR(VLOOKUP(Table25[[#This Row],[Reason]],Coding!A118:C175,3,0),0)</f>
        <v>0</v>
      </c>
    </row>
    <row r="122" spans="1:25" ht="20.25" customHeight="1">
      <c r="A122" s="60">
        <v>118</v>
      </c>
      <c r="B122" s="61">
        <v>13</v>
      </c>
      <c r="C122" s="61" t="str">
        <f>IFERROR(VLOOKUP(Table25[[#This Row],[Code]],'[2]New Machine sheet'!$A$1:$D$101,2,0),0)</f>
        <v>282-13</v>
      </c>
      <c r="D122" s="61" t="str">
        <f>IFERROR(VLOOKUP(Table25[[#This Row],[M/c No]],'[2]New Machine sheet'!$B$1:$D$101,2,0),0)</f>
        <v>Mazak</v>
      </c>
      <c r="E122" s="61" t="str">
        <f>IFERROR(VLOOKUP(Table25[[#This Row],[M/c Name]],'[2]New Machine sheet'!$C$1:$D$101,2,0),0)</f>
        <v>Turning</v>
      </c>
      <c r="F122" s="61">
        <v>77</v>
      </c>
      <c r="G122" s="61">
        <f>IFERROR(VLOOKUP(Table25[[#This Row],[Code2]],'[2]New Machine sheet'!$F$2:$I$64,2,),0)</f>
        <v>2477</v>
      </c>
      <c r="H122" s="61" t="str">
        <f>IFERROR(VLOOKUP(Table25[[#This Row],[Code2]],'[2]New Machine sheet'!$F$2:$I$64,3,0),0)</f>
        <v>RE P1</v>
      </c>
      <c r="I122" s="61" t="s">
        <v>161</v>
      </c>
      <c r="J122" s="61">
        <v>10</v>
      </c>
      <c r="K122" s="61" t="str">
        <f>IFERROR(VLOOKUP(Table25[[#This Row],[Code3]],'[2]New defect code '!$A$2:$D$129,2,0),0)</f>
        <v xml:space="preserve">Bore u/s </v>
      </c>
      <c r="L122" s="61" t="s">
        <v>195</v>
      </c>
      <c r="M122" s="56">
        <v>46266</v>
      </c>
      <c r="N122" s="61"/>
      <c r="O122" s="61">
        <v>1</v>
      </c>
      <c r="P122" s="61"/>
      <c r="Q122" s="61"/>
      <c r="R122" s="61">
        <f>SUBTOTAL(9,Table25[[#This Row],[1st]:[FQC]])</f>
        <v>1</v>
      </c>
      <c r="S122" s="61">
        <f>IFERROR(VLOOKUP(Table25[[#This Row],[Part No.]],'[2]New Machine sheet'!$G$2:$I$90,3,0),0)</f>
        <v>79.064999999999998</v>
      </c>
      <c r="T122" s="61">
        <f>Table25[[#This Row],[cost per piece]]*Table25[[#This Row],[Total Rej. qty]]</f>
        <v>79.064999999999998</v>
      </c>
      <c r="U122" s="61">
        <f>IFERROR(VLOOKUP(Table25[[#This Row],[Non Conformance]],'[2]New defect code '!$B$2:$C$129,2,0),0)</f>
        <v>0</v>
      </c>
      <c r="V122" s="61">
        <v>45</v>
      </c>
      <c r="W122" s="61" t="str">
        <f>IFERROR(VLOOKUP(Table25[[#This Row],[Code4]],'[2]New Reason code'!$A$2:$D$77,2,0),0)</f>
        <v>Running m/c</v>
      </c>
      <c r="X122" s="61">
        <f ca="1">#REF!+Table25[[#This Row],[Rejection Identified at]]</f>
        <v>0</v>
      </c>
      <c r="Y122" s="63">
        <f>IFERROR(VLOOKUP(Table25[[#This Row],[Reason]],Coding!A119:C176,3,0),0)</f>
        <v>0</v>
      </c>
    </row>
    <row r="123" spans="1:25" ht="20.25" customHeight="1">
      <c r="A123" s="50">
        <v>119</v>
      </c>
      <c r="B123" s="61">
        <v>40</v>
      </c>
      <c r="C123" s="61" t="str">
        <f>IFERROR(VLOOKUP(Table25[[#This Row],[Code]],'[2]New Machine sheet'!$A$1:$D$101,2,0),0)</f>
        <v>ACE-20</v>
      </c>
      <c r="D123" s="61" t="str">
        <f>IFERROR(VLOOKUP(Table25[[#This Row],[M/c No]],'[2]New Machine sheet'!$B$1:$D$101,2,0),0)</f>
        <v>Micromatic</v>
      </c>
      <c r="E123" s="61" t="str">
        <f>IFERROR(VLOOKUP(Table25[[#This Row],[M/c Name]],'[2]New Machine sheet'!$C$1:$D$101,2,0),0)</f>
        <v>Turning</v>
      </c>
      <c r="F123" s="61">
        <v>122</v>
      </c>
      <c r="G123" s="61">
        <f>IFERROR(VLOOKUP(Table25[[#This Row],[Code2]],'[2]New Machine sheet'!$F$2:$I$64,2,),0)</f>
        <v>24122</v>
      </c>
      <c r="H123" s="61" t="str">
        <f>IFERROR(VLOOKUP(Table25[[#This Row],[Code2]],'[2]New Machine sheet'!$F$2:$I$64,3,0),0)</f>
        <v>RE J1</v>
      </c>
      <c r="I123" s="61" t="s">
        <v>192</v>
      </c>
      <c r="J123" s="61">
        <v>19</v>
      </c>
      <c r="K123" s="61" t="str">
        <f>IFERROR(VLOOKUP(Table25[[#This Row],[Code3]],'[2]New defect code '!$A$2:$D$129,2,0),0)</f>
        <v xml:space="preserve">Bush not ok </v>
      </c>
      <c r="L123" s="61" t="s">
        <v>195</v>
      </c>
      <c r="M123" s="56">
        <v>46266</v>
      </c>
      <c r="N123" s="61"/>
      <c r="O123" s="61">
        <v>1</v>
      </c>
      <c r="P123" s="61"/>
      <c r="Q123" s="61"/>
      <c r="R123" s="61">
        <f>SUBTOTAL(9,Table25[[#This Row],[1st]:[FQC]])</f>
        <v>1</v>
      </c>
      <c r="S123" s="61">
        <f>IFERROR(VLOOKUP(Table25[[#This Row],[Part No.]],'[2]New Machine sheet'!$G$2:$I$90,3,0),0)</f>
        <v>335.39977528089889</v>
      </c>
      <c r="T123" s="61">
        <f>Table25[[#This Row],[cost per piece]]*Table25[[#This Row],[Total Rej. qty]]</f>
        <v>335.39977528089889</v>
      </c>
      <c r="U123" s="61">
        <f>IFERROR(VLOOKUP(Table25[[#This Row],[Non Conformance]],'[2]New defect code '!$B$2:$C$129,2,0),0)</f>
        <v>3252</v>
      </c>
      <c r="V123" s="61">
        <v>45</v>
      </c>
      <c r="W123" s="61" t="str">
        <f>IFERROR(VLOOKUP(Table25[[#This Row],[Code4]],'[2]New Reason code'!$A$2:$D$77,2,0),0)</f>
        <v>Running m/c</v>
      </c>
      <c r="X123" s="61">
        <f ca="1">#REF!+Table25[[#This Row],[Rejection Identified at]]</f>
        <v>0</v>
      </c>
      <c r="Y123" s="63">
        <f>IFERROR(VLOOKUP(Table25[[#This Row],[Reason]],Coding!A120:C177,3,0),0)</f>
        <v>0</v>
      </c>
    </row>
    <row r="124" spans="1:25" ht="20.25" customHeight="1">
      <c r="A124" s="60">
        <v>120</v>
      </c>
      <c r="B124" s="61">
        <v>20</v>
      </c>
      <c r="C124" s="61" t="str">
        <f>IFERROR(VLOOKUP(Table25[[#This Row],[Code]],'[2]New Machine sheet'!$A$1:$D$101,2,0),0)</f>
        <v>282-20</v>
      </c>
      <c r="D124" s="61" t="str">
        <f>IFERROR(VLOOKUP(Table25[[#This Row],[M/c No]],'[2]New Machine sheet'!$B$1:$D$101,2,0),0)</f>
        <v>Mazak</v>
      </c>
      <c r="E124" s="61" t="str">
        <f>IFERROR(VLOOKUP(Table25[[#This Row],[M/c Name]],'[2]New Machine sheet'!$C$1:$D$101,2,0),0)</f>
        <v>Turning</v>
      </c>
      <c r="F124" s="61">
        <v>115</v>
      </c>
      <c r="G124" s="61">
        <f>IFERROR(VLOOKUP(Table25[[#This Row],[Code2]],'[2]New Machine sheet'!$F$2:$I$64,2,),0)</f>
        <v>24115</v>
      </c>
      <c r="H124" s="61" t="str">
        <f>IFERROR(VLOOKUP(Table25[[#This Row],[Code2]],'[2]New Machine sheet'!$F$2:$I$64,3,0),0)</f>
        <v>RE J1</v>
      </c>
      <c r="I124" s="61" t="s">
        <v>136</v>
      </c>
      <c r="J124" s="61">
        <v>10</v>
      </c>
      <c r="K124" s="61" t="str">
        <f>IFERROR(VLOOKUP(Table25[[#This Row],[Code3]],'[2]New defect code '!$A$2:$D$129,2,0),0)</f>
        <v xml:space="preserve">Bore u/s </v>
      </c>
      <c r="L124" s="61" t="s">
        <v>195</v>
      </c>
      <c r="M124" s="56">
        <v>46266</v>
      </c>
      <c r="N124" s="61"/>
      <c r="O124" s="61">
        <v>2</v>
      </c>
      <c r="P124" s="61"/>
      <c r="Q124" s="61"/>
      <c r="R124" s="61">
        <f>SUBTOTAL(9,Table25[[#This Row],[1st]:[FQC]])</f>
        <v>2</v>
      </c>
      <c r="S124" s="61">
        <f>IFERROR(VLOOKUP(Table25[[#This Row],[Part No.]],'[2]New Machine sheet'!$G$2:$I$90,3,0),0)</f>
        <v>66.900000000000006</v>
      </c>
      <c r="T124" s="61">
        <f>Table25[[#This Row],[cost per piece]]*Table25[[#This Row],[Total Rej. qty]]</f>
        <v>133.80000000000001</v>
      </c>
      <c r="U124" s="61">
        <f>IFERROR(VLOOKUP(Table25[[#This Row],[Non Conformance]],'[2]New defect code '!$B$2:$C$129,2,0),0)</f>
        <v>0</v>
      </c>
      <c r="V124" s="61">
        <v>45</v>
      </c>
      <c r="W124" s="61" t="str">
        <f>IFERROR(VLOOKUP(Table25[[#This Row],[Code4]],'[2]New Reason code'!$A$2:$D$77,2,0),0)</f>
        <v>Running m/c</v>
      </c>
      <c r="X124" s="61">
        <f ca="1">#REF!+Table25[[#This Row],[Rejection Identified at]]</f>
        <v>0</v>
      </c>
      <c r="Y124" s="63">
        <f>IFERROR(VLOOKUP(Table25[[#This Row],[Reason]],Coding!A121:C178,3,0),0)</f>
        <v>0</v>
      </c>
    </row>
    <row r="125" spans="1:25" ht="20.25" customHeight="1">
      <c r="A125" s="50">
        <v>121</v>
      </c>
      <c r="B125" s="61">
        <v>22</v>
      </c>
      <c r="C125" s="61" t="str">
        <f>IFERROR(VLOOKUP(Table25[[#This Row],[Code]],'[2]New Machine sheet'!$A$1:$D$101,2,0),0)</f>
        <v>ACE-02</v>
      </c>
      <c r="D125" s="61" t="str">
        <f>IFERROR(VLOOKUP(Table25[[#This Row],[M/c No]],'[2]New Machine sheet'!$B$1:$D$101,2,0),0)</f>
        <v>Micromatic</v>
      </c>
      <c r="E125" s="61" t="str">
        <f>IFERROR(VLOOKUP(Table25[[#This Row],[M/c Name]],'[2]New Machine sheet'!$C$1:$D$101,2,0),0)</f>
        <v>Turning</v>
      </c>
      <c r="F125" s="61">
        <v>115</v>
      </c>
      <c r="G125" s="61">
        <f>IFERROR(VLOOKUP(Table25[[#This Row],[Code2]],'[2]New Machine sheet'!$F$2:$I$64,2,),0)</f>
        <v>24115</v>
      </c>
      <c r="H125" s="61" t="str">
        <f>IFERROR(VLOOKUP(Table25[[#This Row],[Code2]],'[2]New Machine sheet'!$F$2:$I$64,3,0),0)</f>
        <v>RE J1</v>
      </c>
      <c r="I125" s="61" t="s">
        <v>126</v>
      </c>
      <c r="J125" s="61">
        <v>10</v>
      </c>
      <c r="K125" s="61" t="str">
        <f>IFERROR(VLOOKUP(Table25[[#This Row],[Code3]],'[2]New defect code '!$A$2:$D$129,2,0),0)</f>
        <v xml:space="preserve">Bore u/s </v>
      </c>
      <c r="L125" s="61" t="s">
        <v>195</v>
      </c>
      <c r="M125" s="56">
        <v>46266</v>
      </c>
      <c r="N125" s="61"/>
      <c r="O125" s="61"/>
      <c r="P125" s="61">
        <v>1</v>
      </c>
      <c r="Q125" s="61"/>
      <c r="R125" s="61">
        <f>SUBTOTAL(9,Table25[[#This Row],[1st]:[FQC]])</f>
        <v>1</v>
      </c>
      <c r="S125" s="61">
        <f>IFERROR(VLOOKUP(Table25[[#This Row],[Part No.]],'[2]New Machine sheet'!$G$2:$I$90,3,0),0)</f>
        <v>66.900000000000006</v>
      </c>
      <c r="T125" s="61">
        <f>Table25[[#This Row],[cost per piece]]*Table25[[#This Row],[Total Rej. qty]]</f>
        <v>66.900000000000006</v>
      </c>
      <c r="U125" s="61">
        <f>IFERROR(VLOOKUP(Table25[[#This Row],[Non Conformance]],'[2]New defect code '!$B$2:$C$129,2,0),0)</f>
        <v>0</v>
      </c>
      <c r="V125" s="61">
        <v>45</v>
      </c>
      <c r="W125" s="61" t="str">
        <f>IFERROR(VLOOKUP(Table25[[#This Row],[Code4]],'[2]New Reason code'!$A$2:$D$77,2,0),0)</f>
        <v>Running m/c</v>
      </c>
      <c r="X125" s="61">
        <f ca="1">#REF!+Table25[[#This Row],[Rejection Identified at]]</f>
        <v>0</v>
      </c>
      <c r="Y125" s="63">
        <f>IFERROR(VLOOKUP(Table25[[#This Row],[Reason]],Coding!A122:C179,3,0),0)</f>
        <v>0</v>
      </c>
    </row>
    <row r="126" spans="1:25" ht="20.25" customHeight="1">
      <c r="A126" s="60">
        <v>122</v>
      </c>
      <c r="B126" s="61">
        <v>11</v>
      </c>
      <c r="C126" s="61" t="str">
        <f>IFERROR(VLOOKUP(Table25[[#This Row],[Code]],'[2]New Machine sheet'!$A$1:$D$101,2,0),0)</f>
        <v>282-11</v>
      </c>
      <c r="D126" s="61" t="str">
        <f>IFERROR(VLOOKUP(Table25[[#This Row],[M/c No]],'[2]New Machine sheet'!$B$1:$D$101,2,0),0)</f>
        <v>Mazak</v>
      </c>
      <c r="E126" s="61" t="str">
        <f>IFERROR(VLOOKUP(Table25[[#This Row],[M/c Name]],'[2]New Machine sheet'!$C$1:$D$101,2,0),0)</f>
        <v>Turning</v>
      </c>
      <c r="F126" s="61">
        <v>121</v>
      </c>
      <c r="G126" s="61">
        <f>IFERROR(VLOOKUP(Table25[[#This Row],[Code2]],'[2]New Machine sheet'!$F$2:$I$64,2,),0)</f>
        <v>24121</v>
      </c>
      <c r="H126" s="61" t="str">
        <f>IFERROR(VLOOKUP(Table25[[#This Row],[Code2]],'[2]New Machine sheet'!$F$2:$I$64,3,0),0)</f>
        <v>RE J1</v>
      </c>
      <c r="I126" s="61" t="s">
        <v>137</v>
      </c>
      <c r="J126" s="61">
        <v>71</v>
      </c>
      <c r="K126" s="61" t="str">
        <f>IFERROR(VLOOKUP(Table25[[#This Row],[Code3]],'[2]New defect code '!$A$2:$D$129,2,0),0)</f>
        <v>PG go not qualify</v>
      </c>
      <c r="L126" s="61" t="s">
        <v>195</v>
      </c>
      <c r="M126" s="56">
        <v>46266</v>
      </c>
      <c r="N126" s="61"/>
      <c r="O126" s="61"/>
      <c r="P126" s="61">
        <v>1</v>
      </c>
      <c r="Q126" s="61"/>
      <c r="R126" s="61">
        <f>SUBTOTAL(9,Table25[[#This Row],[1st]:[FQC]])</f>
        <v>1</v>
      </c>
      <c r="S126" s="61">
        <f>IFERROR(VLOOKUP(Table25[[#This Row],[Part No.]],'[2]New Machine sheet'!$G$2:$I$90,3,0),0)</f>
        <v>135.66999999999999</v>
      </c>
      <c r="T126" s="61">
        <f>Table25[[#This Row],[cost per piece]]*Table25[[#This Row],[Total Rej. qty]]</f>
        <v>135.66999999999999</v>
      </c>
      <c r="U126" s="61">
        <f>IFERROR(VLOOKUP(Table25[[#This Row],[Non Conformance]],'[2]New defect code '!$B$2:$C$129,2,0),0)</f>
        <v>0</v>
      </c>
      <c r="V126" s="61">
        <v>45</v>
      </c>
      <c r="W126" s="61" t="str">
        <f>IFERROR(VLOOKUP(Table25[[#This Row],[Code4]],'[2]New Reason code'!$A$2:$D$77,2,0),0)</f>
        <v>Running m/c</v>
      </c>
      <c r="X126" s="61">
        <f ca="1">#REF!+Table25[[#This Row],[Rejection Identified at]]</f>
        <v>0</v>
      </c>
      <c r="Y126" s="63">
        <f>IFERROR(VLOOKUP(Table25[[#This Row],[Reason]],Coding!A123:C180,3,0),0)</f>
        <v>0</v>
      </c>
    </row>
    <row r="127" spans="1:25" ht="20.25" customHeight="1">
      <c r="A127" s="50">
        <v>123</v>
      </c>
      <c r="B127" s="61">
        <v>39</v>
      </c>
      <c r="C127" s="61" t="str">
        <f>IFERROR(VLOOKUP(Table25[[#This Row],[Code]],'[2]New Machine sheet'!$A$1:$D$101,2,0),0)</f>
        <v>ACE-19</v>
      </c>
      <c r="D127" s="61" t="str">
        <f>IFERROR(VLOOKUP(Table25[[#This Row],[M/c No]],'[2]New Machine sheet'!$B$1:$D$101,2,0),0)</f>
        <v>Micromatic</v>
      </c>
      <c r="E127" s="61" t="str">
        <f>IFERROR(VLOOKUP(Table25[[#This Row],[M/c Name]],'[2]New Machine sheet'!$C$1:$D$101,2,0),0)</f>
        <v>Turning</v>
      </c>
      <c r="F127" s="61">
        <v>117</v>
      </c>
      <c r="G127" s="61">
        <f>IFERROR(VLOOKUP(Table25[[#This Row],[Code2]],'[2]New Machine sheet'!$F$2:$I$64,2,),0)</f>
        <v>24117</v>
      </c>
      <c r="H127" s="61" t="str">
        <f>IFERROR(VLOOKUP(Table25[[#This Row],[Code2]],'[2]New Machine sheet'!$F$2:$I$64,3,0),0)</f>
        <v>RE J1</v>
      </c>
      <c r="I127" s="61" t="s">
        <v>132</v>
      </c>
      <c r="J127" s="61">
        <v>10</v>
      </c>
      <c r="K127" s="61" t="str">
        <f>IFERROR(VLOOKUP(Table25[[#This Row],[Code3]],'[2]New defect code '!$A$2:$D$129,2,0),0)</f>
        <v xml:space="preserve">Bore u/s </v>
      </c>
      <c r="L127" s="61" t="s">
        <v>195</v>
      </c>
      <c r="M127" s="56">
        <v>46266</v>
      </c>
      <c r="N127" s="61"/>
      <c r="O127" s="61"/>
      <c r="P127" s="61">
        <v>1</v>
      </c>
      <c r="Q127" s="61"/>
      <c r="R127" s="61">
        <f>SUBTOTAL(9,Table25[[#This Row],[1st]:[FQC]])</f>
        <v>1</v>
      </c>
      <c r="S127" s="61">
        <f>IFERROR(VLOOKUP(Table25[[#This Row],[Part No.]],'[2]New Machine sheet'!$G$2:$I$90,3,0),0)</f>
        <v>111.97</v>
      </c>
      <c r="T127" s="61">
        <f>Table25[[#This Row],[cost per piece]]*Table25[[#This Row],[Total Rej. qty]]</f>
        <v>111.97</v>
      </c>
      <c r="U127" s="61">
        <f>IFERROR(VLOOKUP(Table25[[#This Row],[Non Conformance]],'[2]New defect code '!$B$2:$C$129,2,0),0)</f>
        <v>0</v>
      </c>
      <c r="V127" s="61">
        <v>45</v>
      </c>
      <c r="W127" s="61" t="str">
        <f>IFERROR(VLOOKUP(Table25[[#This Row],[Code4]],'[2]New Reason code'!$A$2:$D$77,2,0),0)</f>
        <v>Running m/c</v>
      </c>
      <c r="X127" s="61">
        <f ca="1">#REF!+Table25[[#This Row],[Rejection Identified at]]</f>
        <v>0</v>
      </c>
      <c r="Y127" s="63">
        <f>IFERROR(VLOOKUP(Table25[[#This Row],[Reason]],Coding!A124:C181,3,0),0)</f>
        <v>0</v>
      </c>
    </row>
    <row r="128" spans="1:25" ht="20.25" customHeight="1">
      <c r="A128" s="60">
        <v>124</v>
      </c>
      <c r="B128" s="61">
        <v>2</v>
      </c>
      <c r="C128" s="61" t="str">
        <f>IFERROR(VLOOKUP(Table25[[#This Row],[Code]],'[2]New Machine sheet'!$A$1:$D$101,2,0),0)</f>
        <v>282-02</v>
      </c>
      <c r="D128" s="61" t="str">
        <f>IFERROR(VLOOKUP(Table25[[#This Row],[M/c No]],'[2]New Machine sheet'!$B$1:$D$101,2,0),0)</f>
        <v>Mazak</v>
      </c>
      <c r="E128" s="61" t="str">
        <f>IFERROR(VLOOKUP(Table25[[#This Row],[M/c Name]],'[2]New Machine sheet'!$C$1:$D$101,2,0),0)</f>
        <v>Turning</v>
      </c>
      <c r="F128" s="61">
        <v>113</v>
      </c>
      <c r="G128" s="61">
        <f>IFERROR(VLOOKUP(Table25[[#This Row],[Code2]],'[2]New Machine sheet'!$F$2:$I$64,2,),0)</f>
        <v>24113</v>
      </c>
      <c r="H128" s="61" t="str">
        <f>IFERROR(VLOOKUP(Table25[[#This Row],[Code2]],'[2]New Machine sheet'!$F$2:$I$64,3,0),0)</f>
        <v>RE J1</v>
      </c>
      <c r="I128" s="61" t="s">
        <v>135</v>
      </c>
      <c r="J128" s="61">
        <v>10</v>
      </c>
      <c r="K128" s="61" t="str">
        <f>IFERROR(VLOOKUP(Table25[[#This Row],[Code3]],'[2]New defect code '!$A$2:$D$129,2,0),0)</f>
        <v xml:space="preserve">Bore u/s </v>
      </c>
      <c r="L128" s="61" t="s">
        <v>195</v>
      </c>
      <c r="M128" s="56">
        <v>46266</v>
      </c>
      <c r="N128" s="61"/>
      <c r="O128" s="61"/>
      <c r="P128" s="61">
        <v>1</v>
      </c>
      <c r="Q128" s="61"/>
      <c r="R128" s="61">
        <f>SUBTOTAL(9,Table25[[#This Row],[1st]:[FQC]])</f>
        <v>1</v>
      </c>
      <c r="S128" s="61">
        <f>IFERROR(VLOOKUP(Table25[[#This Row],[Part No.]],'[2]New Machine sheet'!$G$2:$I$90,3,0),0)</f>
        <v>90</v>
      </c>
      <c r="T128" s="61">
        <f>Table25[[#This Row],[cost per piece]]*Table25[[#This Row],[Total Rej. qty]]</f>
        <v>90</v>
      </c>
      <c r="U128" s="61">
        <f>IFERROR(VLOOKUP(Table25[[#This Row],[Non Conformance]],'[2]New defect code '!$B$2:$C$129,2,0),0)</f>
        <v>0</v>
      </c>
      <c r="V128" s="61">
        <v>45</v>
      </c>
      <c r="W128" s="61" t="str">
        <f>IFERROR(VLOOKUP(Table25[[#This Row],[Code4]],'[2]New Reason code'!$A$2:$D$77,2,0),0)</f>
        <v>Running m/c</v>
      </c>
      <c r="X128" s="61">
        <f ca="1">#REF!+Table25[[#This Row],[Rejection Identified at]]</f>
        <v>0</v>
      </c>
      <c r="Y128" s="63">
        <f>IFERROR(VLOOKUP(Table25[[#This Row],[Reason]],Coding!A125:C182,3,0),0)</f>
        <v>0</v>
      </c>
    </row>
    <row r="129" spans="1:25" ht="20.25" customHeight="1">
      <c r="A129" s="50">
        <v>125</v>
      </c>
      <c r="B129" s="61">
        <v>23</v>
      </c>
      <c r="C129" s="61" t="str">
        <f>IFERROR(VLOOKUP(Table25[[#This Row],[Code]],'[2]New Machine sheet'!$A$1:$D$101,2,0),0)</f>
        <v>ACE-03</v>
      </c>
      <c r="D129" s="61" t="str">
        <f>IFERROR(VLOOKUP(Table25[[#This Row],[M/c No]],'[2]New Machine sheet'!$B$1:$D$101,2,0),0)</f>
        <v>Micromatic</v>
      </c>
      <c r="E129" s="61" t="str">
        <f>IFERROR(VLOOKUP(Table25[[#This Row],[M/c Name]],'[2]New Machine sheet'!$C$1:$D$101,2,0),0)</f>
        <v>Turning</v>
      </c>
      <c r="F129" s="61">
        <v>79</v>
      </c>
      <c r="G129" s="61">
        <f>IFERROR(VLOOKUP(Table25[[#This Row],[Code2]],'[2]New Machine sheet'!$F$2:$I$64,2,),0)</f>
        <v>2479</v>
      </c>
      <c r="H129" s="61" t="str">
        <f>IFERROR(VLOOKUP(Table25[[#This Row],[Code2]],'[2]New Machine sheet'!$F$2:$I$64,3,0),0)</f>
        <v>RE P1</v>
      </c>
      <c r="I129" s="61" t="s">
        <v>141</v>
      </c>
      <c r="J129" s="61">
        <v>61</v>
      </c>
      <c r="K129" s="61" t="str">
        <f>IFERROR(VLOOKUP(Table25[[#This Row],[Code3]],'[2]New defect code '!$A$2:$D$129,2,0),0)</f>
        <v>Od o/s</v>
      </c>
      <c r="L129" s="61" t="s">
        <v>200</v>
      </c>
      <c r="M129" s="56">
        <v>46266</v>
      </c>
      <c r="N129" s="61">
        <v>6</v>
      </c>
      <c r="O129" s="61"/>
      <c r="P129" s="61"/>
      <c r="Q129" s="61"/>
      <c r="R129" s="61">
        <f>SUBTOTAL(9,Table25[[#This Row],[1st]:[FQC]])</f>
        <v>6</v>
      </c>
      <c r="S129" s="61">
        <f>IFERROR(VLOOKUP(Table25[[#This Row],[Part No.]],'[2]New Machine sheet'!$G$2:$I$90,3,0),0)</f>
        <v>43.11</v>
      </c>
      <c r="T129" s="61">
        <f>Table25[[#This Row],[cost per piece]]*Table25[[#This Row],[Total Rej. qty]]</f>
        <v>258.65999999999997</v>
      </c>
      <c r="U129" s="61">
        <f>IFERROR(VLOOKUP(Table25[[#This Row],[Non Conformance]],'[2]New defect code '!$B$2:$C$129,2,0),0)</f>
        <v>0</v>
      </c>
      <c r="V129" s="61">
        <v>18</v>
      </c>
      <c r="W129" s="61" t="str">
        <f>IFERROR(VLOOKUP(Table25[[#This Row],[Code4]],'[2]New Reason code'!$A$2:$D$77,2,0),0)</f>
        <v>During insert change</v>
      </c>
      <c r="X129" s="61">
        <f ca="1">#REF!+Table25[[#This Row],[Rejection Identified at]]</f>
        <v>0</v>
      </c>
      <c r="Y129" s="63">
        <f>IFERROR(VLOOKUP(Table25[[#This Row],[Reason]],Coding!A126:C183,3,0),0)</f>
        <v>0</v>
      </c>
    </row>
    <row r="130" spans="1:25" ht="20.25" customHeight="1">
      <c r="A130" s="60">
        <v>126</v>
      </c>
      <c r="B130" s="61">
        <v>22</v>
      </c>
      <c r="C130" s="61" t="str">
        <f>IFERROR(VLOOKUP(Table25[[#This Row],[Code]],'[2]New Machine sheet'!$A$1:$D$101,2,0),0)</f>
        <v>ACE-02</v>
      </c>
      <c r="D130" s="61" t="str">
        <f>IFERROR(VLOOKUP(Table25[[#This Row],[M/c No]],'[2]New Machine sheet'!$B$1:$D$101,2,0),0)</f>
        <v>Micromatic</v>
      </c>
      <c r="E130" s="61" t="str">
        <f>IFERROR(VLOOKUP(Table25[[#This Row],[M/c Name]],'[2]New Machine sheet'!$C$1:$D$101,2,0),0)</f>
        <v>Turning</v>
      </c>
      <c r="F130" s="61">
        <v>115</v>
      </c>
      <c r="G130" s="61">
        <f>IFERROR(VLOOKUP(Table25[[#This Row],[Code2]],'[2]New Machine sheet'!$F$2:$I$64,2,),0)</f>
        <v>24115</v>
      </c>
      <c r="H130" s="61" t="str">
        <f>IFERROR(VLOOKUP(Table25[[#This Row],[Code2]],'[2]New Machine sheet'!$F$2:$I$64,3,0),0)</f>
        <v>RE J1</v>
      </c>
      <c r="I130" s="61" t="s">
        <v>191</v>
      </c>
      <c r="J130" s="61">
        <v>10</v>
      </c>
      <c r="K130" s="61" t="str">
        <f>IFERROR(VLOOKUP(Table25[[#This Row],[Code3]],'[2]New defect code '!$A$2:$D$129,2,0),0)</f>
        <v xml:space="preserve">Bore u/s </v>
      </c>
      <c r="L130" s="61" t="s">
        <v>200</v>
      </c>
      <c r="M130" s="56">
        <v>46266</v>
      </c>
      <c r="N130" s="61">
        <v>1</v>
      </c>
      <c r="O130" s="61"/>
      <c r="P130" s="61"/>
      <c r="Q130" s="61"/>
      <c r="R130" s="61">
        <f>SUBTOTAL(9,Table25[[#This Row],[1st]:[FQC]])</f>
        <v>1</v>
      </c>
      <c r="S130" s="61">
        <f>IFERROR(VLOOKUP(Table25[[#This Row],[Part No.]],'[2]New Machine sheet'!$G$2:$I$90,3,0),0)</f>
        <v>66.900000000000006</v>
      </c>
      <c r="T130" s="61">
        <f>Table25[[#This Row],[cost per piece]]*Table25[[#This Row],[Total Rej. qty]]</f>
        <v>66.900000000000006</v>
      </c>
      <c r="U130" s="61">
        <f>IFERROR(VLOOKUP(Table25[[#This Row],[Non Conformance]],'[2]New defect code '!$B$2:$C$129,2,0),0)</f>
        <v>0</v>
      </c>
      <c r="V130" s="61">
        <v>18</v>
      </c>
      <c r="W130" s="61" t="str">
        <f>IFERROR(VLOOKUP(Table25[[#This Row],[Code4]],'[2]New Reason code'!$A$2:$D$77,2,0),0)</f>
        <v>During insert change</v>
      </c>
      <c r="X130" s="61">
        <f ca="1">#REF!+Table25[[#This Row],[Rejection Identified at]]</f>
        <v>0</v>
      </c>
      <c r="Y130" s="63">
        <f>IFERROR(VLOOKUP(Table25[[#This Row],[Reason]],Coding!A127:C184,3,0),0)</f>
        <v>0</v>
      </c>
    </row>
    <row r="131" spans="1:25" ht="20.25" customHeight="1">
      <c r="A131" s="50">
        <v>127</v>
      </c>
      <c r="B131" s="61">
        <v>5</v>
      </c>
      <c r="C131" s="61" t="str">
        <f>IFERROR(VLOOKUP(Table25[[#This Row],[Code]],'[2]New Machine sheet'!$A$1:$D$101,2,0),0)</f>
        <v>282-05</v>
      </c>
      <c r="D131" s="61" t="str">
        <f>IFERROR(VLOOKUP(Table25[[#This Row],[M/c No]],'[2]New Machine sheet'!$B$1:$D$101,2,0),0)</f>
        <v>Mazak</v>
      </c>
      <c r="E131" s="61" t="str">
        <f>IFERROR(VLOOKUP(Table25[[#This Row],[M/c Name]],'[2]New Machine sheet'!$C$1:$D$101,2,0),0)</f>
        <v>Turning</v>
      </c>
      <c r="F131" s="61">
        <v>119</v>
      </c>
      <c r="G131" s="61">
        <f>IFERROR(VLOOKUP(Table25[[#This Row],[Code2]],'[2]New Machine sheet'!$F$2:$I$64,2,),0)</f>
        <v>24119</v>
      </c>
      <c r="H131" s="61" t="str">
        <f>IFERROR(VLOOKUP(Table25[[#This Row],[Code2]],'[2]New Machine sheet'!$F$2:$I$64,3,0),0)</f>
        <v>RE J1</v>
      </c>
      <c r="I131" s="61" t="s">
        <v>154</v>
      </c>
      <c r="J131" s="61">
        <v>10</v>
      </c>
      <c r="K131" s="61" t="str">
        <f>IFERROR(VLOOKUP(Table25[[#This Row],[Code3]],'[2]New defect code '!$A$2:$D$129,2,0),0)</f>
        <v xml:space="preserve">Bore u/s </v>
      </c>
      <c r="L131" s="61" t="s">
        <v>200</v>
      </c>
      <c r="M131" s="56">
        <v>46266</v>
      </c>
      <c r="N131" s="61">
        <v>1</v>
      </c>
      <c r="O131" s="61"/>
      <c r="P131" s="61"/>
      <c r="Q131" s="61"/>
      <c r="R131" s="61">
        <f>SUBTOTAL(9,Table25[[#This Row],[1st]:[FQC]])</f>
        <v>1</v>
      </c>
      <c r="S131" s="61">
        <f>IFERROR(VLOOKUP(Table25[[#This Row],[Part No.]],'[2]New Machine sheet'!$G$2:$I$90,3,0),0)</f>
        <v>103.2</v>
      </c>
      <c r="T131" s="61">
        <f>Table25[[#This Row],[cost per piece]]*Table25[[#This Row],[Total Rej. qty]]</f>
        <v>103.2</v>
      </c>
      <c r="U131" s="61">
        <f>IFERROR(VLOOKUP(Table25[[#This Row],[Non Conformance]],'[2]New defect code '!$B$2:$C$129,2,0),0)</f>
        <v>0</v>
      </c>
      <c r="V131" s="61">
        <v>51</v>
      </c>
      <c r="W131" s="61" t="str">
        <f>IFERROR(VLOOKUP(Table25[[#This Row],[Code4]],'[2]New Reason code'!$A$2:$D$77,2,0),0)</f>
        <v>Size veriation on m/c</v>
      </c>
      <c r="X131" s="61">
        <f ca="1">#REF!+Table25[[#This Row],[Rejection Identified at]]</f>
        <v>0</v>
      </c>
      <c r="Y131" s="63">
        <f>IFERROR(VLOOKUP(Table25[[#This Row],[Reason]],Coding!A128:C185,3,0),0)</f>
        <v>0</v>
      </c>
    </row>
    <row r="132" spans="1:25" ht="20.25" customHeight="1">
      <c r="A132" s="60">
        <v>128</v>
      </c>
      <c r="B132" s="61">
        <v>39</v>
      </c>
      <c r="C132" s="61" t="str">
        <f>IFERROR(VLOOKUP(Table25[[#This Row],[Code]],'[2]New Machine sheet'!$A$1:$D$101,2,0),0)</f>
        <v>ACE-19</v>
      </c>
      <c r="D132" s="61" t="str">
        <f>IFERROR(VLOOKUP(Table25[[#This Row],[M/c No]],'[2]New Machine sheet'!$B$1:$D$101,2,0),0)</f>
        <v>Micromatic</v>
      </c>
      <c r="E132" s="61" t="str">
        <f>IFERROR(VLOOKUP(Table25[[#This Row],[M/c Name]],'[2]New Machine sheet'!$C$1:$D$101,2,0),0)</f>
        <v>Turning</v>
      </c>
      <c r="F132" s="61">
        <v>117</v>
      </c>
      <c r="G132" s="61">
        <f>IFERROR(VLOOKUP(Table25[[#This Row],[Code2]],'[2]New Machine sheet'!$F$2:$I$64,2,),0)</f>
        <v>24117</v>
      </c>
      <c r="H132" s="61" t="str">
        <f>IFERROR(VLOOKUP(Table25[[#This Row],[Code2]],'[2]New Machine sheet'!$F$2:$I$64,3,0),0)</f>
        <v>RE J1</v>
      </c>
      <c r="I132" s="61" t="s">
        <v>174</v>
      </c>
      <c r="J132" s="61">
        <v>41</v>
      </c>
      <c r="K132" s="61" t="str">
        <f>IFERROR(VLOOKUP(Table25[[#This Row],[Code3]],'[2]New defect code '!$A$2:$D$129,2,0),0)</f>
        <v>Face Less metal</v>
      </c>
      <c r="L132" s="61" t="s">
        <v>200</v>
      </c>
      <c r="M132" s="56">
        <v>46266</v>
      </c>
      <c r="N132" s="61">
        <v>1</v>
      </c>
      <c r="O132" s="61"/>
      <c r="P132" s="61"/>
      <c r="Q132" s="61"/>
      <c r="R132" s="61">
        <f>SUBTOTAL(9,Table25[[#This Row],[1st]:[FQC]])</f>
        <v>1</v>
      </c>
      <c r="S132" s="61">
        <f>IFERROR(VLOOKUP(Table25[[#This Row],[Part No.]],'[2]New Machine sheet'!$G$2:$I$90,3,0),0)</f>
        <v>111.97</v>
      </c>
      <c r="T132" s="61">
        <f>Table25[[#This Row],[cost per piece]]*Table25[[#This Row],[Total Rej. qty]]</f>
        <v>111.97</v>
      </c>
      <c r="U132" s="61">
        <f>IFERROR(VLOOKUP(Table25[[#This Row],[Non Conformance]],'[2]New defect code '!$B$2:$C$129,2,0),0)</f>
        <v>3259</v>
      </c>
      <c r="V132" s="61">
        <v>18</v>
      </c>
      <c r="W132" s="61" t="str">
        <f>IFERROR(VLOOKUP(Table25[[#This Row],[Code4]],'[2]New Reason code'!$A$2:$D$77,2,0),0)</f>
        <v>During insert change</v>
      </c>
      <c r="X132" s="61">
        <f ca="1">#REF!+Table25[[#This Row],[Rejection Identified at]]</f>
        <v>0</v>
      </c>
      <c r="Y132" s="63">
        <f>IFERROR(VLOOKUP(Table25[[#This Row],[Reason]],Coding!A129:C186,3,0),0)</f>
        <v>0</v>
      </c>
    </row>
    <row r="133" spans="1:25" ht="20.25" customHeight="1">
      <c r="A133" s="50">
        <v>129</v>
      </c>
      <c r="B133" s="61">
        <v>3</v>
      </c>
      <c r="C133" s="61" t="str">
        <f>IFERROR(VLOOKUP(Table25[[#This Row],[Code]],'[2]New Machine sheet'!$A$1:$D$101,2,0),0)</f>
        <v>282-03</v>
      </c>
      <c r="D133" s="61" t="str">
        <f>IFERROR(VLOOKUP(Table25[[#This Row],[M/c No]],'[2]New Machine sheet'!$B$1:$D$101,2,0),0)</f>
        <v>Mazak</v>
      </c>
      <c r="E133" s="61" t="str">
        <f>IFERROR(VLOOKUP(Table25[[#This Row],[M/c Name]],'[2]New Machine sheet'!$C$1:$D$101,2,0),0)</f>
        <v>Turning</v>
      </c>
      <c r="F133" s="61">
        <v>178</v>
      </c>
      <c r="G133" s="61">
        <f>IFERROR(VLOOKUP(Table25[[#This Row],[Code2]],'[2]New Machine sheet'!$F$2:$I$64,2,),0)</f>
        <v>24178</v>
      </c>
      <c r="H133" s="61" t="str">
        <f>IFERROR(VLOOKUP(Table25[[#This Row],[Code2]],'[2]New Machine sheet'!$F$2:$I$64,3,0),0)</f>
        <v>RE J1</v>
      </c>
      <c r="I133" s="61" t="s">
        <v>196</v>
      </c>
      <c r="J133" s="61">
        <v>71</v>
      </c>
      <c r="K133" s="61" t="str">
        <f>IFERROR(VLOOKUP(Table25[[#This Row],[Code3]],'[2]New defect code '!$A$2:$D$129,2,0),0)</f>
        <v>PG go not qualify</v>
      </c>
      <c r="L133" s="61" t="s">
        <v>200</v>
      </c>
      <c r="M133" s="56">
        <v>46266</v>
      </c>
      <c r="N133" s="61">
        <v>3</v>
      </c>
      <c r="O133" s="61"/>
      <c r="P133" s="61"/>
      <c r="Q133" s="61"/>
      <c r="R133" s="61">
        <f>SUBTOTAL(9,Table25[[#This Row],[1st]:[FQC]])</f>
        <v>3</v>
      </c>
      <c r="S133" s="61">
        <f>IFERROR(VLOOKUP(Table25[[#This Row],[Part No.]],'[2]New Machine sheet'!$G$2:$I$90,3,0),0)</f>
        <v>70.62</v>
      </c>
      <c r="T133" s="61">
        <f>Table25[[#This Row],[cost per piece]]*Table25[[#This Row],[Total Rej. qty]]</f>
        <v>211.86</v>
      </c>
      <c r="U133" s="61">
        <f>IFERROR(VLOOKUP(Table25[[#This Row],[Non Conformance]],'[2]New defect code '!$B$2:$C$129,2,0),0)</f>
        <v>0</v>
      </c>
      <c r="V133" s="61">
        <v>45</v>
      </c>
      <c r="W133" s="61" t="str">
        <f>IFERROR(VLOOKUP(Table25[[#This Row],[Code4]],'[2]New Reason code'!$A$2:$D$77,2,0),0)</f>
        <v>Running m/c</v>
      </c>
      <c r="X133" s="61">
        <f ca="1">#REF!+Table25[[#This Row],[Rejection Identified at]]</f>
        <v>0</v>
      </c>
      <c r="Y133" s="63">
        <f>IFERROR(VLOOKUP(Table25[[#This Row],[Reason]],Coding!A130:C187,3,0),0)</f>
        <v>0</v>
      </c>
    </row>
    <row r="134" spans="1:25" ht="20.25" customHeight="1">
      <c r="A134" s="60">
        <v>130</v>
      </c>
      <c r="B134" s="61">
        <v>4</v>
      </c>
      <c r="C134" s="61" t="str">
        <f>IFERROR(VLOOKUP(Table25[[#This Row],[Code]],'[2]New Machine sheet'!$A$1:$D$101,2,0),0)</f>
        <v>282-04</v>
      </c>
      <c r="D134" s="61" t="str">
        <f>IFERROR(VLOOKUP(Table25[[#This Row],[M/c No]],'[2]New Machine sheet'!$B$1:$D$101,2,0),0)</f>
        <v>Mazak</v>
      </c>
      <c r="E134" s="61" t="str">
        <f>IFERROR(VLOOKUP(Table25[[#This Row],[M/c Name]],'[2]New Machine sheet'!$C$1:$D$101,2,0),0)</f>
        <v>Turning</v>
      </c>
      <c r="F134" s="61">
        <v>122</v>
      </c>
      <c r="G134" s="61">
        <f>IFERROR(VLOOKUP(Table25[[#This Row],[Code2]],'[2]New Machine sheet'!$F$2:$I$64,2,),0)</f>
        <v>24122</v>
      </c>
      <c r="H134" s="61" t="str">
        <f>IFERROR(VLOOKUP(Table25[[#This Row],[Code2]],'[2]New Machine sheet'!$F$2:$I$64,3,0),0)</f>
        <v>RE J1</v>
      </c>
      <c r="I134" s="61" t="s">
        <v>130</v>
      </c>
      <c r="J134" s="61">
        <v>41</v>
      </c>
      <c r="K134" s="61" t="str">
        <f>IFERROR(VLOOKUP(Table25[[#This Row],[Code3]],'[2]New defect code '!$A$2:$D$129,2,0),0)</f>
        <v>Face Less metal</v>
      </c>
      <c r="L134" s="61" t="s">
        <v>200</v>
      </c>
      <c r="M134" s="56">
        <v>46266</v>
      </c>
      <c r="N134" s="61">
        <v>1</v>
      </c>
      <c r="O134" s="61"/>
      <c r="P134" s="61"/>
      <c r="Q134" s="61"/>
      <c r="R134" s="61">
        <f>SUBTOTAL(9,Table25[[#This Row],[1st]:[FQC]])</f>
        <v>1</v>
      </c>
      <c r="S134" s="61">
        <f>IFERROR(VLOOKUP(Table25[[#This Row],[Part No.]],'[2]New Machine sheet'!$G$2:$I$90,3,0),0)</f>
        <v>335.39977528089889</v>
      </c>
      <c r="T134" s="61">
        <f>Table25[[#This Row],[cost per piece]]*Table25[[#This Row],[Total Rej. qty]]</f>
        <v>335.39977528089889</v>
      </c>
      <c r="U134" s="61">
        <f>IFERROR(VLOOKUP(Table25[[#This Row],[Non Conformance]],'[2]New defect code '!$B$2:$C$129,2,0),0)</f>
        <v>3259</v>
      </c>
      <c r="V134" s="61">
        <v>45</v>
      </c>
      <c r="W134" s="61" t="str">
        <f>IFERROR(VLOOKUP(Table25[[#This Row],[Code4]],'[2]New Reason code'!$A$2:$D$77,2,0),0)</f>
        <v>Running m/c</v>
      </c>
      <c r="X134" s="61">
        <f ca="1">#REF!+Table25[[#This Row],[Rejection Identified at]]</f>
        <v>0</v>
      </c>
      <c r="Y134" s="63">
        <f>IFERROR(VLOOKUP(Table25[[#This Row],[Reason]],Coding!A131:C188,3,0),0)</f>
        <v>0</v>
      </c>
    </row>
    <row r="135" spans="1:25" ht="20.25" customHeight="1">
      <c r="A135" s="50">
        <v>131</v>
      </c>
      <c r="B135" s="61">
        <v>20</v>
      </c>
      <c r="C135" s="61" t="str">
        <f>IFERROR(VLOOKUP(Table25[[#This Row],[Code]],'[2]New Machine sheet'!$A$1:$D$101,2,0),0)</f>
        <v>282-20</v>
      </c>
      <c r="D135" s="61" t="str">
        <f>IFERROR(VLOOKUP(Table25[[#This Row],[M/c No]],'[2]New Machine sheet'!$B$1:$D$101,2,0),0)</f>
        <v>Mazak</v>
      </c>
      <c r="E135" s="61" t="str">
        <f>IFERROR(VLOOKUP(Table25[[#This Row],[M/c Name]],'[2]New Machine sheet'!$C$1:$D$101,2,0),0)</f>
        <v>Turning</v>
      </c>
      <c r="F135" s="61">
        <v>115</v>
      </c>
      <c r="G135" s="61">
        <f>IFERROR(VLOOKUP(Table25[[#This Row],[Code2]],'[2]New Machine sheet'!$F$2:$I$64,2,),0)</f>
        <v>24115</v>
      </c>
      <c r="H135" s="61" t="str">
        <f>IFERROR(VLOOKUP(Table25[[#This Row],[Code2]],'[2]New Machine sheet'!$F$2:$I$64,3,0),0)</f>
        <v>RE J1</v>
      </c>
      <c r="I135" s="61" t="s">
        <v>191</v>
      </c>
      <c r="J135" s="61">
        <v>10</v>
      </c>
      <c r="K135" s="61" t="str">
        <f>IFERROR(VLOOKUP(Table25[[#This Row],[Code3]],'[2]New defect code '!$A$2:$D$129,2,0),0)</f>
        <v xml:space="preserve">Bore u/s </v>
      </c>
      <c r="L135" s="61" t="s">
        <v>200</v>
      </c>
      <c r="M135" s="56">
        <v>46266</v>
      </c>
      <c r="N135" s="61">
        <v>5</v>
      </c>
      <c r="O135" s="61"/>
      <c r="P135" s="61"/>
      <c r="Q135" s="61"/>
      <c r="R135" s="61">
        <f>SUBTOTAL(9,Table25[[#This Row],[1st]:[FQC]])</f>
        <v>5</v>
      </c>
      <c r="S135" s="61">
        <f>IFERROR(VLOOKUP(Table25[[#This Row],[Part No.]],'[2]New Machine sheet'!$G$2:$I$90,3,0),0)</f>
        <v>66.900000000000006</v>
      </c>
      <c r="T135" s="61">
        <f>Table25[[#This Row],[cost per piece]]*Table25[[#This Row],[Total Rej. qty]]</f>
        <v>334.5</v>
      </c>
      <c r="U135" s="61">
        <f>IFERROR(VLOOKUP(Table25[[#This Row],[Non Conformance]],'[2]New defect code '!$B$2:$C$129,2,0),0)</f>
        <v>0</v>
      </c>
      <c r="V135" s="61">
        <v>45</v>
      </c>
      <c r="W135" s="61" t="str">
        <f>IFERROR(VLOOKUP(Table25[[#This Row],[Code4]],'[2]New Reason code'!$A$2:$D$77,2,0),0)</f>
        <v>Running m/c</v>
      </c>
      <c r="X135" s="61">
        <f ca="1">#REF!+Table25[[#This Row],[Rejection Identified at]]</f>
        <v>0</v>
      </c>
      <c r="Y135" s="63">
        <f>IFERROR(VLOOKUP(Table25[[#This Row],[Reason]],Coding!A132:C189,3,0),0)</f>
        <v>0</v>
      </c>
    </row>
    <row r="136" spans="1:25" ht="20.25" customHeight="1">
      <c r="A136" s="60">
        <v>132</v>
      </c>
      <c r="B136" s="61">
        <v>17</v>
      </c>
      <c r="C136" s="61" t="str">
        <f>IFERROR(VLOOKUP(Table25[[#This Row],[Code]],'[2]New Machine sheet'!$A$1:$D$101,2,0),0)</f>
        <v>282-17</v>
      </c>
      <c r="D136" s="61" t="str">
        <f>IFERROR(VLOOKUP(Table25[[#This Row],[M/c No]],'[2]New Machine sheet'!$B$1:$D$101,2,0),0)</f>
        <v>Mazak</v>
      </c>
      <c r="E136" s="61" t="str">
        <f>IFERROR(VLOOKUP(Table25[[#This Row],[M/c Name]],'[2]New Machine sheet'!$C$1:$D$101,2,0),0)</f>
        <v>Turning</v>
      </c>
      <c r="F136" s="61">
        <v>113</v>
      </c>
      <c r="G136" s="61">
        <f>IFERROR(VLOOKUP(Table25[[#This Row],[Code2]],'[2]New Machine sheet'!$F$2:$I$64,2,),0)</f>
        <v>24113</v>
      </c>
      <c r="H136" s="61" t="str">
        <f>IFERROR(VLOOKUP(Table25[[#This Row],[Code2]],'[2]New Machine sheet'!$F$2:$I$64,3,0),0)</f>
        <v>RE J1</v>
      </c>
      <c r="I136" s="61" t="s">
        <v>126</v>
      </c>
      <c r="J136" s="61">
        <v>10</v>
      </c>
      <c r="K136" s="61" t="str">
        <f>IFERROR(VLOOKUP(Table25[[#This Row],[Code3]],'[2]New defect code '!$A$2:$D$129,2,0),0)</f>
        <v xml:space="preserve">Bore u/s </v>
      </c>
      <c r="L136" s="61" t="s">
        <v>200</v>
      </c>
      <c r="M136" s="56">
        <v>46266</v>
      </c>
      <c r="N136" s="61">
        <v>3</v>
      </c>
      <c r="O136" s="61"/>
      <c r="P136" s="61"/>
      <c r="Q136" s="61"/>
      <c r="R136" s="61">
        <f>SUBTOTAL(9,Table25[[#This Row],[1st]:[FQC]])</f>
        <v>3</v>
      </c>
      <c r="S136" s="61">
        <f>IFERROR(VLOOKUP(Table25[[#This Row],[Part No.]],'[2]New Machine sheet'!$G$2:$I$90,3,0),0)</f>
        <v>90</v>
      </c>
      <c r="T136" s="61">
        <f>Table25[[#This Row],[cost per piece]]*Table25[[#This Row],[Total Rej. qty]]</f>
        <v>270</v>
      </c>
      <c r="U136" s="61">
        <f>IFERROR(VLOOKUP(Table25[[#This Row],[Non Conformance]],'[2]New defect code '!$B$2:$C$129,2,0),0)</f>
        <v>0</v>
      </c>
      <c r="V136" s="61">
        <v>45</v>
      </c>
      <c r="W136" s="61" t="str">
        <f>IFERROR(VLOOKUP(Table25[[#This Row],[Code4]],'[2]New Reason code'!$A$2:$D$77,2,0),0)</f>
        <v>Running m/c</v>
      </c>
      <c r="X136" s="61">
        <f ca="1">#REF!+Table25[[#This Row],[Rejection Identified at]]</f>
        <v>0</v>
      </c>
      <c r="Y136" s="63">
        <f>IFERROR(VLOOKUP(Table25[[#This Row],[Reason]],Coding!A133:C190,3,0),0)</f>
        <v>0</v>
      </c>
    </row>
    <row r="137" spans="1:25" ht="20.25" customHeight="1">
      <c r="A137" s="50">
        <v>133</v>
      </c>
      <c r="B137" s="61">
        <v>35</v>
      </c>
      <c r="C137" s="61" t="str">
        <f>IFERROR(VLOOKUP(Table25[[#This Row],[Code]],'[2]New Machine sheet'!$A$1:$D$101,2,0),0)</f>
        <v>ACE-15</v>
      </c>
      <c r="D137" s="61" t="str">
        <f>IFERROR(VLOOKUP(Table25[[#This Row],[M/c No]],'[2]New Machine sheet'!$B$1:$D$101,2,0),0)</f>
        <v>Micromatic</v>
      </c>
      <c r="E137" s="61" t="str">
        <f>IFERROR(VLOOKUP(Table25[[#This Row],[M/c Name]],'[2]New Machine sheet'!$C$1:$D$101,2,0),0)</f>
        <v>Turning</v>
      </c>
      <c r="F137" s="61">
        <v>113</v>
      </c>
      <c r="G137" s="61">
        <f>IFERROR(VLOOKUP(Table25[[#This Row],[Code2]],'[2]New Machine sheet'!$F$2:$I$64,2,),0)</f>
        <v>24113</v>
      </c>
      <c r="H137" s="61" t="str">
        <f>IFERROR(VLOOKUP(Table25[[#This Row],[Code2]],'[2]New Machine sheet'!$F$2:$I$64,3,0),0)</f>
        <v>RE J1</v>
      </c>
      <c r="I137" s="61" t="s">
        <v>126</v>
      </c>
      <c r="J137" s="61">
        <v>10</v>
      </c>
      <c r="K137" s="61" t="str">
        <f>IFERROR(VLOOKUP(Table25[[#This Row],[Code3]],'[2]New defect code '!$A$2:$D$129,2,0),0)</f>
        <v xml:space="preserve">Bore u/s </v>
      </c>
      <c r="L137" s="61" t="s">
        <v>200</v>
      </c>
      <c r="M137" s="56">
        <v>46266</v>
      </c>
      <c r="N137" s="61">
        <v>2</v>
      </c>
      <c r="O137" s="61"/>
      <c r="P137" s="61"/>
      <c r="Q137" s="61"/>
      <c r="R137" s="61">
        <f>SUBTOTAL(9,Table25[[#This Row],[1st]:[FQC]])</f>
        <v>2</v>
      </c>
      <c r="S137" s="61">
        <f>IFERROR(VLOOKUP(Table25[[#This Row],[Part No.]],'[2]New Machine sheet'!$G$2:$I$90,3,0),0)</f>
        <v>90</v>
      </c>
      <c r="T137" s="61">
        <f>Table25[[#This Row],[cost per piece]]*Table25[[#This Row],[Total Rej. qty]]</f>
        <v>180</v>
      </c>
      <c r="U137" s="61">
        <f>IFERROR(VLOOKUP(Table25[[#This Row],[Non Conformance]],'[2]New defect code '!$B$2:$C$129,2,0),0)</f>
        <v>0</v>
      </c>
      <c r="V137" s="61">
        <v>45</v>
      </c>
      <c r="W137" s="61" t="str">
        <f>IFERROR(VLOOKUP(Table25[[#This Row],[Code4]],'[2]New Reason code'!$A$2:$D$77,2,0),0)</f>
        <v>Running m/c</v>
      </c>
      <c r="X137" s="61">
        <f ca="1">#REF!+Table25[[#This Row],[Rejection Identified at]]</f>
        <v>0</v>
      </c>
      <c r="Y137" s="63">
        <f>IFERROR(VLOOKUP(Table25[[#This Row],[Reason]],Coding!A134:C191,3,0),0)</f>
        <v>0</v>
      </c>
    </row>
    <row r="138" spans="1:25" ht="20.25" customHeight="1">
      <c r="A138" s="60">
        <v>134</v>
      </c>
      <c r="B138" s="61">
        <v>35</v>
      </c>
      <c r="C138" s="61" t="str">
        <f>IFERROR(VLOOKUP(Table25[[#This Row],[Code]],'[2]New Machine sheet'!$A$1:$D$101,2,0),0)</f>
        <v>ACE-15</v>
      </c>
      <c r="D138" s="61" t="str">
        <f>IFERROR(VLOOKUP(Table25[[#This Row],[M/c No]],'[2]New Machine sheet'!$B$1:$D$101,2,0),0)</f>
        <v>Micromatic</v>
      </c>
      <c r="E138" s="61" t="str">
        <f>IFERROR(VLOOKUP(Table25[[#This Row],[M/c Name]],'[2]New Machine sheet'!$C$1:$D$101,2,0),0)</f>
        <v>Turning</v>
      </c>
      <c r="F138" s="61">
        <v>113</v>
      </c>
      <c r="G138" s="61">
        <f>IFERROR(VLOOKUP(Table25[[#This Row],[Code2]],'[2]New Machine sheet'!$F$2:$I$64,2,),0)</f>
        <v>24113</v>
      </c>
      <c r="H138" s="61" t="str">
        <f>IFERROR(VLOOKUP(Table25[[#This Row],[Code2]],'[2]New Machine sheet'!$F$2:$I$64,3,0),0)</f>
        <v>RE J1</v>
      </c>
      <c r="I138" s="61" t="s">
        <v>126</v>
      </c>
      <c r="J138" s="61">
        <v>41</v>
      </c>
      <c r="K138" s="61" t="str">
        <f>IFERROR(VLOOKUP(Table25[[#This Row],[Code3]],'[2]New defect code '!$A$2:$D$129,2,0),0)</f>
        <v>Face Less metal</v>
      </c>
      <c r="L138" s="61" t="s">
        <v>200</v>
      </c>
      <c r="M138" s="56">
        <v>46266</v>
      </c>
      <c r="N138" s="61">
        <v>5</v>
      </c>
      <c r="O138" s="61"/>
      <c r="P138" s="61"/>
      <c r="Q138" s="61"/>
      <c r="R138" s="61">
        <f>SUBTOTAL(9,Table25[[#This Row],[1st]:[FQC]])</f>
        <v>5</v>
      </c>
      <c r="S138" s="61">
        <f>IFERROR(VLOOKUP(Table25[[#This Row],[Part No.]],'[2]New Machine sheet'!$G$2:$I$90,3,0),0)</f>
        <v>90</v>
      </c>
      <c r="T138" s="61">
        <f>Table25[[#This Row],[cost per piece]]*Table25[[#This Row],[Total Rej. qty]]</f>
        <v>450</v>
      </c>
      <c r="U138" s="61">
        <f>IFERROR(VLOOKUP(Table25[[#This Row],[Non Conformance]],'[2]New defect code '!$B$2:$C$129,2,0),0)</f>
        <v>3259</v>
      </c>
      <c r="V138" s="61">
        <v>45</v>
      </c>
      <c r="W138" s="61" t="str">
        <f>IFERROR(VLOOKUP(Table25[[#This Row],[Code4]],'[2]New Reason code'!$A$2:$D$77,2,0),0)</f>
        <v>Running m/c</v>
      </c>
      <c r="X138" s="61">
        <f ca="1">#REF!+Table25[[#This Row],[Rejection Identified at]]</f>
        <v>0</v>
      </c>
      <c r="Y138" s="63">
        <f>IFERROR(VLOOKUP(Table25[[#This Row],[Reason]],Coding!A135:C192,3,0),0)</f>
        <v>0</v>
      </c>
    </row>
    <row r="139" spans="1:25" ht="20.25" customHeight="1">
      <c r="A139" s="50">
        <v>135</v>
      </c>
      <c r="B139" s="61">
        <v>8</v>
      </c>
      <c r="C139" s="61" t="str">
        <f>IFERROR(VLOOKUP(Table25[[#This Row],[Code]],'[2]New Machine sheet'!$A$1:$D$101,2,0),0)</f>
        <v>282-08</v>
      </c>
      <c r="D139" s="61" t="str">
        <f>IFERROR(VLOOKUP(Table25[[#This Row],[M/c No]],'[2]New Machine sheet'!$B$1:$D$101,2,0),0)</f>
        <v>Mazak</v>
      </c>
      <c r="E139" s="61" t="str">
        <f>IFERROR(VLOOKUP(Table25[[#This Row],[M/c Name]],'[2]New Machine sheet'!$C$1:$D$101,2,0),0)</f>
        <v>Turning</v>
      </c>
      <c r="F139" s="61">
        <v>117</v>
      </c>
      <c r="G139" s="61">
        <f>IFERROR(VLOOKUP(Table25[[#This Row],[Code2]],'[2]New Machine sheet'!$F$2:$I$64,2,),0)</f>
        <v>24117</v>
      </c>
      <c r="H139" s="61" t="str">
        <f>IFERROR(VLOOKUP(Table25[[#This Row],[Code2]],'[2]New Machine sheet'!$F$2:$I$64,3,0),0)</f>
        <v>RE J1</v>
      </c>
      <c r="I139" s="61" t="s">
        <v>126</v>
      </c>
      <c r="J139" s="61">
        <v>10</v>
      </c>
      <c r="K139" s="61" t="str">
        <f>IFERROR(VLOOKUP(Table25[[#This Row],[Code3]],'[2]New defect code '!$A$2:$D$129,2,0),0)</f>
        <v xml:space="preserve">Bore u/s </v>
      </c>
      <c r="L139" s="61" t="s">
        <v>200</v>
      </c>
      <c r="M139" s="56">
        <v>46266</v>
      </c>
      <c r="N139" s="61">
        <v>1</v>
      </c>
      <c r="O139" s="61"/>
      <c r="P139" s="61"/>
      <c r="Q139" s="61"/>
      <c r="R139" s="61">
        <f>SUBTOTAL(9,Table25[[#This Row],[1st]:[FQC]])</f>
        <v>1</v>
      </c>
      <c r="S139" s="61">
        <f>IFERROR(VLOOKUP(Table25[[#This Row],[Part No.]],'[2]New Machine sheet'!$G$2:$I$90,3,0),0)</f>
        <v>111.97</v>
      </c>
      <c r="T139" s="61">
        <f>Table25[[#This Row],[cost per piece]]*Table25[[#This Row],[Total Rej. qty]]</f>
        <v>111.97</v>
      </c>
      <c r="U139" s="61">
        <f>IFERROR(VLOOKUP(Table25[[#This Row],[Non Conformance]],'[2]New defect code '!$B$2:$C$129,2,0),0)</f>
        <v>0</v>
      </c>
      <c r="V139" s="61">
        <v>18</v>
      </c>
      <c r="W139" s="61" t="str">
        <f>IFERROR(VLOOKUP(Table25[[#This Row],[Code4]],'[2]New Reason code'!$A$2:$D$77,2,0),0)</f>
        <v>During insert change</v>
      </c>
      <c r="X139" s="61">
        <f ca="1">#REF!+Table25[[#This Row],[Rejection Identified at]]</f>
        <v>0</v>
      </c>
      <c r="Y139" s="63">
        <f>IFERROR(VLOOKUP(Table25[[#This Row],[Reason]],Coding!A136:C193,3,0),0)</f>
        <v>0</v>
      </c>
    </row>
    <row r="140" spans="1:25" ht="20.25" customHeight="1">
      <c r="A140" s="60">
        <v>136</v>
      </c>
      <c r="B140" s="61">
        <v>10</v>
      </c>
      <c r="C140" s="61" t="str">
        <f>IFERROR(VLOOKUP(Table25[[#This Row],[Code]],'[2]New Machine sheet'!$A$1:$D$101,2,0),0)</f>
        <v>282-10</v>
      </c>
      <c r="D140" s="61" t="str">
        <f>IFERROR(VLOOKUP(Table25[[#This Row],[M/c No]],'[2]New Machine sheet'!$B$1:$D$101,2,0),0)</f>
        <v>Mazak</v>
      </c>
      <c r="E140" s="61" t="str">
        <f>IFERROR(VLOOKUP(Table25[[#This Row],[M/c Name]],'[2]New Machine sheet'!$C$1:$D$101,2,0),0)</f>
        <v>Turning</v>
      </c>
      <c r="F140" s="61">
        <v>155</v>
      </c>
      <c r="G140" s="61">
        <f>IFERROR(VLOOKUP(Table25[[#This Row],[Code2]],'[2]New Machine sheet'!$F$2:$I$64,2,),0)</f>
        <v>24155</v>
      </c>
      <c r="H140" s="61" t="str">
        <f>IFERROR(VLOOKUP(Table25[[#This Row],[Code2]],'[2]New Machine sheet'!$F$2:$I$64,3,0),0)</f>
        <v>RE J1</v>
      </c>
      <c r="I140" s="61" t="s">
        <v>127</v>
      </c>
      <c r="J140" s="61">
        <v>49</v>
      </c>
      <c r="K140" s="61" t="str">
        <f>IFERROR(VLOOKUP(Table25[[#This Row],[Code3]],'[2]New defect code '!$A$2:$D$129,2,0),0)</f>
        <v>Thickness over size</v>
      </c>
      <c r="L140" s="61" t="s">
        <v>200</v>
      </c>
      <c r="M140" s="56">
        <v>46266</v>
      </c>
      <c r="N140" s="61">
        <v>9</v>
      </c>
      <c r="O140" s="61"/>
      <c r="P140" s="61"/>
      <c r="Q140" s="61"/>
      <c r="R140" s="61">
        <f>SUBTOTAL(9,Table25[[#This Row],[1st]:[FQC]])</f>
        <v>9</v>
      </c>
      <c r="S140" s="61">
        <f>IFERROR(VLOOKUP(Table25[[#This Row],[Part No.]],'[2]New Machine sheet'!$G$2:$I$90,3,0),0)</f>
        <v>107.67</v>
      </c>
      <c r="T140" s="61">
        <f>Table25[[#This Row],[cost per piece]]*Table25[[#This Row],[Total Rej. qty]]</f>
        <v>969.03</v>
      </c>
      <c r="U140" s="61">
        <f>IFERROR(VLOOKUP(Table25[[#This Row],[Non Conformance]],'[2]New defect code '!$B$2:$C$129,2,0),0)</f>
        <v>0</v>
      </c>
      <c r="V140" s="61">
        <v>17</v>
      </c>
      <c r="W140" s="61" t="str">
        <f>IFERROR(VLOOKUP(Table25[[#This Row],[Code4]],'[2]New Reason code'!$A$2:$D$77,2,0),0)</f>
        <v>during insert broken</v>
      </c>
      <c r="X140" s="61">
        <f ca="1">#REF!+Table25[[#This Row],[Rejection Identified at]]</f>
        <v>0</v>
      </c>
      <c r="Y140" s="63">
        <f>IFERROR(VLOOKUP(Table25[[#This Row],[Reason]],Coding!A137:C194,3,0),0)</f>
        <v>0</v>
      </c>
    </row>
    <row r="141" spans="1:25" ht="20.25" customHeight="1">
      <c r="A141" s="50">
        <v>137</v>
      </c>
      <c r="B141" s="61">
        <v>11</v>
      </c>
      <c r="C141" s="61" t="str">
        <f>IFERROR(VLOOKUP(Table25[[#This Row],[Code]],'[2]New Machine sheet'!$A$1:$D$101,2,0),0)</f>
        <v>282-11</v>
      </c>
      <c r="D141" s="61" t="str">
        <f>IFERROR(VLOOKUP(Table25[[#This Row],[M/c No]],'[2]New Machine sheet'!$B$1:$D$101,2,0),0)</f>
        <v>Mazak</v>
      </c>
      <c r="E141" s="61" t="str">
        <f>IFERROR(VLOOKUP(Table25[[#This Row],[M/c Name]],'[2]New Machine sheet'!$C$1:$D$101,2,0),0)</f>
        <v>Turning</v>
      </c>
      <c r="F141" s="61">
        <v>121</v>
      </c>
      <c r="G141" s="61">
        <f>IFERROR(VLOOKUP(Table25[[#This Row],[Code2]],'[2]New Machine sheet'!$F$2:$I$64,2,),0)</f>
        <v>24121</v>
      </c>
      <c r="H141" s="61" t="str">
        <f>IFERROR(VLOOKUP(Table25[[#This Row],[Code2]],'[2]New Machine sheet'!$F$2:$I$64,3,0),0)</f>
        <v>RE J1</v>
      </c>
      <c r="I141" s="61" t="s">
        <v>202</v>
      </c>
      <c r="J141" s="61">
        <v>71</v>
      </c>
      <c r="K141" s="61" t="str">
        <f>IFERROR(VLOOKUP(Table25[[#This Row],[Code3]],'[2]New defect code '!$A$2:$D$129,2,0),0)</f>
        <v>PG go not qualify</v>
      </c>
      <c r="L141" s="61" t="s">
        <v>200</v>
      </c>
      <c r="M141" s="56">
        <v>46266</v>
      </c>
      <c r="N141" s="61">
        <v>1</v>
      </c>
      <c r="O141" s="61"/>
      <c r="P141" s="61"/>
      <c r="Q141" s="61"/>
      <c r="R141" s="61">
        <f>SUBTOTAL(9,Table25[[#This Row],[1st]:[FQC]])</f>
        <v>1</v>
      </c>
      <c r="S141" s="61">
        <f>IFERROR(VLOOKUP(Table25[[#This Row],[Part No.]],'[2]New Machine sheet'!$G$2:$I$90,3,0),0)</f>
        <v>135.66999999999999</v>
      </c>
      <c r="T141" s="61">
        <f>Table25[[#This Row],[cost per piece]]*Table25[[#This Row],[Total Rej. qty]]</f>
        <v>135.66999999999999</v>
      </c>
      <c r="U141" s="61">
        <f>IFERROR(VLOOKUP(Table25[[#This Row],[Non Conformance]],'[2]New defect code '!$B$2:$C$129,2,0),0)</f>
        <v>0</v>
      </c>
      <c r="V141" s="61">
        <v>18</v>
      </c>
      <c r="W141" s="61" t="str">
        <f>IFERROR(VLOOKUP(Table25[[#This Row],[Code4]],'[2]New Reason code'!$A$2:$D$77,2,0),0)</f>
        <v>During insert change</v>
      </c>
      <c r="X141" s="61">
        <f ca="1">#REF!+Table25[[#This Row],[Rejection Identified at]]</f>
        <v>0</v>
      </c>
      <c r="Y141" s="63">
        <f>IFERROR(VLOOKUP(Table25[[#This Row],[Reason]],Coding!A138:C195,3,0),0)</f>
        <v>0</v>
      </c>
    </row>
    <row r="142" spans="1:25" ht="20.25" customHeight="1">
      <c r="A142" s="60">
        <v>138</v>
      </c>
      <c r="B142" s="61">
        <v>40</v>
      </c>
      <c r="C142" s="61" t="str">
        <f>IFERROR(VLOOKUP(Table25[[#This Row],[Code]],'[2]New Machine sheet'!$A$1:$D$101,2,0),0)</f>
        <v>ACE-20</v>
      </c>
      <c r="D142" s="61" t="str">
        <f>IFERROR(VLOOKUP(Table25[[#This Row],[M/c No]],'[2]New Machine sheet'!$B$1:$D$101,2,0),0)</f>
        <v>Micromatic</v>
      </c>
      <c r="E142" s="61" t="str">
        <f>IFERROR(VLOOKUP(Table25[[#This Row],[M/c Name]],'[2]New Machine sheet'!$C$1:$D$101,2,0),0)</f>
        <v>Turning</v>
      </c>
      <c r="F142" s="61">
        <v>122</v>
      </c>
      <c r="G142" s="61">
        <f>IFERROR(VLOOKUP(Table25[[#This Row],[Code2]],'[2]New Machine sheet'!$F$2:$I$64,2,),0)</f>
        <v>24122</v>
      </c>
      <c r="H142" s="61" t="str">
        <f>IFERROR(VLOOKUP(Table25[[#This Row],[Code2]],'[2]New Machine sheet'!$F$2:$I$64,3,0),0)</f>
        <v>RE J1</v>
      </c>
      <c r="I142" s="61" t="s">
        <v>192</v>
      </c>
      <c r="J142" s="61">
        <v>61</v>
      </c>
      <c r="K142" s="61" t="str">
        <f>IFERROR(VLOOKUP(Table25[[#This Row],[Code3]],'[2]New defect code '!$A$2:$D$129,2,0),0)</f>
        <v>Od o/s</v>
      </c>
      <c r="L142" s="61" t="s">
        <v>200</v>
      </c>
      <c r="M142" s="56">
        <v>46266</v>
      </c>
      <c r="N142" s="61"/>
      <c r="O142" s="61">
        <v>2</v>
      </c>
      <c r="P142" s="61"/>
      <c r="Q142" s="61"/>
      <c r="R142" s="61">
        <f>SUBTOTAL(9,Table25[[#This Row],[1st]:[FQC]])</f>
        <v>2</v>
      </c>
      <c r="S142" s="61">
        <f>IFERROR(VLOOKUP(Table25[[#This Row],[Part No.]],'[2]New Machine sheet'!$G$2:$I$90,3,0),0)</f>
        <v>335.39977528089889</v>
      </c>
      <c r="T142" s="61">
        <f>Table25[[#This Row],[cost per piece]]*Table25[[#This Row],[Total Rej. qty]]</f>
        <v>670.79955056179779</v>
      </c>
      <c r="U142" s="61">
        <f>IFERROR(VLOOKUP(Table25[[#This Row],[Non Conformance]],'[2]New defect code '!$B$2:$C$129,2,0),0)</f>
        <v>0</v>
      </c>
      <c r="V142" s="61">
        <v>45</v>
      </c>
      <c r="W142" s="61" t="str">
        <f>IFERROR(VLOOKUP(Table25[[#This Row],[Code4]],'[2]New Reason code'!$A$2:$D$77,2,0),0)</f>
        <v>Running m/c</v>
      </c>
      <c r="X142" s="61">
        <f ca="1">#REF!+Table25[[#This Row],[Rejection Identified at]]</f>
        <v>0</v>
      </c>
      <c r="Y142" s="63">
        <f>IFERROR(VLOOKUP(Table25[[#This Row],[Reason]],Coding!A139:C196,3,0),0)</f>
        <v>0</v>
      </c>
    </row>
    <row r="143" spans="1:25" ht="20.25" customHeight="1">
      <c r="A143" s="50">
        <v>139</v>
      </c>
      <c r="B143" s="61">
        <v>15</v>
      </c>
      <c r="C143" s="61" t="str">
        <f>IFERROR(VLOOKUP(Table25[[#This Row],[Code]],'[2]New Machine sheet'!$A$1:$D$101,2,0),0)</f>
        <v>282-15</v>
      </c>
      <c r="D143" s="61" t="str">
        <f>IFERROR(VLOOKUP(Table25[[#This Row],[M/c No]],'[2]New Machine sheet'!$B$1:$D$101,2,0),0)</f>
        <v>Mazak</v>
      </c>
      <c r="E143" s="61" t="str">
        <f>IFERROR(VLOOKUP(Table25[[#This Row],[M/c Name]],'[2]New Machine sheet'!$C$1:$D$101,2,0),0)</f>
        <v>Turning</v>
      </c>
      <c r="F143" s="61">
        <v>82</v>
      </c>
      <c r="G143" s="61">
        <f>IFERROR(VLOOKUP(Table25[[#This Row],[Code2]],'[2]New Machine sheet'!$F$2:$I$64,2,),0)</f>
        <v>2482</v>
      </c>
      <c r="H143" s="61" t="str">
        <f>IFERROR(VLOOKUP(Table25[[#This Row],[Code2]],'[2]New Machine sheet'!$F$2:$I$64,3,0),0)</f>
        <v>RE P1</v>
      </c>
      <c r="I143" s="61" t="s">
        <v>161</v>
      </c>
      <c r="J143" s="61">
        <v>61</v>
      </c>
      <c r="K143" s="61" t="str">
        <f>IFERROR(VLOOKUP(Table25[[#This Row],[Code3]],'[2]New defect code '!$A$2:$D$129,2,0),0)</f>
        <v>Od o/s</v>
      </c>
      <c r="L143" s="61" t="s">
        <v>200</v>
      </c>
      <c r="M143" s="56">
        <v>46266</v>
      </c>
      <c r="N143" s="61"/>
      <c r="O143" s="61">
        <v>3</v>
      </c>
      <c r="P143" s="61"/>
      <c r="Q143" s="61"/>
      <c r="R143" s="61">
        <f>SUBTOTAL(9,Table25[[#This Row],[1st]:[FQC]])</f>
        <v>3</v>
      </c>
      <c r="S143" s="61">
        <f>IFERROR(VLOOKUP(Table25[[#This Row],[Part No.]],'[2]New Machine sheet'!$G$2:$I$90,3,0),0)</f>
        <v>303.45333333333332</v>
      </c>
      <c r="T143" s="61">
        <f>Table25[[#This Row],[cost per piece]]*Table25[[#This Row],[Total Rej. qty]]</f>
        <v>910.3599999999999</v>
      </c>
      <c r="U143" s="61">
        <f>IFERROR(VLOOKUP(Table25[[#This Row],[Non Conformance]],'[2]New defect code '!$B$2:$C$129,2,0),0)</f>
        <v>0</v>
      </c>
      <c r="V143" s="61">
        <v>45</v>
      </c>
      <c r="W143" s="61" t="str">
        <f>IFERROR(VLOOKUP(Table25[[#This Row],[Code4]],'[2]New Reason code'!$A$2:$D$77,2,0),0)</f>
        <v>Running m/c</v>
      </c>
      <c r="X143" s="61">
        <f ca="1">#REF!+Table25[[#This Row],[Rejection Identified at]]</f>
        <v>0</v>
      </c>
      <c r="Y143" s="63">
        <f>IFERROR(VLOOKUP(Table25[[#This Row],[Reason]],Coding!A140:C197,3,0),0)</f>
        <v>0</v>
      </c>
    </row>
    <row r="144" spans="1:25" ht="20.25" customHeight="1">
      <c r="A144" s="60">
        <v>140</v>
      </c>
      <c r="B144" s="61">
        <v>22</v>
      </c>
      <c r="C144" s="61" t="str">
        <f>IFERROR(VLOOKUP(Table25[[#This Row],[Code]],'[2]New Machine sheet'!$A$1:$D$101,2,0),0)</f>
        <v>ACE-02</v>
      </c>
      <c r="D144" s="61" t="str">
        <f>IFERROR(VLOOKUP(Table25[[#This Row],[M/c No]],'[2]New Machine sheet'!$B$1:$D$101,2,0),0)</f>
        <v>Micromatic</v>
      </c>
      <c r="E144" s="61" t="str">
        <f>IFERROR(VLOOKUP(Table25[[#This Row],[M/c Name]],'[2]New Machine sheet'!$C$1:$D$101,2,0),0)</f>
        <v>Turning</v>
      </c>
      <c r="F144" s="61">
        <v>115</v>
      </c>
      <c r="G144" s="61">
        <f>IFERROR(VLOOKUP(Table25[[#This Row],[Code2]],'[2]New Machine sheet'!$F$2:$I$64,2,),0)</f>
        <v>24115</v>
      </c>
      <c r="H144" s="61" t="str">
        <f>IFERROR(VLOOKUP(Table25[[#This Row],[Code2]],'[2]New Machine sheet'!$F$2:$I$64,3,0),0)</f>
        <v>RE J1</v>
      </c>
      <c r="I144" s="61" t="s">
        <v>113</v>
      </c>
      <c r="J144" s="61">
        <v>10</v>
      </c>
      <c r="K144" s="61" t="str">
        <f>IFERROR(VLOOKUP(Table25[[#This Row],[Code3]],'[2]New defect code '!$A$2:$D$129,2,0),0)</f>
        <v xml:space="preserve">Bore u/s </v>
      </c>
      <c r="L144" s="61" t="s">
        <v>200</v>
      </c>
      <c r="M144" s="56">
        <v>46266</v>
      </c>
      <c r="N144" s="61"/>
      <c r="O144" s="61">
        <v>1</v>
      </c>
      <c r="P144" s="61"/>
      <c r="Q144" s="61"/>
      <c r="R144" s="61">
        <f>SUBTOTAL(9,Table25[[#This Row],[1st]:[FQC]])</f>
        <v>1</v>
      </c>
      <c r="S144" s="61">
        <f>IFERROR(VLOOKUP(Table25[[#This Row],[Part No.]],'[2]New Machine sheet'!$G$2:$I$90,3,0),0)</f>
        <v>66.900000000000006</v>
      </c>
      <c r="T144" s="61">
        <f>Table25[[#This Row],[cost per piece]]*Table25[[#This Row],[Total Rej. qty]]</f>
        <v>66.900000000000006</v>
      </c>
      <c r="U144" s="61">
        <f>IFERROR(VLOOKUP(Table25[[#This Row],[Non Conformance]],'[2]New defect code '!$B$2:$C$129,2,0),0)</f>
        <v>0</v>
      </c>
      <c r="V144" s="61">
        <v>45</v>
      </c>
      <c r="W144" s="61" t="str">
        <f>IFERROR(VLOOKUP(Table25[[#This Row],[Code4]],'[2]New Reason code'!$A$2:$D$77,2,0),0)</f>
        <v>Running m/c</v>
      </c>
      <c r="X144" s="61">
        <f ca="1">#REF!+Table25[[#This Row],[Rejection Identified at]]</f>
        <v>0</v>
      </c>
      <c r="Y144" s="63">
        <f>IFERROR(VLOOKUP(Table25[[#This Row],[Reason]],Coding!A141:C198,3,0),0)</f>
        <v>0</v>
      </c>
    </row>
    <row r="145" spans="1:25" ht="20.25" customHeight="1">
      <c r="A145" s="50">
        <v>141</v>
      </c>
      <c r="B145" s="61">
        <v>9</v>
      </c>
      <c r="C145" s="61" t="str">
        <f>IFERROR(VLOOKUP(Table25[[#This Row],[Code]],'[2]New Machine sheet'!$A$1:$D$101,2,0),0)</f>
        <v>282-09</v>
      </c>
      <c r="D145" s="61" t="str">
        <f>IFERROR(VLOOKUP(Table25[[#This Row],[M/c No]],'[2]New Machine sheet'!$B$1:$D$101,2,0),0)</f>
        <v>Mazak</v>
      </c>
      <c r="E145" s="61" t="str">
        <f>IFERROR(VLOOKUP(Table25[[#This Row],[M/c Name]],'[2]New Machine sheet'!$C$1:$D$101,2,0),0)</f>
        <v>Turning</v>
      </c>
      <c r="F145" s="61">
        <v>125</v>
      </c>
      <c r="G145" s="61">
        <f>IFERROR(VLOOKUP(Table25[[#This Row],[Code2]],'[2]New Machine sheet'!$F$2:$I$64,2,),0)</f>
        <v>24125</v>
      </c>
      <c r="H145" s="61" t="str">
        <f>IFERROR(VLOOKUP(Table25[[#This Row],[Code2]],'[2]New Machine sheet'!$F$2:$I$64,3,0),0)</f>
        <v>RE J1</v>
      </c>
      <c r="I145" s="61" t="s">
        <v>158</v>
      </c>
      <c r="J145" s="61">
        <v>10</v>
      </c>
      <c r="K145" s="61" t="str">
        <f>IFERROR(VLOOKUP(Table25[[#This Row],[Code3]],'[2]New defect code '!$A$2:$D$129,2,0),0)</f>
        <v xml:space="preserve">Bore u/s </v>
      </c>
      <c r="L145" s="61" t="s">
        <v>200</v>
      </c>
      <c r="M145" s="56">
        <v>46266</v>
      </c>
      <c r="N145" s="61"/>
      <c r="O145" s="61">
        <v>26</v>
      </c>
      <c r="P145" s="61"/>
      <c r="Q145" s="61"/>
      <c r="R145" s="61">
        <f>SUBTOTAL(9,Table25[[#This Row],[1st]:[FQC]])</f>
        <v>26</v>
      </c>
      <c r="S145" s="61">
        <f>IFERROR(VLOOKUP(Table25[[#This Row],[Part No.]],'[2]New Machine sheet'!$G$2:$I$90,3,0),0)</f>
        <v>65.17</v>
      </c>
      <c r="T145" s="61">
        <f>Table25[[#This Row],[cost per piece]]*Table25[[#This Row],[Total Rej. qty]]</f>
        <v>1694.42</v>
      </c>
      <c r="U145" s="61">
        <f>IFERROR(VLOOKUP(Table25[[#This Row],[Non Conformance]],'[2]New defect code '!$B$2:$C$129,2,0),0)</f>
        <v>0</v>
      </c>
      <c r="V145" s="61">
        <v>45</v>
      </c>
      <c r="W145" s="61" t="str">
        <f>IFERROR(VLOOKUP(Table25[[#This Row],[Code4]],'[2]New Reason code'!$A$2:$D$77,2,0),0)</f>
        <v>Running m/c</v>
      </c>
      <c r="X145" s="61">
        <f ca="1">#REF!+Table25[[#This Row],[Rejection Identified at]]</f>
        <v>0</v>
      </c>
      <c r="Y145" s="63">
        <f>IFERROR(VLOOKUP(Table25[[#This Row],[Reason]],Coding!A142:C199,3,0),0)</f>
        <v>0</v>
      </c>
    </row>
    <row r="146" spans="1:25" ht="20.25" customHeight="1">
      <c r="A146" s="60">
        <v>142</v>
      </c>
      <c r="B146" s="61">
        <v>5</v>
      </c>
      <c r="C146" s="61" t="str">
        <f>IFERROR(VLOOKUP(Table25[[#This Row],[Code]],'[2]New Machine sheet'!$A$1:$D$101,2,0),0)</f>
        <v>282-05</v>
      </c>
      <c r="D146" s="61" t="str">
        <f>IFERROR(VLOOKUP(Table25[[#This Row],[M/c No]],'[2]New Machine sheet'!$B$1:$D$101,2,0),0)</f>
        <v>Mazak</v>
      </c>
      <c r="E146" s="61" t="str">
        <f>IFERROR(VLOOKUP(Table25[[#This Row],[M/c Name]],'[2]New Machine sheet'!$C$1:$D$101,2,0),0)</f>
        <v>Turning</v>
      </c>
      <c r="F146" s="61">
        <v>119</v>
      </c>
      <c r="G146" s="61">
        <f>IFERROR(VLOOKUP(Table25[[#This Row],[Code2]],'[2]New Machine sheet'!$F$2:$I$64,2,),0)</f>
        <v>24119</v>
      </c>
      <c r="H146" s="61" t="str">
        <f>IFERROR(VLOOKUP(Table25[[#This Row],[Code2]],'[2]New Machine sheet'!$F$2:$I$64,3,0),0)</f>
        <v>RE J1</v>
      </c>
      <c r="I146" s="61" t="s">
        <v>142</v>
      </c>
      <c r="J146" s="61">
        <v>10</v>
      </c>
      <c r="K146" s="61" t="str">
        <f>IFERROR(VLOOKUP(Table25[[#This Row],[Code3]],'[2]New defect code '!$A$2:$D$129,2,0),0)</f>
        <v xml:space="preserve">Bore u/s </v>
      </c>
      <c r="L146" s="61" t="s">
        <v>200</v>
      </c>
      <c r="M146" s="56">
        <v>46266</v>
      </c>
      <c r="N146" s="61"/>
      <c r="O146" s="61">
        <v>1</v>
      </c>
      <c r="P146" s="61"/>
      <c r="Q146" s="61"/>
      <c r="R146" s="61">
        <f>SUBTOTAL(9,Table25[[#This Row],[1st]:[FQC]])</f>
        <v>1</v>
      </c>
      <c r="S146" s="61">
        <f>IFERROR(VLOOKUP(Table25[[#This Row],[Part No.]],'[2]New Machine sheet'!$G$2:$I$90,3,0),0)</f>
        <v>103.2</v>
      </c>
      <c r="T146" s="61">
        <f>Table25[[#This Row],[cost per piece]]*Table25[[#This Row],[Total Rej. qty]]</f>
        <v>103.2</v>
      </c>
      <c r="U146" s="61">
        <f>IFERROR(VLOOKUP(Table25[[#This Row],[Non Conformance]],'[2]New defect code '!$B$2:$C$129,2,0),0)</f>
        <v>0</v>
      </c>
      <c r="V146" s="61">
        <v>45</v>
      </c>
      <c r="W146" s="61" t="str">
        <f>IFERROR(VLOOKUP(Table25[[#This Row],[Code4]],'[2]New Reason code'!$A$2:$D$77,2,0),0)</f>
        <v>Running m/c</v>
      </c>
      <c r="X146" s="61">
        <f ca="1">#REF!+Table25[[#This Row],[Rejection Identified at]]</f>
        <v>0</v>
      </c>
      <c r="Y146" s="63">
        <f>IFERROR(VLOOKUP(Table25[[#This Row],[Reason]],Coding!A143:C200,3,0),0)</f>
        <v>0</v>
      </c>
    </row>
    <row r="147" spans="1:25" ht="20.25" customHeight="1">
      <c r="A147" s="50">
        <v>143</v>
      </c>
      <c r="B147" s="61"/>
      <c r="C147" s="61" t="s">
        <v>118</v>
      </c>
      <c r="D147" s="61" t="s">
        <v>117</v>
      </c>
      <c r="E147" s="61" t="str">
        <f>IFERROR(VLOOKUP(Table25[[#This Row],[M/c Name]],'[2]New Machine sheet'!$C$1:$D$101,2,0),0)</f>
        <v>Turning</v>
      </c>
      <c r="F147" s="61">
        <v>127</v>
      </c>
      <c r="G147" s="61">
        <f>IFERROR(VLOOKUP(Table25[[#This Row],[Code2]],'[2]New Machine sheet'!$F$2:$I$64,2,),0)</f>
        <v>24127</v>
      </c>
      <c r="H147" s="61" t="str">
        <f>IFERROR(VLOOKUP(Table25[[#This Row],[Code2]],'[2]New Machine sheet'!$F$2:$I$64,3,0),0)</f>
        <v>RE J1</v>
      </c>
      <c r="I147" s="61" t="s">
        <v>140</v>
      </c>
      <c r="J147" s="61">
        <v>37</v>
      </c>
      <c r="K147" s="61" t="str">
        <f>IFERROR(VLOOKUP(Table25[[#This Row],[Code3]],'[2]New defect code '!$A$2:$D$129,2,0),0)</f>
        <v>Face chatring</v>
      </c>
      <c r="L147" s="61" t="s">
        <v>200</v>
      </c>
      <c r="M147" s="56">
        <v>46266</v>
      </c>
      <c r="N147" s="61"/>
      <c r="O147" s="61">
        <v>2</v>
      </c>
      <c r="P147" s="61"/>
      <c r="Q147" s="61"/>
      <c r="R147" s="61">
        <f>SUBTOTAL(9,Table25[[#This Row],[1st]:[FQC]])</f>
        <v>2</v>
      </c>
      <c r="S147" s="61">
        <f>IFERROR(VLOOKUP(Table25[[#This Row],[Part No.]],'[2]New Machine sheet'!$G$2:$I$90,3,0),0)</f>
        <v>262.81200000000001</v>
      </c>
      <c r="T147" s="61">
        <f>Table25[[#This Row],[cost per piece]]*Table25[[#This Row],[Total Rej. qty]]</f>
        <v>525.62400000000002</v>
      </c>
      <c r="U147" s="61">
        <f>IFERROR(VLOOKUP(Table25[[#This Row],[Non Conformance]],'[2]New defect code '!$B$2:$C$129,2,0),0)</f>
        <v>0</v>
      </c>
      <c r="V147" s="61">
        <v>45</v>
      </c>
      <c r="W147" s="61" t="str">
        <f>IFERROR(VLOOKUP(Table25[[#This Row],[Code4]],'[2]New Reason code'!$A$2:$D$77,2,0),0)</f>
        <v>Running m/c</v>
      </c>
      <c r="X147" s="61">
        <f ca="1">#REF!+Table25[[#This Row],[Rejection Identified at]]</f>
        <v>0</v>
      </c>
      <c r="Y147" s="63">
        <f>IFERROR(VLOOKUP(Table25[[#This Row],[Reason]],Coding!A144:C201,3,0),0)</f>
        <v>0</v>
      </c>
    </row>
    <row r="148" spans="1:25" ht="20.25" customHeight="1">
      <c r="A148" s="60">
        <v>144</v>
      </c>
      <c r="B148" s="61">
        <v>37</v>
      </c>
      <c r="C148" s="61" t="str">
        <f>IFERROR(VLOOKUP(Table25[[#This Row],[Code]],'[2]New Machine sheet'!$A$1:$D$101,2,0),0)</f>
        <v>ACE-17</v>
      </c>
      <c r="D148" s="61" t="str">
        <f>IFERROR(VLOOKUP(Table25[[#This Row],[M/c No]],'[2]New Machine sheet'!$B$1:$D$101,2,0),0)</f>
        <v>Micromatic</v>
      </c>
      <c r="E148" s="61" t="str">
        <f>IFERROR(VLOOKUP(Table25[[#This Row],[M/c Name]],'[2]New Machine sheet'!$C$1:$D$101,2,0),0)</f>
        <v>Turning</v>
      </c>
      <c r="F148" s="61">
        <v>127</v>
      </c>
      <c r="G148" s="61">
        <f>IFERROR(VLOOKUP(Table25[[#This Row],[Code2]],'[2]New Machine sheet'!$F$2:$I$64,2,),0)</f>
        <v>24127</v>
      </c>
      <c r="H148" s="61" t="str">
        <f>IFERROR(VLOOKUP(Table25[[#This Row],[Code2]],'[2]New Machine sheet'!$F$2:$I$64,3,0),0)</f>
        <v>RE J1</v>
      </c>
      <c r="I148" s="61" t="s">
        <v>177</v>
      </c>
      <c r="J148" s="61">
        <v>61</v>
      </c>
      <c r="K148" s="61" t="str">
        <f>IFERROR(VLOOKUP(Table25[[#This Row],[Code3]],'[2]New defect code '!$A$2:$D$129,2,0),0)</f>
        <v>Od o/s</v>
      </c>
      <c r="L148" s="61" t="s">
        <v>200</v>
      </c>
      <c r="M148" s="56">
        <v>46266</v>
      </c>
      <c r="N148" s="61"/>
      <c r="O148" s="61">
        <v>1</v>
      </c>
      <c r="P148" s="61"/>
      <c r="Q148" s="61"/>
      <c r="R148" s="61">
        <f>SUBTOTAL(9,Table25[[#This Row],[1st]:[FQC]])</f>
        <v>1</v>
      </c>
      <c r="S148" s="61">
        <f>IFERROR(VLOOKUP(Table25[[#This Row],[Part No.]],'[2]New Machine sheet'!$G$2:$I$90,3,0),0)</f>
        <v>262.81200000000001</v>
      </c>
      <c r="T148" s="61">
        <f>Table25[[#This Row],[cost per piece]]*Table25[[#This Row],[Total Rej. qty]]</f>
        <v>262.81200000000001</v>
      </c>
      <c r="U148" s="61">
        <f>IFERROR(VLOOKUP(Table25[[#This Row],[Non Conformance]],'[2]New defect code '!$B$2:$C$129,2,0),0)</f>
        <v>0</v>
      </c>
      <c r="V148" s="61">
        <v>18</v>
      </c>
      <c r="W148" s="61" t="str">
        <f>IFERROR(VLOOKUP(Table25[[#This Row],[Code4]],'[2]New Reason code'!$A$2:$D$77,2,0),0)</f>
        <v>During insert change</v>
      </c>
      <c r="X148" s="61">
        <f ca="1">#REF!+Table25[[#This Row],[Rejection Identified at]]</f>
        <v>0</v>
      </c>
      <c r="Y148" s="63">
        <f>IFERROR(VLOOKUP(Table25[[#This Row],[Reason]],Coding!A145:C202,3,0),0)</f>
        <v>0</v>
      </c>
    </row>
    <row r="149" spans="1:25" ht="20.25" customHeight="1">
      <c r="A149" s="50">
        <v>145</v>
      </c>
      <c r="B149" s="61">
        <v>44</v>
      </c>
      <c r="C149" s="61" t="str">
        <f>IFERROR(VLOOKUP(Table25[[#This Row],[Code]],'[2]New Machine sheet'!$A$1:$D$101,2,0),0)</f>
        <v>LT20-NEW</v>
      </c>
      <c r="D149" s="61" t="str">
        <f>IFERROR(VLOOKUP(Table25[[#This Row],[M/c No]],'[2]New Machine sheet'!$B$1:$D$101,2,0),0)</f>
        <v>ACE</v>
      </c>
      <c r="E149" s="61" t="str">
        <f>IFERROR(VLOOKUP(Table25[[#This Row],[M/c Name]],'[2]New Machine sheet'!$C$1:$D$101,2,0),0)</f>
        <v xml:space="preserve">turning </v>
      </c>
      <c r="F149" s="61">
        <v>82</v>
      </c>
      <c r="G149" s="61">
        <f>IFERROR(VLOOKUP(Table25[[#This Row],[Code2]],'[2]New Machine sheet'!$F$2:$I$64,2,),0)</f>
        <v>2482</v>
      </c>
      <c r="H149" s="61" t="str">
        <f>IFERROR(VLOOKUP(Table25[[#This Row],[Code2]],'[2]New Machine sheet'!$F$2:$I$64,3,0),0)</f>
        <v>RE P1</v>
      </c>
      <c r="I149" s="61" t="s">
        <v>166</v>
      </c>
      <c r="J149" s="61">
        <v>37</v>
      </c>
      <c r="K149" s="61" t="str">
        <f>IFERROR(VLOOKUP(Table25[[#This Row],[Code3]],'[2]New defect code '!$A$2:$D$129,2,0),0)</f>
        <v>Face chatring</v>
      </c>
      <c r="L149" s="61" t="s">
        <v>200</v>
      </c>
      <c r="M149" s="56">
        <v>46266</v>
      </c>
      <c r="N149" s="61"/>
      <c r="O149" s="61"/>
      <c r="P149" s="61">
        <v>1</v>
      </c>
      <c r="Q149" s="61"/>
      <c r="R149" s="61">
        <f>SUBTOTAL(9,Table25[[#This Row],[1st]:[FQC]])</f>
        <v>1</v>
      </c>
      <c r="S149" s="61">
        <f>IFERROR(VLOOKUP(Table25[[#This Row],[Part No.]],'[2]New Machine sheet'!$G$2:$I$90,3,0),0)</f>
        <v>303.45333333333332</v>
      </c>
      <c r="T149" s="61">
        <f>Table25[[#This Row],[cost per piece]]*Table25[[#This Row],[Total Rej. qty]]</f>
        <v>303.45333333333332</v>
      </c>
      <c r="U149" s="61">
        <f>IFERROR(VLOOKUP(Table25[[#This Row],[Non Conformance]],'[2]New defect code '!$B$2:$C$129,2,0),0)</f>
        <v>0</v>
      </c>
      <c r="V149" s="61">
        <v>45</v>
      </c>
      <c r="W149" s="61" t="str">
        <f>IFERROR(VLOOKUP(Table25[[#This Row],[Code4]],'[2]New Reason code'!$A$2:$D$77,2,0),0)</f>
        <v>Running m/c</v>
      </c>
      <c r="X149" s="61">
        <f ca="1">#REF!+Table25[[#This Row],[Rejection Identified at]]</f>
        <v>0</v>
      </c>
      <c r="Y149" s="63">
        <f>IFERROR(VLOOKUP(Table25[[#This Row],[Reason]],Coding!A146:C203,3,0),0)</f>
        <v>0</v>
      </c>
    </row>
    <row r="150" spans="1:25" ht="20.25" customHeight="1">
      <c r="A150" s="60">
        <v>146</v>
      </c>
      <c r="B150" s="61">
        <v>22</v>
      </c>
      <c r="C150" s="61" t="str">
        <f>IFERROR(VLOOKUP(Table25[[#This Row],[Code]],'[2]New Machine sheet'!$A$1:$D$101,2,0),0)</f>
        <v>ACE-02</v>
      </c>
      <c r="D150" s="61" t="str">
        <f>IFERROR(VLOOKUP(Table25[[#This Row],[M/c No]],'[2]New Machine sheet'!$B$1:$D$101,2,0),0)</f>
        <v>Micromatic</v>
      </c>
      <c r="E150" s="61" t="str">
        <f>IFERROR(VLOOKUP(Table25[[#This Row],[M/c Name]],'[2]New Machine sheet'!$C$1:$D$101,2,0),0)</f>
        <v>Turning</v>
      </c>
      <c r="F150" s="61">
        <v>115</v>
      </c>
      <c r="G150" s="61">
        <f>IFERROR(VLOOKUP(Table25[[#This Row],[Code2]],'[2]New Machine sheet'!$F$2:$I$64,2,),0)</f>
        <v>24115</v>
      </c>
      <c r="H150" s="61" t="str">
        <f>IFERROR(VLOOKUP(Table25[[#This Row],[Code2]],'[2]New Machine sheet'!$F$2:$I$64,3,0),0)</f>
        <v>RE J1</v>
      </c>
      <c r="I150" s="61" t="s">
        <v>133</v>
      </c>
      <c r="J150" s="61">
        <v>10</v>
      </c>
      <c r="K150" s="61" t="str">
        <f>IFERROR(VLOOKUP(Table25[[#This Row],[Code3]],'[2]New defect code '!$A$2:$D$129,2,0),0)</f>
        <v xml:space="preserve">Bore u/s </v>
      </c>
      <c r="L150" s="61" t="s">
        <v>200</v>
      </c>
      <c r="M150" s="56">
        <v>46266</v>
      </c>
      <c r="N150" s="61"/>
      <c r="O150" s="61"/>
      <c r="P150" s="61">
        <v>4</v>
      </c>
      <c r="Q150" s="61"/>
      <c r="R150" s="61">
        <f>SUBTOTAL(9,Table25[[#This Row],[1st]:[FQC]])</f>
        <v>4</v>
      </c>
      <c r="S150" s="61">
        <f>IFERROR(VLOOKUP(Table25[[#This Row],[Part No.]],'[2]New Machine sheet'!$G$2:$I$90,3,0),0)</f>
        <v>66.900000000000006</v>
      </c>
      <c r="T150" s="61">
        <f>Table25[[#This Row],[cost per piece]]*Table25[[#This Row],[Total Rej. qty]]</f>
        <v>267.60000000000002</v>
      </c>
      <c r="U150" s="61">
        <f>IFERROR(VLOOKUP(Table25[[#This Row],[Non Conformance]],'[2]New defect code '!$B$2:$C$129,2,0),0)</f>
        <v>0</v>
      </c>
      <c r="V150" s="61">
        <v>45</v>
      </c>
      <c r="W150" s="61" t="str">
        <f>IFERROR(VLOOKUP(Table25[[#This Row],[Code4]],'[2]New Reason code'!$A$2:$D$77,2,0),0)</f>
        <v>Running m/c</v>
      </c>
      <c r="X150" s="61">
        <f ca="1">#REF!+Table25[[#This Row],[Rejection Identified at]]</f>
        <v>0</v>
      </c>
      <c r="Y150" s="63">
        <f>IFERROR(VLOOKUP(Table25[[#This Row],[Reason]],Coding!A147:C204,3,0),0)</f>
        <v>0</v>
      </c>
    </row>
    <row r="151" spans="1:25" ht="20.25" customHeight="1">
      <c r="A151" s="50">
        <v>147</v>
      </c>
      <c r="B151" s="61">
        <v>22</v>
      </c>
      <c r="C151" s="61" t="str">
        <f>IFERROR(VLOOKUP(Table25[[#This Row],[Code]],'[2]New Machine sheet'!$A$1:$D$101,2,0),0)</f>
        <v>ACE-02</v>
      </c>
      <c r="D151" s="61" t="str">
        <f>IFERROR(VLOOKUP(Table25[[#This Row],[M/c No]],'[2]New Machine sheet'!$B$1:$D$101,2,0),0)</f>
        <v>Micromatic</v>
      </c>
      <c r="E151" s="61" t="str">
        <f>IFERROR(VLOOKUP(Table25[[#This Row],[M/c Name]],'[2]New Machine sheet'!$C$1:$D$101,2,0),0)</f>
        <v>Turning</v>
      </c>
      <c r="F151" s="61">
        <v>115</v>
      </c>
      <c r="G151" s="61">
        <f>IFERROR(VLOOKUP(Table25[[#This Row],[Code2]],'[2]New Machine sheet'!$F$2:$I$64,2,),0)</f>
        <v>24115</v>
      </c>
      <c r="H151" s="61" t="str">
        <f>IFERROR(VLOOKUP(Table25[[#This Row],[Code2]],'[2]New Machine sheet'!$F$2:$I$64,3,0),0)</f>
        <v>RE J1</v>
      </c>
      <c r="I151" s="61" t="s">
        <v>133</v>
      </c>
      <c r="J151" s="61">
        <v>41</v>
      </c>
      <c r="K151" s="61" t="str">
        <f>IFERROR(VLOOKUP(Table25[[#This Row],[Code3]],'[2]New defect code '!$A$2:$D$129,2,0),0)</f>
        <v>Face Less metal</v>
      </c>
      <c r="L151" s="61" t="s">
        <v>200</v>
      </c>
      <c r="M151" s="56">
        <v>46266</v>
      </c>
      <c r="N151" s="61"/>
      <c r="O151" s="61"/>
      <c r="P151" s="61">
        <v>2</v>
      </c>
      <c r="Q151" s="61"/>
      <c r="R151" s="61">
        <f>SUBTOTAL(9,Table25[[#This Row],[1st]:[FQC]])</f>
        <v>2</v>
      </c>
      <c r="S151" s="61">
        <f>IFERROR(VLOOKUP(Table25[[#This Row],[Part No.]],'[2]New Machine sheet'!$G$2:$I$90,3,0),0)</f>
        <v>66.900000000000006</v>
      </c>
      <c r="T151" s="61">
        <f>Table25[[#This Row],[cost per piece]]*Table25[[#This Row],[Total Rej. qty]]</f>
        <v>133.80000000000001</v>
      </c>
      <c r="U151" s="61">
        <f>IFERROR(VLOOKUP(Table25[[#This Row],[Non Conformance]],'[2]New defect code '!$B$2:$C$129,2,0),0)</f>
        <v>3259</v>
      </c>
      <c r="V151" s="61">
        <v>45</v>
      </c>
      <c r="W151" s="61" t="str">
        <f>IFERROR(VLOOKUP(Table25[[#This Row],[Code4]],'[2]New Reason code'!$A$2:$D$77,2,0),0)</f>
        <v>Running m/c</v>
      </c>
      <c r="X151" s="61">
        <f ca="1">#REF!+Table25[[#This Row],[Rejection Identified at]]</f>
        <v>0</v>
      </c>
      <c r="Y151" s="63">
        <f>IFERROR(VLOOKUP(Table25[[#This Row],[Reason]],Coding!A148:C205,3,0),0)</f>
        <v>0</v>
      </c>
    </row>
    <row r="152" spans="1:25" ht="20.25" customHeight="1">
      <c r="A152" s="60">
        <v>148</v>
      </c>
      <c r="B152" s="61">
        <v>8</v>
      </c>
      <c r="C152" s="61" t="str">
        <f>IFERROR(VLOOKUP(Table25[[#This Row],[Code]],'[2]New Machine sheet'!$A$1:$D$101,2,0),0)</f>
        <v>282-08</v>
      </c>
      <c r="D152" s="61" t="str">
        <f>IFERROR(VLOOKUP(Table25[[#This Row],[M/c No]],'[2]New Machine sheet'!$B$1:$D$101,2,0),0)</f>
        <v>Mazak</v>
      </c>
      <c r="E152" s="61" t="str">
        <f>IFERROR(VLOOKUP(Table25[[#This Row],[M/c Name]],'[2]New Machine sheet'!$C$1:$D$101,2,0),0)</f>
        <v>Turning</v>
      </c>
      <c r="F152" s="61">
        <v>117</v>
      </c>
      <c r="G152" s="61">
        <f>IFERROR(VLOOKUP(Table25[[#This Row],[Code2]],'[2]New Machine sheet'!$F$2:$I$64,2,),0)</f>
        <v>24117</v>
      </c>
      <c r="H152" s="61" t="str">
        <f>IFERROR(VLOOKUP(Table25[[#This Row],[Code2]],'[2]New Machine sheet'!$F$2:$I$64,3,0),0)</f>
        <v>RE J1</v>
      </c>
      <c r="I152" s="61" t="s">
        <v>113</v>
      </c>
      <c r="J152" s="61">
        <v>10</v>
      </c>
      <c r="K152" s="61" t="str">
        <f>IFERROR(VLOOKUP(Table25[[#This Row],[Code3]],'[2]New defect code '!$A$2:$D$129,2,0),0)</f>
        <v xml:space="preserve">Bore u/s </v>
      </c>
      <c r="L152" s="61" t="s">
        <v>200</v>
      </c>
      <c r="M152" s="56">
        <v>46266</v>
      </c>
      <c r="N152" s="61"/>
      <c r="O152" s="61"/>
      <c r="P152" s="61">
        <v>1</v>
      </c>
      <c r="Q152" s="61"/>
      <c r="R152" s="61">
        <f>SUBTOTAL(9,Table25[[#This Row],[1st]:[FQC]])</f>
        <v>1</v>
      </c>
      <c r="S152" s="61">
        <f>IFERROR(VLOOKUP(Table25[[#This Row],[Part No.]],'[2]New Machine sheet'!$G$2:$I$90,3,0),0)</f>
        <v>111.97</v>
      </c>
      <c r="T152" s="61">
        <f>Table25[[#This Row],[cost per piece]]*Table25[[#This Row],[Total Rej. qty]]</f>
        <v>111.97</v>
      </c>
      <c r="U152" s="61">
        <f>IFERROR(VLOOKUP(Table25[[#This Row],[Non Conformance]],'[2]New defect code '!$B$2:$C$129,2,0),0)</f>
        <v>0</v>
      </c>
      <c r="V152" s="61">
        <v>18</v>
      </c>
      <c r="W152" s="61" t="str">
        <f>IFERROR(VLOOKUP(Table25[[#This Row],[Code4]],'[2]New Reason code'!$A$2:$D$77,2,0),0)</f>
        <v>During insert change</v>
      </c>
      <c r="X152" s="61">
        <f ca="1">#REF!+Table25[[#This Row],[Rejection Identified at]]</f>
        <v>0</v>
      </c>
      <c r="Y152" s="63">
        <f>IFERROR(VLOOKUP(Table25[[#This Row],[Reason]],Coding!A149:C206,3,0),0)</f>
        <v>0</v>
      </c>
    </row>
    <row r="153" spans="1:25" ht="20.25" customHeight="1">
      <c r="A153" s="50">
        <v>149</v>
      </c>
      <c r="B153" s="61">
        <v>17</v>
      </c>
      <c r="C153" s="61" t="str">
        <f>IFERROR(VLOOKUP(Table25[[#This Row],[Code]],'[2]New Machine sheet'!$A$1:$D$101,2,0),0)</f>
        <v>282-17</v>
      </c>
      <c r="D153" s="61" t="str">
        <f>IFERROR(VLOOKUP(Table25[[#This Row],[M/c No]],'[2]New Machine sheet'!$B$1:$D$101,2,0),0)</f>
        <v>Mazak</v>
      </c>
      <c r="E153" s="61" t="str">
        <f>IFERROR(VLOOKUP(Table25[[#This Row],[M/c Name]],'[2]New Machine sheet'!$C$1:$D$101,2,0),0)</f>
        <v>Turning</v>
      </c>
      <c r="F153" s="61">
        <v>113</v>
      </c>
      <c r="G153" s="61">
        <f>IFERROR(VLOOKUP(Table25[[#This Row],[Code2]],'[2]New Machine sheet'!$F$2:$I$64,2,),0)</f>
        <v>24113</v>
      </c>
      <c r="H153" s="61" t="str">
        <f>IFERROR(VLOOKUP(Table25[[#This Row],[Code2]],'[2]New Machine sheet'!$F$2:$I$64,3,0),0)</f>
        <v>RE J1</v>
      </c>
      <c r="I153" s="61" t="s">
        <v>132</v>
      </c>
      <c r="J153" s="61">
        <v>10</v>
      </c>
      <c r="K153" s="61" t="str">
        <f>IFERROR(VLOOKUP(Table25[[#This Row],[Code3]],'[2]New defect code '!$A$2:$D$129,2,0),0)</f>
        <v xml:space="preserve">Bore u/s </v>
      </c>
      <c r="L153" s="61" t="s">
        <v>200</v>
      </c>
      <c r="M153" s="56">
        <v>46266</v>
      </c>
      <c r="N153" s="61"/>
      <c r="O153" s="61"/>
      <c r="P153" s="61">
        <v>4</v>
      </c>
      <c r="Q153" s="61"/>
      <c r="R153" s="61">
        <f>SUBTOTAL(9,Table25[[#This Row],[1st]:[FQC]])</f>
        <v>4</v>
      </c>
      <c r="S153" s="61">
        <f>IFERROR(VLOOKUP(Table25[[#This Row],[Part No.]],'[2]New Machine sheet'!$G$2:$I$90,3,0),0)</f>
        <v>90</v>
      </c>
      <c r="T153" s="61">
        <f>Table25[[#This Row],[cost per piece]]*Table25[[#This Row],[Total Rej. qty]]</f>
        <v>360</v>
      </c>
      <c r="U153" s="61">
        <f>IFERROR(VLOOKUP(Table25[[#This Row],[Non Conformance]],'[2]New defect code '!$B$2:$C$129,2,0),0)</f>
        <v>0</v>
      </c>
      <c r="V153" s="61"/>
      <c r="W153" s="61" t="s">
        <v>203</v>
      </c>
      <c r="X153" s="61">
        <f ca="1">#REF!+Table25[[#This Row],[Rejection Identified at]]</f>
        <v>0</v>
      </c>
      <c r="Y153" s="63">
        <f>IFERROR(VLOOKUP(Table25[[#This Row],[Reason]],Coding!A150:C207,3,0),0)</f>
        <v>0</v>
      </c>
    </row>
    <row r="154" spans="1:25" ht="20.25" customHeight="1">
      <c r="A154" s="60">
        <v>150</v>
      </c>
      <c r="B154" s="61">
        <v>37</v>
      </c>
      <c r="C154" s="61" t="str">
        <f>IFERROR(VLOOKUP(Table25[[#This Row],[Code]],'[2]New Machine sheet'!$A$1:$D$101,2,0),0)</f>
        <v>ACE-17</v>
      </c>
      <c r="D154" s="61" t="str">
        <f>IFERROR(VLOOKUP(Table25[[#This Row],[M/c No]],'[2]New Machine sheet'!$B$1:$D$101,2,0),0)</f>
        <v>Micromatic</v>
      </c>
      <c r="E154" s="61" t="str">
        <f>IFERROR(VLOOKUP(Table25[[#This Row],[M/c Name]],'[2]New Machine sheet'!$C$1:$D$101,2,0),0)</f>
        <v>Turning</v>
      </c>
      <c r="F154" s="61">
        <v>127</v>
      </c>
      <c r="G154" s="61">
        <f>IFERROR(VLOOKUP(Table25[[#This Row],[Code2]],'[2]New Machine sheet'!$F$2:$I$64,2,),0)</f>
        <v>24127</v>
      </c>
      <c r="H154" s="61" t="str">
        <f>IFERROR(VLOOKUP(Table25[[#This Row],[Code2]],'[2]New Machine sheet'!$F$2:$I$64,3,0),0)</f>
        <v>RE J1</v>
      </c>
      <c r="I154" s="61" t="s">
        <v>137</v>
      </c>
      <c r="J154" s="61">
        <v>61</v>
      </c>
      <c r="K154" s="61" t="str">
        <f>IFERROR(VLOOKUP(Table25[[#This Row],[Code3]],'[2]New defect code '!$A$2:$D$129,2,0),0)</f>
        <v>Od o/s</v>
      </c>
      <c r="L154" s="61" t="s">
        <v>200</v>
      </c>
      <c r="M154" s="56">
        <v>46266</v>
      </c>
      <c r="N154" s="61"/>
      <c r="O154" s="61"/>
      <c r="P154" s="61">
        <v>1</v>
      </c>
      <c r="Q154" s="61"/>
      <c r="R154" s="61">
        <f>SUBTOTAL(9,Table25[[#This Row],[1st]:[FQC]])</f>
        <v>1</v>
      </c>
      <c r="S154" s="61">
        <f>IFERROR(VLOOKUP(Table25[[#This Row],[Part No.]],'[2]New Machine sheet'!$G$2:$I$90,3,0),0)</f>
        <v>262.81200000000001</v>
      </c>
      <c r="T154" s="61">
        <f>Table25[[#This Row],[cost per piece]]*Table25[[#This Row],[Total Rej. qty]]</f>
        <v>262.81200000000001</v>
      </c>
      <c r="U154" s="61">
        <f>IFERROR(VLOOKUP(Table25[[#This Row],[Non Conformance]],'[2]New defect code '!$B$2:$C$129,2,0),0)</f>
        <v>0</v>
      </c>
      <c r="V154" s="61">
        <v>18</v>
      </c>
      <c r="W154" s="61" t="str">
        <f>IFERROR(VLOOKUP(Table25[[#This Row],[Code4]],'[2]New Reason code'!$A$2:$D$77,2,0),0)</f>
        <v>During insert change</v>
      </c>
      <c r="X154" s="61">
        <f ca="1">#REF!+Table25[[#This Row],[Rejection Identified at]]</f>
        <v>0</v>
      </c>
      <c r="Y154" s="63">
        <f>IFERROR(VLOOKUP(Table25[[#This Row],[Reason]],Coding!A151:C208,3,0),0)</f>
        <v>0</v>
      </c>
    </row>
    <row r="155" spans="1:25" ht="20.25" customHeight="1">
      <c r="A155" s="50">
        <v>151</v>
      </c>
      <c r="B155" s="61">
        <v>47</v>
      </c>
      <c r="C155" s="61" t="str">
        <f>IFERROR(VLOOKUP(Table25[[#This Row],[Code]],'[2]New Machine sheet'!$A$1:$D$101,2,0),0)</f>
        <v>MURATEC-03</v>
      </c>
      <c r="D155" s="61" t="str">
        <f>IFERROR(VLOOKUP(Table25[[#This Row],[M/c No]],'[2]New Machine sheet'!$B$1:$D$101,2,0),0)</f>
        <v>MURATEC</v>
      </c>
      <c r="E155" s="61" t="str">
        <f>IFERROR(VLOOKUP(Table25[[#This Row],[M/c Name]],'[2]New Machine sheet'!$C$1:$D$101,2,0),0)</f>
        <v xml:space="preserve">turning </v>
      </c>
      <c r="F155" s="61">
        <v>127</v>
      </c>
      <c r="G155" s="61">
        <f>IFERROR(VLOOKUP(Table25[[#This Row],[Code2]],'[2]New Machine sheet'!$F$2:$I$64,2,),0)</f>
        <v>24127</v>
      </c>
      <c r="H155" s="61" t="str">
        <f>IFERROR(VLOOKUP(Table25[[#This Row],[Code2]],'[2]New Machine sheet'!$F$2:$I$64,3,0),0)</f>
        <v>RE J1</v>
      </c>
      <c r="I155" s="61" t="s">
        <v>140</v>
      </c>
      <c r="J155" s="61">
        <v>73</v>
      </c>
      <c r="K155" s="61" t="str">
        <f>IFERROR(VLOOKUP(Table25[[#This Row],[Code3]],'[2]New defect code '!$A$2:$D$129,2,0),0)</f>
        <v>PG NO go pass (Bush Bore o/s)</v>
      </c>
      <c r="L155" s="61" t="s">
        <v>200</v>
      </c>
      <c r="M155" s="56">
        <v>46266</v>
      </c>
      <c r="N155" s="61"/>
      <c r="O155" s="61"/>
      <c r="P155" s="61">
        <v>2</v>
      </c>
      <c r="Q155" s="61"/>
      <c r="R155" s="61">
        <f>SUBTOTAL(9,Table25[[#This Row],[1st]:[FQC]])</f>
        <v>2</v>
      </c>
      <c r="S155" s="61">
        <f>IFERROR(VLOOKUP(Table25[[#This Row],[Part No.]],'[2]New Machine sheet'!$G$2:$I$90,3,0),0)</f>
        <v>262.81200000000001</v>
      </c>
      <c r="T155" s="61">
        <f>Table25[[#This Row],[cost per piece]]*Table25[[#This Row],[Total Rej. qty]]</f>
        <v>525.62400000000002</v>
      </c>
      <c r="U155" s="61">
        <f>IFERROR(VLOOKUP(Table25[[#This Row],[Non Conformance]],'[2]New defect code '!$B$2:$C$129,2,0),0)</f>
        <v>0</v>
      </c>
      <c r="V155" s="61">
        <v>45</v>
      </c>
      <c r="W155" s="61" t="str">
        <f>IFERROR(VLOOKUP(Table25[[#This Row],[Code4]],'[2]New Reason code'!$A$2:$D$77,2,0),0)</f>
        <v>Running m/c</v>
      </c>
      <c r="X155" s="61">
        <f ca="1">#REF!+Table25[[#This Row],[Rejection Identified at]]</f>
        <v>0</v>
      </c>
      <c r="Y155" s="63">
        <f>IFERROR(VLOOKUP(Table25[[#This Row],[Reason]],Coding!A152:C209,3,0),0)</f>
        <v>0</v>
      </c>
    </row>
    <row r="156" spans="1:25" ht="20.25" customHeight="1">
      <c r="A156" s="60">
        <v>152</v>
      </c>
      <c r="B156" s="61"/>
      <c r="C156" s="61" t="s">
        <v>116</v>
      </c>
      <c r="D156" s="61" t="s">
        <v>117</v>
      </c>
      <c r="E156" s="61" t="str">
        <f>IFERROR(VLOOKUP(Table25[[#This Row],[M/c Name]],'[2]New Machine sheet'!$C$1:$D$101,2,0),0)</f>
        <v>Turning</v>
      </c>
      <c r="F156" s="61">
        <v>127</v>
      </c>
      <c r="G156" s="61">
        <f>IFERROR(VLOOKUP(Table25[[#This Row],[Code2]],'[2]New Machine sheet'!$F$2:$I$64,2,),0)</f>
        <v>24127</v>
      </c>
      <c r="H156" s="61" t="str">
        <f>IFERROR(VLOOKUP(Table25[[#This Row],[Code2]],'[2]New Machine sheet'!$F$2:$I$64,3,0),0)</f>
        <v>RE J1</v>
      </c>
      <c r="I156" s="61" t="s">
        <v>133</v>
      </c>
      <c r="J156" s="61">
        <v>37</v>
      </c>
      <c r="K156" s="61" t="str">
        <f>IFERROR(VLOOKUP(Table25[[#This Row],[Code3]],'[2]New defect code '!$A$2:$D$129,2,0),0)</f>
        <v>Face chatring</v>
      </c>
      <c r="L156" s="61" t="s">
        <v>200</v>
      </c>
      <c r="M156" s="56">
        <v>46266</v>
      </c>
      <c r="N156" s="61"/>
      <c r="O156" s="61"/>
      <c r="P156" s="61">
        <v>1</v>
      </c>
      <c r="Q156" s="61"/>
      <c r="R156" s="61">
        <f>SUBTOTAL(9,Table25[[#This Row],[1st]:[FQC]])</f>
        <v>1</v>
      </c>
      <c r="S156" s="61">
        <f>IFERROR(VLOOKUP(Table25[[#This Row],[Part No.]],'[2]New Machine sheet'!$G$2:$I$90,3,0),0)</f>
        <v>262.81200000000001</v>
      </c>
      <c r="T156" s="61">
        <f>Table25[[#This Row],[cost per piece]]*Table25[[#This Row],[Total Rej. qty]]</f>
        <v>262.81200000000001</v>
      </c>
      <c r="U156" s="61">
        <f>IFERROR(VLOOKUP(Table25[[#This Row],[Non Conformance]],'[2]New defect code '!$B$2:$C$129,2,0),0)</f>
        <v>0</v>
      </c>
      <c r="V156" s="61">
        <v>45</v>
      </c>
      <c r="W156" s="61" t="str">
        <f>IFERROR(VLOOKUP(Table25[[#This Row],[Code4]],'[2]New Reason code'!$A$2:$D$77,2,0),0)</f>
        <v>Running m/c</v>
      </c>
      <c r="X156" s="61">
        <f ca="1">#REF!+Table25[[#This Row],[Rejection Identified at]]</f>
        <v>0</v>
      </c>
      <c r="Y156" s="63">
        <f>IFERROR(VLOOKUP(Table25[[#This Row],[Reason]],Coding!A153:C210,3,0),0)</f>
        <v>0</v>
      </c>
    </row>
    <row r="157" spans="1:25" ht="20.25" customHeight="1">
      <c r="A157" s="50">
        <v>153</v>
      </c>
      <c r="B157" s="61"/>
      <c r="C157" s="61" t="s">
        <v>118</v>
      </c>
      <c r="D157" s="61" t="s">
        <v>117</v>
      </c>
      <c r="E157" s="61" t="str">
        <f>IFERROR(VLOOKUP(Table25[[#This Row],[M/c Name]],'[2]New Machine sheet'!$C$1:$D$101,2,0),0)</f>
        <v>Turning</v>
      </c>
      <c r="F157" s="61">
        <v>127</v>
      </c>
      <c r="G157" s="61">
        <f>IFERROR(VLOOKUP(Table25[[#This Row],[Code2]],'[2]New Machine sheet'!$F$2:$I$64,2,),0)</f>
        <v>24127</v>
      </c>
      <c r="H157" s="61" t="str">
        <f>IFERROR(VLOOKUP(Table25[[#This Row],[Code2]],'[2]New Machine sheet'!$F$2:$I$64,3,0),0)</f>
        <v>RE J1</v>
      </c>
      <c r="I157" s="61" t="s">
        <v>177</v>
      </c>
      <c r="J157" s="61">
        <v>61</v>
      </c>
      <c r="K157" s="61" t="str">
        <f>IFERROR(VLOOKUP(Table25[[#This Row],[Code3]],'[2]New defect code '!$A$2:$D$129,2,0),0)</f>
        <v>Od o/s</v>
      </c>
      <c r="L157" s="61" t="s">
        <v>200</v>
      </c>
      <c r="M157" s="56">
        <v>46266</v>
      </c>
      <c r="N157" s="61"/>
      <c r="O157" s="61"/>
      <c r="P157" s="61">
        <v>8</v>
      </c>
      <c r="Q157" s="61"/>
      <c r="R157" s="61">
        <f>SUBTOTAL(9,Table25[[#This Row],[1st]:[FQC]])</f>
        <v>8</v>
      </c>
      <c r="S157" s="61">
        <f>IFERROR(VLOOKUP(Table25[[#This Row],[Part No.]],'[2]New Machine sheet'!$G$2:$I$90,3,0),0)</f>
        <v>262.81200000000001</v>
      </c>
      <c r="T157" s="61">
        <f>Table25[[#This Row],[cost per piece]]*Table25[[#This Row],[Total Rej. qty]]</f>
        <v>2102.4960000000001</v>
      </c>
      <c r="U157" s="61">
        <f>IFERROR(VLOOKUP(Table25[[#This Row],[Non Conformance]],'[2]New defect code '!$B$2:$C$129,2,0),0)</f>
        <v>0</v>
      </c>
      <c r="V157" s="61">
        <v>42</v>
      </c>
      <c r="W157" s="61" t="str">
        <f>IFERROR(VLOOKUP(Table25[[#This Row],[Code4]],'[2]New Reason code'!$A$2:$D$77,2,0),0)</f>
        <v>part not checked by operator</v>
      </c>
      <c r="X157" s="61">
        <f ca="1">#REF!+Table25[[#This Row],[Rejection Identified at]]</f>
        <v>0</v>
      </c>
      <c r="Y157" s="63">
        <f>IFERROR(VLOOKUP(Table25[[#This Row],[Reason]],Coding!A154:C211,3,0),0)</f>
        <v>0</v>
      </c>
    </row>
    <row r="158" spans="1:25" ht="20.25" customHeight="1">
      <c r="A158" s="60">
        <v>154</v>
      </c>
      <c r="B158" s="61">
        <v>15</v>
      </c>
      <c r="C158" s="61" t="str">
        <f>IFERROR(VLOOKUP(Table25[[#This Row],[Code]],'[2]New Machine sheet'!$A$1:$D$101,2,0),0)</f>
        <v>282-15</v>
      </c>
      <c r="D158" s="61" t="str">
        <f>IFERROR(VLOOKUP(Table25[[#This Row],[M/c No]],'[2]New Machine sheet'!$B$1:$D$101,2,0),0)</f>
        <v>Mazak</v>
      </c>
      <c r="E158" s="61" t="str">
        <f>IFERROR(VLOOKUP(Table25[[#This Row],[M/c Name]],'[2]New Machine sheet'!$C$1:$D$101,2,0),0)</f>
        <v>Turning</v>
      </c>
      <c r="F158" s="61">
        <v>82</v>
      </c>
      <c r="G158" s="61">
        <f>IFERROR(VLOOKUP(Table25[[#This Row],[Code2]],'[2]New Machine sheet'!$F$2:$I$64,2,),0)</f>
        <v>2482</v>
      </c>
      <c r="H158" s="61" t="str">
        <f>IFERROR(VLOOKUP(Table25[[#This Row],[Code2]],'[2]New Machine sheet'!$F$2:$I$64,3,0),0)</f>
        <v>RE P1</v>
      </c>
      <c r="I158" s="61" t="s">
        <v>121</v>
      </c>
      <c r="J158" s="61">
        <v>61</v>
      </c>
      <c r="K158" s="61" t="str">
        <f>IFERROR(VLOOKUP(Table25[[#This Row],[Code3]],'[2]New defect code '!$A$2:$D$129,2,0),0)</f>
        <v>Od o/s</v>
      </c>
      <c r="L158" s="61" t="s">
        <v>204</v>
      </c>
      <c r="M158" s="56">
        <v>46266</v>
      </c>
      <c r="N158" s="61">
        <v>1</v>
      </c>
      <c r="O158" s="61"/>
      <c r="P158" s="61"/>
      <c r="Q158" s="61"/>
      <c r="R158" s="61">
        <f>SUBTOTAL(9,Table25[[#This Row],[1st]:[FQC]])</f>
        <v>1</v>
      </c>
      <c r="S158" s="61">
        <f>IFERROR(VLOOKUP(Table25[[#This Row],[Part No.]],'[2]New Machine sheet'!$G$2:$I$90,3,0),0)</f>
        <v>303.45333333333332</v>
      </c>
      <c r="T158" s="61">
        <f>Table25[[#This Row],[cost per piece]]*Table25[[#This Row],[Total Rej. qty]]</f>
        <v>303.45333333333332</v>
      </c>
      <c r="U158" s="61">
        <f>IFERROR(VLOOKUP(Table25[[#This Row],[Non Conformance]],'[2]New defect code '!$B$2:$C$129,2,0),0)</f>
        <v>0</v>
      </c>
      <c r="V158" s="61">
        <v>45</v>
      </c>
      <c r="W158" s="61" t="str">
        <f>IFERROR(VLOOKUP(Table25[[#This Row],[Code4]],'[2]New Reason code'!$A$2:$D$77,2,0),0)</f>
        <v>Running m/c</v>
      </c>
      <c r="X158" s="61">
        <f ca="1">#REF!+Table25[[#This Row],[Rejection Identified at]]</f>
        <v>0</v>
      </c>
      <c r="Y158" s="63">
        <f>IFERROR(VLOOKUP(Table25[[#This Row],[Reason]],Coding!A155:C212,3,0),0)</f>
        <v>0</v>
      </c>
    </row>
    <row r="159" spans="1:25" ht="20.25" customHeight="1">
      <c r="A159" s="50">
        <v>155</v>
      </c>
      <c r="B159" s="61">
        <v>20</v>
      </c>
      <c r="C159" s="61" t="str">
        <f>IFERROR(VLOOKUP(Table25[[#This Row],[Code]],'[2]New Machine sheet'!$A$1:$D$101,2,0),0)</f>
        <v>282-20</v>
      </c>
      <c r="D159" s="61" t="str">
        <f>IFERROR(VLOOKUP(Table25[[#This Row],[M/c No]],'[2]New Machine sheet'!$B$1:$D$101,2,0),0)</f>
        <v>Mazak</v>
      </c>
      <c r="E159" s="61" t="str">
        <f>IFERROR(VLOOKUP(Table25[[#This Row],[M/c Name]],'[2]New Machine sheet'!$C$1:$D$101,2,0),0)</f>
        <v>Turning</v>
      </c>
      <c r="F159" s="61">
        <v>115</v>
      </c>
      <c r="G159" s="61">
        <f>IFERROR(VLOOKUP(Table25[[#This Row],[Code2]],'[2]New Machine sheet'!$F$2:$I$64,2,),0)</f>
        <v>24115</v>
      </c>
      <c r="H159" s="61" t="str">
        <f>IFERROR(VLOOKUP(Table25[[#This Row],[Code2]],'[2]New Machine sheet'!$F$2:$I$64,3,0),0)</f>
        <v>RE J1</v>
      </c>
      <c r="I159" s="61" t="s">
        <v>191</v>
      </c>
      <c r="J159" s="61">
        <v>10</v>
      </c>
      <c r="K159" s="61" t="str">
        <f>IFERROR(VLOOKUP(Table25[[#This Row],[Code3]],'[2]New defect code '!$A$2:$D$129,2,0),0)</f>
        <v xml:space="preserve">Bore u/s </v>
      </c>
      <c r="L159" s="61" t="s">
        <v>204</v>
      </c>
      <c r="M159" s="56">
        <v>46266</v>
      </c>
      <c r="N159" s="61">
        <v>1</v>
      </c>
      <c r="O159" s="61"/>
      <c r="P159" s="61"/>
      <c r="Q159" s="61"/>
      <c r="R159" s="61">
        <f>SUBTOTAL(9,Table25[[#This Row],[1st]:[FQC]])</f>
        <v>1</v>
      </c>
      <c r="S159" s="61">
        <f>IFERROR(VLOOKUP(Table25[[#This Row],[Part No.]],'[2]New Machine sheet'!$G$2:$I$90,3,0),0)</f>
        <v>66.900000000000006</v>
      </c>
      <c r="T159" s="61">
        <f>Table25[[#This Row],[cost per piece]]*Table25[[#This Row],[Total Rej. qty]]</f>
        <v>66.900000000000006</v>
      </c>
      <c r="U159" s="61">
        <f>IFERROR(VLOOKUP(Table25[[#This Row],[Non Conformance]],'[2]New defect code '!$B$2:$C$129,2,0),0)</f>
        <v>0</v>
      </c>
      <c r="V159" s="61">
        <v>21</v>
      </c>
      <c r="W159" s="61" t="str">
        <f>IFERROR(VLOOKUP(Table25[[#This Row],[Code4]],'[2]New Reason code'!$A$2:$D$77,2,0),0)</f>
        <v>During setup time</v>
      </c>
      <c r="X159" s="61">
        <f ca="1">#REF!+Table25[[#This Row],[Rejection Identified at]]</f>
        <v>0</v>
      </c>
      <c r="Y159" s="63">
        <f>IFERROR(VLOOKUP(Table25[[#This Row],[Reason]],Coding!A156:C213,3,0),0)</f>
        <v>0</v>
      </c>
    </row>
    <row r="160" spans="1:25" ht="20.25" customHeight="1">
      <c r="A160" s="60">
        <v>156</v>
      </c>
      <c r="B160" s="61">
        <v>22</v>
      </c>
      <c r="C160" s="61" t="str">
        <f>IFERROR(VLOOKUP(Table25[[#This Row],[Code]],'[2]New Machine sheet'!$A$1:$D$101,2,0),0)</f>
        <v>ACE-02</v>
      </c>
      <c r="D160" s="61" t="str">
        <f>IFERROR(VLOOKUP(Table25[[#This Row],[M/c No]],'[2]New Machine sheet'!$B$1:$D$101,2,0),0)</f>
        <v>Micromatic</v>
      </c>
      <c r="E160" s="61" t="str">
        <f>IFERROR(VLOOKUP(Table25[[#This Row],[M/c Name]],'[2]New Machine sheet'!$C$1:$D$101,2,0),0)</f>
        <v>Turning</v>
      </c>
      <c r="F160" s="61">
        <v>115</v>
      </c>
      <c r="G160" s="61">
        <f>IFERROR(VLOOKUP(Table25[[#This Row],[Code2]],'[2]New Machine sheet'!$F$2:$I$64,2,),0)</f>
        <v>24115</v>
      </c>
      <c r="H160" s="61" t="str">
        <f>IFERROR(VLOOKUP(Table25[[#This Row],[Code2]],'[2]New Machine sheet'!$F$2:$I$64,3,0),0)</f>
        <v>RE J1</v>
      </c>
      <c r="I160" s="61" t="s">
        <v>191</v>
      </c>
      <c r="J160" s="61">
        <v>41</v>
      </c>
      <c r="K160" s="61" t="str">
        <f>IFERROR(VLOOKUP(Table25[[#This Row],[Code3]],'[2]New defect code '!$A$2:$D$129,2,0),0)</f>
        <v>Face Less metal</v>
      </c>
      <c r="L160" s="61" t="s">
        <v>204</v>
      </c>
      <c r="M160" s="56">
        <v>46266</v>
      </c>
      <c r="N160" s="61">
        <v>1</v>
      </c>
      <c r="O160" s="61"/>
      <c r="P160" s="61"/>
      <c r="Q160" s="61"/>
      <c r="R160" s="61">
        <f>SUBTOTAL(9,Table25[[#This Row],[1st]:[FQC]])</f>
        <v>1</v>
      </c>
      <c r="S160" s="61">
        <f>IFERROR(VLOOKUP(Table25[[#This Row],[Part No.]],'[2]New Machine sheet'!$G$2:$I$90,3,0),0)</f>
        <v>66.900000000000006</v>
      </c>
      <c r="T160" s="61">
        <f>Table25[[#This Row],[cost per piece]]*Table25[[#This Row],[Total Rej. qty]]</f>
        <v>66.900000000000006</v>
      </c>
      <c r="U160" s="61">
        <f>IFERROR(VLOOKUP(Table25[[#This Row],[Non Conformance]],'[2]New defect code '!$B$2:$C$129,2,0),0)</f>
        <v>3259</v>
      </c>
      <c r="V160" s="61">
        <v>45</v>
      </c>
      <c r="W160" s="61" t="str">
        <f>IFERROR(VLOOKUP(Table25[[#This Row],[Code4]],'[2]New Reason code'!$A$2:$D$77,2,0),0)</f>
        <v>Running m/c</v>
      </c>
      <c r="X160" s="61">
        <f ca="1">#REF!+Table25[[#This Row],[Rejection Identified at]]</f>
        <v>0</v>
      </c>
      <c r="Y160" s="63">
        <f>IFERROR(VLOOKUP(Table25[[#This Row],[Reason]],Coding!A157:C214,3,0),0)</f>
        <v>0</v>
      </c>
    </row>
    <row r="161" spans="1:25" ht="20.25" customHeight="1">
      <c r="A161" s="50">
        <v>157</v>
      </c>
      <c r="B161" s="61">
        <v>36</v>
      </c>
      <c r="C161" s="61" t="str">
        <f>IFERROR(VLOOKUP(Table25[[#This Row],[Code]],'[2]New Machine sheet'!$A$1:$D$101,2,0),0)</f>
        <v>ACE-16</v>
      </c>
      <c r="D161" s="61" t="str">
        <f>IFERROR(VLOOKUP(Table25[[#This Row],[M/c No]],'[2]New Machine sheet'!$B$1:$D$101,2,0),0)</f>
        <v>Micromatic</v>
      </c>
      <c r="E161" s="61" t="str">
        <f>IFERROR(VLOOKUP(Table25[[#This Row],[M/c Name]],'[2]New Machine sheet'!$C$1:$D$101,2,0),0)</f>
        <v>Turning</v>
      </c>
      <c r="F161" s="61">
        <v>121</v>
      </c>
      <c r="G161" s="61">
        <f>IFERROR(VLOOKUP(Table25[[#This Row],[Code2]],'[2]New Machine sheet'!$F$2:$I$64,2,),0)</f>
        <v>24121</v>
      </c>
      <c r="H161" s="61" t="str">
        <f>IFERROR(VLOOKUP(Table25[[#This Row],[Code2]],'[2]New Machine sheet'!$F$2:$I$64,3,0),0)</f>
        <v>RE J1</v>
      </c>
      <c r="I161" s="61" t="s">
        <v>202</v>
      </c>
      <c r="J161" s="61">
        <v>71</v>
      </c>
      <c r="K161" s="61" t="str">
        <f>IFERROR(VLOOKUP(Table25[[#This Row],[Code3]],'[2]New defect code '!$A$2:$D$129,2,0),0)</f>
        <v>PG go not qualify</v>
      </c>
      <c r="L161" s="61" t="s">
        <v>204</v>
      </c>
      <c r="M161" s="56">
        <v>46266</v>
      </c>
      <c r="N161" s="61">
        <v>1</v>
      </c>
      <c r="O161" s="61"/>
      <c r="P161" s="61"/>
      <c r="Q161" s="61"/>
      <c r="R161" s="61">
        <f>SUBTOTAL(9,Table25[[#This Row],[1st]:[FQC]])</f>
        <v>1</v>
      </c>
      <c r="S161" s="61">
        <f>IFERROR(VLOOKUP(Table25[[#This Row],[Part No.]],'[2]New Machine sheet'!$G$2:$I$90,3,0),0)</f>
        <v>135.66999999999999</v>
      </c>
      <c r="T161" s="61">
        <f>Table25[[#This Row],[cost per piece]]*Table25[[#This Row],[Total Rej. qty]]</f>
        <v>135.66999999999999</v>
      </c>
      <c r="U161" s="61">
        <f>IFERROR(VLOOKUP(Table25[[#This Row],[Non Conformance]],'[2]New defect code '!$B$2:$C$129,2,0),0)</f>
        <v>0</v>
      </c>
      <c r="V161" s="61">
        <v>45</v>
      </c>
      <c r="W161" s="61" t="str">
        <f>IFERROR(VLOOKUP(Table25[[#This Row],[Code4]],'[2]New Reason code'!$A$2:$D$77,2,0),0)</f>
        <v>Running m/c</v>
      </c>
      <c r="X161" s="61">
        <f ca="1">#REF!+Table25[[#This Row],[Rejection Identified at]]</f>
        <v>0</v>
      </c>
      <c r="Y161" s="63">
        <f>IFERROR(VLOOKUP(Table25[[#This Row],[Reason]],Coding!A158:C215,3,0),0)</f>
        <v>0</v>
      </c>
    </row>
    <row r="162" spans="1:25" ht="20.25" customHeight="1">
      <c r="A162" s="60">
        <v>158</v>
      </c>
      <c r="B162" s="61">
        <v>5</v>
      </c>
      <c r="C162" s="61" t="str">
        <f>IFERROR(VLOOKUP(Table25[[#This Row],[Code]],'[2]New Machine sheet'!$A$1:$D$101,2,0),0)</f>
        <v>282-05</v>
      </c>
      <c r="D162" s="61" t="str">
        <f>IFERROR(VLOOKUP(Table25[[#This Row],[M/c No]],'[2]New Machine sheet'!$B$1:$D$101,2,0),0)</f>
        <v>Mazak</v>
      </c>
      <c r="E162" s="61" t="str">
        <f>IFERROR(VLOOKUP(Table25[[#This Row],[M/c Name]],'[2]New Machine sheet'!$C$1:$D$101,2,0),0)</f>
        <v>Turning</v>
      </c>
      <c r="F162" s="61">
        <v>119</v>
      </c>
      <c r="G162" s="61">
        <f>IFERROR(VLOOKUP(Table25[[#This Row],[Code2]],'[2]New Machine sheet'!$F$2:$I$64,2,),0)</f>
        <v>24119</v>
      </c>
      <c r="H162" s="61" t="str">
        <f>IFERROR(VLOOKUP(Table25[[#This Row],[Code2]],'[2]New Machine sheet'!$F$2:$I$64,3,0),0)</f>
        <v>RE J1</v>
      </c>
      <c r="I162" s="61" t="s">
        <v>154</v>
      </c>
      <c r="J162" s="61">
        <v>10</v>
      </c>
      <c r="K162" s="61" t="str">
        <f>IFERROR(VLOOKUP(Table25[[#This Row],[Code3]],'[2]New defect code '!$A$2:$D$129,2,0),0)</f>
        <v xml:space="preserve">Bore u/s </v>
      </c>
      <c r="L162" s="61" t="s">
        <v>204</v>
      </c>
      <c r="M162" s="56">
        <v>46266</v>
      </c>
      <c r="N162" s="61">
        <v>1</v>
      </c>
      <c r="O162" s="61"/>
      <c r="P162" s="61"/>
      <c r="Q162" s="61"/>
      <c r="R162" s="61">
        <f>SUBTOTAL(9,Table25[[#This Row],[1st]:[FQC]])</f>
        <v>1</v>
      </c>
      <c r="S162" s="61">
        <f>IFERROR(VLOOKUP(Table25[[#This Row],[Part No.]],'[2]New Machine sheet'!$G$2:$I$90,3,0),0)</f>
        <v>103.2</v>
      </c>
      <c r="T162" s="61">
        <f>Table25[[#This Row],[cost per piece]]*Table25[[#This Row],[Total Rej. qty]]</f>
        <v>103.2</v>
      </c>
      <c r="U162" s="61">
        <f>IFERROR(VLOOKUP(Table25[[#This Row],[Non Conformance]],'[2]New defect code '!$B$2:$C$129,2,0),0)</f>
        <v>0</v>
      </c>
      <c r="V162" s="61">
        <v>45</v>
      </c>
      <c r="W162" s="61" t="str">
        <f>IFERROR(VLOOKUP(Table25[[#This Row],[Code4]],'[2]New Reason code'!$A$2:$D$77,2,0),0)</f>
        <v>Running m/c</v>
      </c>
      <c r="X162" s="61">
        <f ca="1">#REF!+Table25[[#This Row],[Rejection Identified at]]</f>
        <v>0</v>
      </c>
      <c r="Y162" s="63">
        <f>IFERROR(VLOOKUP(Table25[[#This Row],[Reason]],Coding!A159:C216,3,0),0)</f>
        <v>0</v>
      </c>
    </row>
    <row r="163" spans="1:25" ht="20.25" customHeight="1">
      <c r="A163" s="50">
        <v>159</v>
      </c>
      <c r="B163" s="61">
        <v>19</v>
      </c>
      <c r="C163" s="61" t="str">
        <f>IFERROR(VLOOKUP(Table25[[#This Row],[Code]],'[2]New Machine sheet'!$A$1:$D$101,2,0),0)</f>
        <v>282-19</v>
      </c>
      <c r="D163" s="61" t="str">
        <f>IFERROR(VLOOKUP(Table25[[#This Row],[M/c No]],'[2]New Machine sheet'!$B$1:$D$101,2,0),0)</f>
        <v>Mazak</v>
      </c>
      <c r="E163" s="61" t="str">
        <f>IFERROR(VLOOKUP(Table25[[#This Row],[M/c Name]],'[2]New Machine sheet'!$C$1:$D$101,2,0),0)</f>
        <v>Turning</v>
      </c>
      <c r="F163" s="61">
        <v>122</v>
      </c>
      <c r="G163" s="61">
        <f>IFERROR(VLOOKUP(Table25[[#This Row],[Code2]],'[2]New Machine sheet'!$F$2:$I$64,2,),0)</f>
        <v>24122</v>
      </c>
      <c r="H163" s="61" t="str">
        <f>IFERROR(VLOOKUP(Table25[[#This Row],[Code2]],'[2]New Machine sheet'!$F$2:$I$64,3,0),0)</f>
        <v>RE J1</v>
      </c>
      <c r="I163" s="61" t="s">
        <v>144</v>
      </c>
      <c r="J163" s="61">
        <v>10</v>
      </c>
      <c r="K163" s="61" t="str">
        <f>IFERROR(VLOOKUP(Table25[[#This Row],[Code3]],'[2]New defect code '!$A$2:$D$129,2,0),0)</f>
        <v xml:space="preserve">Bore u/s </v>
      </c>
      <c r="L163" s="61" t="s">
        <v>204</v>
      </c>
      <c r="M163" s="56">
        <v>46266</v>
      </c>
      <c r="N163" s="61">
        <v>1</v>
      </c>
      <c r="O163" s="61"/>
      <c r="P163" s="61"/>
      <c r="Q163" s="61"/>
      <c r="R163" s="61">
        <f>SUBTOTAL(9,Table25[[#This Row],[1st]:[FQC]])</f>
        <v>1</v>
      </c>
      <c r="S163" s="61">
        <f>IFERROR(VLOOKUP(Table25[[#This Row],[Part No.]],'[2]New Machine sheet'!$G$2:$I$90,3,0),0)</f>
        <v>335.39977528089889</v>
      </c>
      <c r="T163" s="61">
        <f>Table25[[#This Row],[cost per piece]]*Table25[[#This Row],[Total Rej. qty]]</f>
        <v>335.39977528089889</v>
      </c>
      <c r="U163" s="61">
        <f>IFERROR(VLOOKUP(Table25[[#This Row],[Non Conformance]],'[2]New defect code '!$B$2:$C$129,2,0),0)</f>
        <v>0</v>
      </c>
      <c r="V163" s="61">
        <v>45</v>
      </c>
      <c r="W163" s="61" t="str">
        <f>IFERROR(VLOOKUP(Table25[[#This Row],[Code4]],'[2]New Reason code'!$A$2:$D$77,2,0),0)</f>
        <v>Running m/c</v>
      </c>
      <c r="X163" s="61">
        <f ca="1">#REF!+Table25[[#This Row],[Rejection Identified at]]</f>
        <v>0</v>
      </c>
      <c r="Y163" s="63">
        <f>IFERROR(VLOOKUP(Table25[[#This Row],[Reason]],Coding!A160:C217,3,0),0)</f>
        <v>0</v>
      </c>
    </row>
    <row r="164" spans="1:25" ht="20.25" customHeight="1">
      <c r="A164" s="60">
        <v>160</v>
      </c>
      <c r="B164" s="61">
        <v>45</v>
      </c>
      <c r="C164" s="61" t="str">
        <f>IFERROR(VLOOKUP(Table25[[#This Row],[Code]],'[2]New Machine sheet'!$A$1:$D$101,2,0),0)</f>
        <v>MURATEC-01</v>
      </c>
      <c r="D164" s="61" t="str">
        <f>IFERROR(VLOOKUP(Table25[[#This Row],[M/c No]],'[2]New Machine sheet'!$B$1:$D$101,2,0),0)</f>
        <v>MURATEC</v>
      </c>
      <c r="E164" s="61" t="str">
        <f>IFERROR(VLOOKUP(Table25[[#This Row],[M/c Name]],'[2]New Machine sheet'!$C$1:$D$101,2,0),0)</f>
        <v xml:space="preserve">turning </v>
      </c>
      <c r="F164" s="61">
        <v>122</v>
      </c>
      <c r="G164" s="61">
        <f>IFERROR(VLOOKUP(Table25[[#This Row],[Code2]],'[2]New Machine sheet'!$F$2:$I$64,2,),0)</f>
        <v>24122</v>
      </c>
      <c r="H164" s="61" t="str">
        <f>IFERROR(VLOOKUP(Table25[[#This Row],[Code2]],'[2]New Machine sheet'!$F$2:$I$64,3,0),0)</f>
        <v>RE J1</v>
      </c>
      <c r="I164" s="61" t="s">
        <v>130</v>
      </c>
      <c r="J164" s="61">
        <v>49</v>
      </c>
      <c r="K164" s="61" t="str">
        <f>IFERROR(VLOOKUP(Table25[[#This Row],[Code3]],'[2]New defect code '!$A$2:$D$129,2,0),0)</f>
        <v>Thickness over size</v>
      </c>
      <c r="L164" s="61" t="s">
        <v>204</v>
      </c>
      <c r="M164" s="56">
        <v>46266</v>
      </c>
      <c r="N164" s="61">
        <v>1</v>
      </c>
      <c r="O164" s="61"/>
      <c r="P164" s="61"/>
      <c r="Q164" s="61"/>
      <c r="R164" s="61">
        <f>SUBTOTAL(9,Table25[[#This Row],[1st]:[FQC]])</f>
        <v>1</v>
      </c>
      <c r="S164" s="61">
        <f>IFERROR(VLOOKUP(Table25[[#This Row],[Part No.]],'[2]New Machine sheet'!$G$2:$I$90,3,0),0)</f>
        <v>335.39977528089889</v>
      </c>
      <c r="T164" s="61">
        <f>Table25[[#This Row],[cost per piece]]*Table25[[#This Row],[Total Rej. qty]]</f>
        <v>335.39977528089889</v>
      </c>
      <c r="U164" s="61">
        <f>IFERROR(VLOOKUP(Table25[[#This Row],[Non Conformance]],'[2]New defect code '!$B$2:$C$129,2,0),0)</f>
        <v>0</v>
      </c>
      <c r="V164" s="61">
        <v>45</v>
      </c>
      <c r="W164" s="61" t="str">
        <f>IFERROR(VLOOKUP(Table25[[#This Row],[Code4]],'[2]New Reason code'!$A$2:$D$77,2,0),0)</f>
        <v>Running m/c</v>
      </c>
      <c r="X164" s="61">
        <f ca="1">#REF!+Table25[[#This Row],[Rejection Identified at]]</f>
        <v>0</v>
      </c>
      <c r="Y164" s="63">
        <f>IFERROR(VLOOKUP(Table25[[#This Row],[Reason]],Coding!A161:C218,3,0),0)</f>
        <v>0</v>
      </c>
    </row>
    <row r="165" spans="1:25" ht="20.25" customHeight="1">
      <c r="A165" s="50">
        <v>161</v>
      </c>
      <c r="B165" s="61">
        <v>45</v>
      </c>
      <c r="C165" s="61" t="str">
        <f>IFERROR(VLOOKUP(Table25[[#This Row],[Code]],'[2]New Machine sheet'!$A$1:$D$101,2,0),0)</f>
        <v>MURATEC-01</v>
      </c>
      <c r="D165" s="61" t="str">
        <f>IFERROR(VLOOKUP(Table25[[#This Row],[M/c No]],'[2]New Machine sheet'!$B$1:$D$101,2,0),0)</f>
        <v>MURATEC</v>
      </c>
      <c r="E165" s="61" t="str">
        <f>IFERROR(VLOOKUP(Table25[[#This Row],[M/c Name]],'[2]New Machine sheet'!$C$1:$D$101,2,0),0)</f>
        <v xml:space="preserve">turning </v>
      </c>
      <c r="F165" s="61">
        <v>122</v>
      </c>
      <c r="G165" s="61">
        <f>IFERROR(VLOOKUP(Table25[[#This Row],[Code2]],'[2]New Machine sheet'!$F$2:$I$64,2,),0)</f>
        <v>24122</v>
      </c>
      <c r="H165" s="61" t="str">
        <f>IFERROR(VLOOKUP(Table25[[#This Row],[Code2]],'[2]New Machine sheet'!$F$2:$I$64,3,0),0)</f>
        <v>RE J1</v>
      </c>
      <c r="I165" s="61" t="s">
        <v>146</v>
      </c>
      <c r="J165" s="61">
        <v>57</v>
      </c>
      <c r="K165" s="61" t="str">
        <f>IFERROR(VLOOKUP(Table25[[#This Row],[Code3]],'[2]New defect code '!$A$2:$D$129,2,0),0)</f>
        <v>OD chatring</v>
      </c>
      <c r="L165" s="61" t="s">
        <v>204</v>
      </c>
      <c r="M165" s="56">
        <v>46266</v>
      </c>
      <c r="N165" s="61"/>
      <c r="O165" s="61">
        <v>2</v>
      </c>
      <c r="P165" s="61"/>
      <c r="Q165" s="61"/>
      <c r="R165" s="61">
        <f>SUBTOTAL(9,Table25[[#This Row],[1st]:[FQC]])</f>
        <v>2</v>
      </c>
      <c r="S165" s="61">
        <f>IFERROR(VLOOKUP(Table25[[#This Row],[Part No.]],'[2]New Machine sheet'!$G$2:$I$90,3,0),0)</f>
        <v>335.39977528089889</v>
      </c>
      <c r="T165" s="61">
        <f>Table25[[#This Row],[cost per piece]]*Table25[[#This Row],[Total Rej. qty]]</f>
        <v>670.79955056179779</v>
      </c>
      <c r="U165" s="61">
        <f>IFERROR(VLOOKUP(Table25[[#This Row],[Non Conformance]],'[2]New defect code '!$B$2:$C$129,2,0),0)</f>
        <v>0</v>
      </c>
      <c r="V165" s="61">
        <v>45</v>
      </c>
      <c r="W165" s="61" t="str">
        <f>IFERROR(VLOOKUP(Table25[[#This Row],[Code4]],'[2]New Reason code'!$A$2:$D$77,2,0),0)</f>
        <v>Running m/c</v>
      </c>
      <c r="X165" s="61">
        <f ca="1">#REF!+Table25[[#This Row],[Rejection Identified at]]</f>
        <v>0</v>
      </c>
      <c r="Y165" s="63">
        <f>IFERROR(VLOOKUP(Table25[[#This Row],[Reason]],Coding!A162:C219,3,0),0)</f>
        <v>0</v>
      </c>
    </row>
    <row r="166" spans="1:25" ht="20.25" customHeight="1">
      <c r="A166" s="60">
        <v>162</v>
      </c>
      <c r="B166" s="61">
        <v>47</v>
      </c>
      <c r="C166" s="61" t="str">
        <f>IFERROR(VLOOKUP(Table25[[#This Row],[Code]],'[2]New Machine sheet'!$A$1:$D$101,2,0),0)</f>
        <v>MURATEC-03</v>
      </c>
      <c r="D166" s="61" t="str">
        <f>IFERROR(VLOOKUP(Table25[[#This Row],[M/c No]],'[2]New Machine sheet'!$B$1:$D$101,2,0),0)</f>
        <v>MURATEC</v>
      </c>
      <c r="E166" s="61" t="str">
        <f>IFERROR(VLOOKUP(Table25[[#This Row],[M/c Name]],'[2]New Machine sheet'!$C$1:$D$101,2,0),0)</f>
        <v xml:space="preserve">turning </v>
      </c>
      <c r="F166" s="61">
        <v>127</v>
      </c>
      <c r="G166" s="61">
        <f>IFERROR(VLOOKUP(Table25[[#This Row],[Code2]],'[2]New Machine sheet'!$F$2:$I$64,2,),0)</f>
        <v>24127</v>
      </c>
      <c r="H166" s="61" t="str">
        <f>IFERROR(VLOOKUP(Table25[[#This Row],[Code2]],'[2]New Machine sheet'!$F$2:$I$64,3,0),0)</f>
        <v>RE J1</v>
      </c>
      <c r="I166" s="61" t="s">
        <v>146</v>
      </c>
      <c r="J166" s="61">
        <v>71</v>
      </c>
      <c r="K166" s="61" t="str">
        <f>IFERROR(VLOOKUP(Table25[[#This Row],[Code3]],'[2]New defect code '!$A$2:$D$129,2,0),0)</f>
        <v>PG go not qualify</v>
      </c>
      <c r="L166" s="61" t="s">
        <v>204</v>
      </c>
      <c r="M166" s="56">
        <v>46266</v>
      </c>
      <c r="N166" s="61"/>
      <c r="O166" s="61">
        <v>2</v>
      </c>
      <c r="P166" s="61"/>
      <c r="Q166" s="61"/>
      <c r="R166" s="61">
        <f>SUBTOTAL(9,Table25[[#This Row],[1st]:[FQC]])</f>
        <v>2</v>
      </c>
      <c r="S166" s="61">
        <f>IFERROR(VLOOKUP(Table25[[#This Row],[Part No.]],'[2]New Machine sheet'!$G$2:$I$90,3,0),0)</f>
        <v>262.81200000000001</v>
      </c>
      <c r="T166" s="61">
        <f>Table25[[#This Row],[cost per piece]]*Table25[[#This Row],[Total Rej. qty]]</f>
        <v>525.62400000000002</v>
      </c>
      <c r="U166" s="61">
        <f>IFERROR(VLOOKUP(Table25[[#This Row],[Non Conformance]],'[2]New defect code '!$B$2:$C$129,2,0),0)</f>
        <v>0</v>
      </c>
      <c r="V166" s="61">
        <v>45</v>
      </c>
      <c r="W166" s="61" t="str">
        <f>IFERROR(VLOOKUP(Table25[[#This Row],[Code4]],'[2]New Reason code'!$A$2:$D$77,2,0),0)</f>
        <v>Running m/c</v>
      </c>
      <c r="X166" s="61">
        <f ca="1">#REF!+Table25[[#This Row],[Rejection Identified at]]</f>
        <v>0</v>
      </c>
      <c r="Y166" s="63">
        <f>IFERROR(VLOOKUP(Table25[[#This Row],[Reason]],Coding!A163:C220,3,0),0)</f>
        <v>0</v>
      </c>
    </row>
    <row r="167" spans="1:25" ht="20.25" customHeight="1">
      <c r="A167" s="50">
        <v>163</v>
      </c>
      <c r="B167" s="61">
        <v>44</v>
      </c>
      <c r="C167" s="61" t="str">
        <f>IFERROR(VLOOKUP(Table25[[#This Row],[Code]],'[2]New Machine sheet'!$A$1:$D$101,2,0),0)</f>
        <v>LT20-NEW</v>
      </c>
      <c r="D167" s="61" t="str">
        <f>IFERROR(VLOOKUP(Table25[[#This Row],[M/c No]],'[2]New Machine sheet'!$B$1:$D$101,2,0),0)</f>
        <v>ACE</v>
      </c>
      <c r="E167" s="61" t="str">
        <f>IFERROR(VLOOKUP(Table25[[#This Row],[M/c Name]],'[2]New Machine sheet'!$C$1:$D$101,2,0),0)</f>
        <v xml:space="preserve">turning </v>
      </c>
      <c r="F167" s="61">
        <v>78</v>
      </c>
      <c r="G167" s="61">
        <f>IFERROR(VLOOKUP(Table25[[#This Row],[Code2]],'[2]New Machine sheet'!$F$2:$I$64,2,),0)</f>
        <v>2478</v>
      </c>
      <c r="H167" s="61" t="str">
        <f>IFERROR(VLOOKUP(Table25[[#This Row],[Code2]],'[2]New Machine sheet'!$F$2:$I$64,3,0),0)</f>
        <v>RE P1</v>
      </c>
      <c r="I167" s="61" t="s">
        <v>168</v>
      </c>
      <c r="J167" s="61">
        <v>61</v>
      </c>
      <c r="K167" s="61" t="str">
        <f>IFERROR(VLOOKUP(Table25[[#This Row],[Code3]],'[2]New defect code '!$A$2:$D$129,2,0),0)</f>
        <v>Od o/s</v>
      </c>
      <c r="L167" s="61" t="s">
        <v>204</v>
      </c>
      <c r="M167" s="56">
        <v>46266</v>
      </c>
      <c r="N167" s="61"/>
      <c r="O167" s="61">
        <v>2</v>
      </c>
      <c r="P167" s="61"/>
      <c r="Q167" s="61"/>
      <c r="R167" s="61">
        <f>SUBTOTAL(9,Table25[[#This Row],[1st]:[FQC]])</f>
        <v>2</v>
      </c>
      <c r="S167" s="61">
        <f>IFERROR(VLOOKUP(Table25[[#This Row],[Part No.]],'[2]New Machine sheet'!$G$2:$I$90,3,0),0)</f>
        <v>468.06</v>
      </c>
      <c r="T167" s="61">
        <f>Table25[[#This Row],[cost per piece]]*Table25[[#This Row],[Total Rej. qty]]</f>
        <v>936.12</v>
      </c>
      <c r="U167" s="61">
        <f>IFERROR(VLOOKUP(Table25[[#This Row],[Non Conformance]],'[2]New defect code '!$B$2:$C$129,2,0),0)</f>
        <v>0</v>
      </c>
      <c r="V167" s="61">
        <v>45</v>
      </c>
      <c r="W167" s="61" t="str">
        <f>IFERROR(VLOOKUP(Table25[[#This Row],[Code4]],'[2]New Reason code'!$A$2:$D$77,2,0),0)</f>
        <v>Running m/c</v>
      </c>
      <c r="X167" s="61">
        <f ca="1">#REF!+Table25[[#This Row],[Rejection Identified at]]</f>
        <v>0</v>
      </c>
      <c r="Y167" s="63">
        <f>IFERROR(VLOOKUP(Table25[[#This Row],[Reason]],Coding!A164:C221,3,0),0)</f>
        <v>0</v>
      </c>
    </row>
    <row r="168" spans="1:25" ht="20.25" customHeight="1">
      <c r="A168" s="60">
        <v>164</v>
      </c>
      <c r="B168" s="61">
        <v>39</v>
      </c>
      <c r="C168" s="61" t="str">
        <f>IFERROR(VLOOKUP(Table25[[#This Row],[Code]],'[2]New Machine sheet'!$A$1:$D$101,2,0),0)</f>
        <v>ACE-19</v>
      </c>
      <c r="D168" s="61" t="str">
        <f>IFERROR(VLOOKUP(Table25[[#This Row],[M/c No]],'[2]New Machine sheet'!$B$1:$D$101,2,0),0)</f>
        <v>Micromatic</v>
      </c>
      <c r="E168" s="61" t="str">
        <f>IFERROR(VLOOKUP(Table25[[#This Row],[M/c Name]],'[2]New Machine sheet'!$C$1:$D$101,2,0),0)</f>
        <v>Turning</v>
      </c>
      <c r="F168" s="61">
        <v>117</v>
      </c>
      <c r="G168" s="61">
        <f>IFERROR(VLOOKUP(Table25[[#This Row],[Code2]],'[2]New Machine sheet'!$F$2:$I$64,2,),0)</f>
        <v>24117</v>
      </c>
      <c r="H168" s="61" t="str">
        <f>IFERROR(VLOOKUP(Table25[[#This Row],[Code2]],'[2]New Machine sheet'!$F$2:$I$64,3,0),0)</f>
        <v>RE J1</v>
      </c>
      <c r="I168" s="61" t="s">
        <v>171</v>
      </c>
      <c r="J168" s="61">
        <v>10</v>
      </c>
      <c r="K168" s="61" t="str">
        <f>IFERROR(VLOOKUP(Table25[[#This Row],[Code3]],'[2]New defect code '!$A$2:$D$129,2,0),0)</f>
        <v xml:space="preserve">Bore u/s </v>
      </c>
      <c r="L168" s="61" t="s">
        <v>204</v>
      </c>
      <c r="M168" s="56">
        <v>46266</v>
      </c>
      <c r="N168" s="61"/>
      <c r="O168" s="61">
        <v>1</v>
      </c>
      <c r="P168" s="61"/>
      <c r="Q168" s="61"/>
      <c r="R168" s="61">
        <f>SUBTOTAL(9,Table25[[#This Row],[1st]:[FQC]])</f>
        <v>1</v>
      </c>
      <c r="S168" s="61">
        <f>IFERROR(VLOOKUP(Table25[[#This Row],[Part No.]],'[2]New Machine sheet'!$G$2:$I$90,3,0),0)</f>
        <v>111.97</v>
      </c>
      <c r="T168" s="61">
        <f>Table25[[#This Row],[cost per piece]]*Table25[[#This Row],[Total Rej. qty]]</f>
        <v>111.97</v>
      </c>
      <c r="U168" s="61">
        <f>IFERROR(VLOOKUP(Table25[[#This Row],[Non Conformance]],'[2]New defect code '!$B$2:$C$129,2,0),0)</f>
        <v>0</v>
      </c>
      <c r="V168" s="61">
        <v>45</v>
      </c>
      <c r="W168" s="61" t="str">
        <f>IFERROR(VLOOKUP(Table25[[#This Row],[Code4]],'[2]New Reason code'!$A$2:$D$77,2,0),0)</f>
        <v>Running m/c</v>
      </c>
      <c r="X168" s="61">
        <f ca="1">#REF!+Table25[[#This Row],[Rejection Identified at]]</f>
        <v>0</v>
      </c>
      <c r="Y168" s="63">
        <f>IFERROR(VLOOKUP(Table25[[#This Row],[Reason]],Coding!A165:C222,3,0),0)</f>
        <v>0</v>
      </c>
    </row>
    <row r="169" spans="1:25" ht="20.25" customHeight="1">
      <c r="A169" s="50">
        <v>165</v>
      </c>
      <c r="B169" s="61">
        <v>22</v>
      </c>
      <c r="C169" s="61" t="str">
        <f>IFERROR(VLOOKUP(Table25[[#This Row],[Code]],'[2]New Machine sheet'!$A$1:$D$101,2,0),0)</f>
        <v>ACE-02</v>
      </c>
      <c r="D169" s="61" t="str">
        <f>IFERROR(VLOOKUP(Table25[[#This Row],[M/c No]],'[2]New Machine sheet'!$B$1:$D$101,2,0),0)</f>
        <v>Micromatic</v>
      </c>
      <c r="E169" s="61" t="str">
        <f>IFERROR(VLOOKUP(Table25[[#This Row],[M/c Name]],'[2]New Machine sheet'!$C$1:$D$101,2,0),0)</f>
        <v>Turning</v>
      </c>
      <c r="F169" s="61">
        <v>115</v>
      </c>
      <c r="G169" s="61">
        <f>IFERROR(VLOOKUP(Table25[[#This Row],[Code2]],'[2]New Machine sheet'!$F$2:$I$64,2,),0)</f>
        <v>24115</v>
      </c>
      <c r="H169" s="61" t="str">
        <f>IFERROR(VLOOKUP(Table25[[#This Row],[Code2]],'[2]New Machine sheet'!$F$2:$I$64,3,0),0)</f>
        <v>RE J1</v>
      </c>
      <c r="I169" s="61" t="s">
        <v>113</v>
      </c>
      <c r="J169" s="61">
        <v>10</v>
      </c>
      <c r="K169" s="61" t="str">
        <f>IFERROR(VLOOKUP(Table25[[#This Row],[Code3]],'[2]New defect code '!$A$2:$D$129,2,0),0)</f>
        <v xml:space="preserve">Bore u/s </v>
      </c>
      <c r="L169" s="61" t="s">
        <v>204</v>
      </c>
      <c r="M169" s="56">
        <v>46266</v>
      </c>
      <c r="N169" s="61"/>
      <c r="O169" s="61">
        <v>2</v>
      </c>
      <c r="P169" s="61"/>
      <c r="Q169" s="61"/>
      <c r="R169" s="61">
        <f>SUBTOTAL(9,Table25[[#This Row],[1st]:[FQC]])</f>
        <v>2</v>
      </c>
      <c r="S169" s="61">
        <f>IFERROR(VLOOKUP(Table25[[#This Row],[Part No.]],'[2]New Machine sheet'!$G$2:$I$90,3,0),0)</f>
        <v>66.900000000000006</v>
      </c>
      <c r="T169" s="61">
        <f>Table25[[#This Row],[cost per piece]]*Table25[[#This Row],[Total Rej. qty]]</f>
        <v>133.80000000000001</v>
      </c>
      <c r="U169" s="61">
        <f>IFERROR(VLOOKUP(Table25[[#This Row],[Non Conformance]],'[2]New defect code '!$B$2:$C$129,2,0),0)</f>
        <v>0</v>
      </c>
      <c r="V169" s="61">
        <v>45</v>
      </c>
      <c r="W169" s="61" t="str">
        <f>IFERROR(VLOOKUP(Table25[[#This Row],[Code4]],'[2]New Reason code'!$A$2:$D$77,2,0),0)</f>
        <v>Running m/c</v>
      </c>
      <c r="X169" s="61">
        <f ca="1">#REF!+Table25[[#This Row],[Rejection Identified at]]</f>
        <v>0</v>
      </c>
      <c r="Y169" s="63">
        <f>IFERROR(VLOOKUP(Table25[[#This Row],[Reason]],Coding!A166:C223,3,0),0)</f>
        <v>0</v>
      </c>
    </row>
    <row r="170" spans="1:25" ht="20.25" customHeight="1">
      <c r="A170" s="60">
        <v>166</v>
      </c>
      <c r="B170" s="61">
        <v>16</v>
      </c>
      <c r="C170" s="61" t="str">
        <f>IFERROR(VLOOKUP(Table25[[#This Row],[Code]],'[2]New Machine sheet'!$A$1:$D$101,2,0),0)</f>
        <v>282-16</v>
      </c>
      <c r="D170" s="61" t="str">
        <f>IFERROR(VLOOKUP(Table25[[#This Row],[M/c No]],'[2]New Machine sheet'!$B$1:$D$101,2,0),0)</f>
        <v>Mazak</v>
      </c>
      <c r="E170" s="61" t="str">
        <f>IFERROR(VLOOKUP(Table25[[#This Row],[M/c Name]],'[2]New Machine sheet'!$C$1:$D$101,2,0),0)</f>
        <v>Turning</v>
      </c>
      <c r="F170" s="61">
        <v>102</v>
      </c>
      <c r="G170" s="61">
        <f>IFERROR(VLOOKUP(Table25[[#This Row],[Code2]],'[2]New Machine sheet'!$F$2:$I$64,2,),0)</f>
        <v>24102</v>
      </c>
      <c r="H170" s="61" t="str">
        <f>IFERROR(VLOOKUP(Table25[[#This Row],[Code2]],'[2]New Machine sheet'!$F$2:$I$64,3,0),0)</f>
        <v>RE J1</v>
      </c>
      <c r="I170" s="61" t="s">
        <v>158</v>
      </c>
      <c r="J170" s="61">
        <v>41</v>
      </c>
      <c r="K170" s="61" t="str">
        <f>IFERROR(VLOOKUP(Table25[[#This Row],[Code3]],'[2]New defect code '!$A$2:$D$129,2,0),0)</f>
        <v>Face Less metal</v>
      </c>
      <c r="L170" s="61" t="s">
        <v>204</v>
      </c>
      <c r="M170" s="56">
        <v>46266</v>
      </c>
      <c r="N170" s="61"/>
      <c r="O170" s="61">
        <v>1</v>
      </c>
      <c r="P170" s="61"/>
      <c r="Q170" s="61"/>
      <c r="R170" s="61">
        <f>SUBTOTAL(9,Table25[[#This Row],[1st]:[FQC]])</f>
        <v>1</v>
      </c>
      <c r="S170" s="61">
        <f>IFERROR(VLOOKUP(Table25[[#This Row],[Part No.]],'[2]New Machine sheet'!$G$2:$I$90,3,0),0)</f>
        <v>93</v>
      </c>
      <c r="T170" s="61">
        <f>Table25[[#This Row],[cost per piece]]*Table25[[#This Row],[Total Rej. qty]]</f>
        <v>93</v>
      </c>
      <c r="U170" s="61">
        <f>IFERROR(VLOOKUP(Table25[[#This Row],[Non Conformance]],'[2]New defect code '!$B$2:$C$129,2,0),0)</f>
        <v>3259</v>
      </c>
      <c r="V170" s="61">
        <v>45</v>
      </c>
      <c r="W170" s="61" t="str">
        <f>IFERROR(VLOOKUP(Table25[[#This Row],[Code4]],'[2]New Reason code'!$A$2:$D$77,2,0),0)</f>
        <v>Running m/c</v>
      </c>
      <c r="X170" s="61">
        <f ca="1">#REF!+Table25[[#This Row],[Rejection Identified at]]</f>
        <v>0</v>
      </c>
      <c r="Y170" s="63">
        <f>IFERROR(VLOOKUP(Table25[[#This Row],[Reason]],Coding!A167:C224,3,0),0)</f>
        <v>0</v>
      </c>
    </row>
    <row r="171" spans="1:25" ht="20.25" customHeight="1">
      <c r="A171" s="50">
        <v>167</v>
      </c>
      <c r="B171" s="61"/>
      <c r="C171" s="61" t="s">
        <v>116</v>
      </c>
      <c r="D171" s="61" t="s">
        <v>117</v>
      </c>
      <c r="E171" s="61" t="str">
        <f>IFERROR(VLOOKUP(Table25[[#This Row],[M/c Name]],'[2]New Machine sheet'!$C$1:$D$101,2,0),0)</f>
        <v>Turning</v>
      </c>
      <c r="F171" s="61">
        <v>127</v>
      </c>
      <c r="G171" s="61">
        <f>IFERROR(VLOOKUP(Table25[[#This Row],[Code2]],'[2]New Machine sheet'!$F$2:$I$64,2,),0)</f>
        <v>24127</v>
      </c>
      <c r="H171" s="61" t="str">
        <f>IFERROR(VLOOKUP(Table25[[#This Row],[Code2]],'[2]New Machine sheet'!$F$2:$I$64,3,0),0)</f>
        <v>RE J1</v>
      </c>
      <c r="I171" s="61" t="s">
        <v>171</v>
      </c>
      <c r="J171" s="61">
        <v>41</v>
      </c>
      <c r="K171" s="61" t="str">
        <f>IFERROR(VLOOKUP(Table25[[#This Row],[Code3]],'[2]New defect code '!$A$2:$D$129,2,0),0)</f>
        <v>Face Less metal</v>
      </c>
      <c r="L171" s="61" t="s">
        <v>204</v>
      </c>
      <c r="M171" s="56">
        <v>46266</v>
      </c>
      <c r="N171" s="61"/>
      <c r="O171" s="61"/>
      <c r="P171" s="61">
        <v>1</v>
      </c>
      <c r="Q171" s="61"/>
      <c r="R171" s="61">
        <f>SUBTOTAL(9,Table25[[#This Row],[1st]:[FQC]])</f>
        <v>1</v>
      </c>
      <c r="S171" s="61">
        <f>IFERROR(VLOOKUP(Table25[[#This Row],[Part No.]],'[2]New Machine sheet'!$G$2:$I$90,3,0),0)</f>
        <v>262.81200000000001</v>
      </c>
      <c r="T171" s="61">
        <f>Table25[[#This Row],[cost per piece]]*Table25[[#This Row],[Total Rej. qty]]</f>
        <v>262.81200000000001</v>
      </c>
      <c r="U171" s="61">
        <f>IFERROR(VLOOKUP(Table25[[#This Row],[Non Conformance]],'[2]New defect code '!$B$2:$C$129,2,0),0)</f>
        <v>3259</v>
      </c>
      <c r="V171" s="61">
        <v>45</v>
      </c>
      <c r="W171" s="61" t="str">
        <f>IFERROR(VLOOKUP(Table25[[#This Row],[Code4]],'[2]New Reason code'!$A$2:$D$77,2,0),0)</f>
        <v>Running m/c</v>
      </c>
      <c r="X171" s="61">
        <f ca="1">#REF!+Table25[[#This Row],[Rejection Identified at]]</f>
        <v>0</v>
      </c>
      <c r="Y171" s="63">
        <f>IFERROR(VLOOKUP(Table25[[#This Row],[Reason]],Coding!A168:C225,3,0),0)</f>
        <v>0</v>
      </c>
    </row>
    <row r="172" spans="1:25" ht="20.25" customHeight="1">
      <c r="A172" s="60">
        <v>168</v>
      </c>
      <c r="B172" s="61">
        <v>37</v>
      </c>
      <c r="C172" s="61" t="str">
        <f>IFERROR(VLOOKUP(Table25[[#This Row],[Code]],'[2]New Machine sheet'!$A$1:$D$101,2,0),0)</f>
        <v>ACE-17</v>
      </c>
      <c r="D172" s="61" t="str">
        <f>IFERROR(VLOOKUP(Table25[[#This Row],[M/c No]],'[2]New Machine sheet'!$B$1:$D$101,2,0),0)</f>
        <v>Micromatic</v>
      </c>
      <c r="E172" s="61" t="str">
        <f>IFERROR(VLOOKUP(Table25[[#This Row],[M/c Name]],'[2]New Machine sheet'!$C$1:$D$101,2,0),0)</f>
        <v>Turning</v>
      </c>
      <c r="F172" s="61">
        <v>127</v>
      </c>
      <c r="G172" s="61">
        <f>IFERROR(VLOOKUP(Table25[[#This Row],[Code2]],'[2]New Machine sheet'!$F$2:$I$64,2,),0)</f>
        <v>24127</v>
      </c>
      <c r="H172" s="61" t="str">
        <f>IFERROR(VLOOKUP(Table25[[#This Row],[Code2]],'[2]New Machine sheet'!$F$2:$I$64,3,0),0)</f>
        <v>RE J1</v>
      </c>
      <c r="I172" s="61" t="s">
        <v>137</v>
      </c>
      <c r="J172" s="61">
        <v>61</v>
      </c>
      <c r="K172" s="61" t="str">
        <f>IFERROR(VLOOKUP(Table25[[#This Row],[Code3]],'[2]New defect code '!$A$2:$D$129,2,0),0)</f>
        <v>Od o/s</v>
      </c>
      <c r="L172" s="61" t="s">
        <v>204</v>
      </c>
      <c r="M172" s="56">
        <v>46266</v>
      </c>
      <c r="N172" s="61"/>
      <c r="O172" s="61"/>
      <c r="P172" s="61">
        <v>1</v>
      </c>
      <c r="Q172" s="61"/>
      <c r="R172" s="61">
        <f>SUBTOTAL(9,Table25[[#This Row],[1st]:[FQC]])</f>
        <v>1</v>
      </c>
      <c r="S172" s="61">
        <f>IFERROR(VLOOKUP(Table25[[#This Row],[Part No.]],'[2]New Machine sheet'!$G$2:$I$90,3,0),0)</f>
        <v>262.81200000000001</v>
      </c>
      <c r="T172" s="61">
        <f>Table25[[#This Row],[cost per piece]]*Table25[[#This Row],[Total Rej. qty]]</f>
        <v>262.81200000000001</v>
      </c>
      <c r="U172" s="61">
        <f>IFERROR(VLOOKUP(Table25[[#This Row],[Non Conformance]],'[2]New defect code '!$B$2:$C$129,2,0),0)</f>
        <v>0</v>
      </c>
      <c r="V172" s="61">
        <v>45</v>
      </c>
      <c r="W172" s="61" t="str">
        <f>IFERROR(VLOOKUP(Table25[[#This Row],[Code4]],'[2]New Reason code'!$A$2:$D$77,2,0),0)</f>
        <v>Running m/c</v>
      </c>
      <c r="X172" s="61">
        <f ca="1">#REF!+Table25[[#This Row],[Rejection Identified at]]</f>
        <v>0</v>
      </c>
      <c r="Y172" s="63">
        <f>IFERROR(VLOOKUP(Table25[[#This Row],[Reason]],Coding!A169:C226,3,0),0)</f>
        <v>0</v>
      </c>
    </row>
    <row r="173" spans="1:25" ht="20.25" customHeight="1">
      <c r="A173" s="50">
        <v>169</v>
      </c>
      <c r="B173" s="61">
        <v>46</v>
      </c>
      <c r="C173" s="61" t="str">
        <f>IFERROR(VLOOKUP(Table25[[#This Row],[Code]],'[2]New Machine sheet'!$A$1:$D$101,2,0),0)</f>
        <v>MURATEC-02</v>
      </c>
      <c r="D173" s="61" t="str">
        <f>IFERROR(VLOOKUP(Table25[[#This Row],[M/c No]],'[2]New Machine sheet'!$B$1:$D$101,2,0),0)</f>
        <v>MURATEC</v>
      </c>
      <c r="E173" s="61" t="str">
        <f>IFERROR(VLOOKUP(Table25[[#This Row],[M/c Name]],'[2]New Machine sheet'!$C$1:$D$101,2,0),0)</f>
        <v xml:space="preserve">turning </v>
      </c>
      <c r="F173" s="61">
        <v>127</v>
      </c>
      <c r="G173" s="61">
        <f>IFERROR(VLOOKUP(Table25[[#This Row],[Code2]],'[2]New Machine sheet'!$F$2:$I$64,2,),0)</f>
        <v>24127</v>
      </c>
      <c r="H173" s="61" t="str">
        <f>IFERROR(VLOOKUP(Table25[[#This Row],[Code2]],'[2]New Machine sheet'!$F$2:$I$64,3,0),0)</f>
        <v>RE J1</v>
      </c>
      <c r="I173" s="61" t="s">
        <v>140</v>
      </c>
      <c r="J173" s="61">
        <v>115</v>
      </c>
      <c r="K173" s="61" t="str">
        <f>IFERROR(VLOOKUP(Table25[[#This Row],[Code3]],'[2]New defect code '!$A$2:$D$129,2,0),0)</f>
        <v>Face lining</v>
      </c>
      <c r="L173" s="61" t="s">
        <v>204</v>
      </c>
      <c r="M173" s="56">
        <v>46266</v>
      </c>
      <c r="N173" s="61"/>
      <c r="O173" s="61"/>
      <c r="P173" s="61">
        <v>2</v>
      </c>
      <c r="Q173" s="61"/>
      <c r="R173" s="61">
        <f>SUBTOTAL(9,Table25[[#This Row],[1st]:[FQC]])</f>
        <v>2</v>
      </c>
      <c r="S173" s="61">
        <f>IFERROR(VLOOKUP(Table25[[#This Row],[Part No.]],'[2]New Machine sheet'!$G$2:$I$90,3,0),0)</f>
        <v>262.81200000000001</v>
      </c>
      <c r="T173" s="61">
        <f>Table25[[#This Row],[cost per piece]]*Table25[[#This Row],[Total Rej. qty]]</f>
        <v>525.62400000000002</v>
      </c>
      <c r="U173" s="61">
        <f>IFERROR(VLOOKUP(Table25[[#This Row],[Non Conformance]],'[2]New defect code '!$B$2:$C$129,2,0),0)</f>
        <v>0</v>
      </c>
      <c r="V173" s="61">
        <v>45</v>
      </c>
      <c r="W173" s="61" t="str">
        <f>IFERROR(VLOOKUP(Table25[[#This Row],[Code4]],'[2]New Reason code'!$A$2:$D$77,2,0),0)</f>
        <v>Running m/c</v>
      </c>
      <c r="X173" s="61">
        <f ca="1">#REF!+Table25[[#This Row],[Rejection Identified at]]</f>
        <v>0</v>
      </c>
      <c r="Y173" s="63">
        <f>IFERROR(VLOOKUP(Table25[[#This Row],[Reason]],Coding!A170:C227,3,0),0)</f>
        <v>0</v>
      </c>
    </row>
    <row r="174" spans="1:25" ht="20.25" customHeight="1">
      <c r="A174" s="60">
        <v>170</v>
      </c>
      <c r="B174" s="61">
        <v>20</v>
      </c>
      <c r="C174" s="61" t="str">
        <f>IFERROR(VLOOKUP(Table25[[#This Row],[Code]],'[2]New Machine sheet'!$A$1:$D$101,2,0),0)</f>
        <v>282-20</v>
      </c>
      <c r="D174" s="61" t="str">
        <f>IFERROR(VLOOKUP(Table25[[#This Row],[M/c No]],'[2]New Machine sheet'!$B$1:$D$101,2,0),0)</f>
        <v>Mazak</v>
      </c>
      <c r="E174" s="61" t="str">
        <f>IFERROR(VLOOKUP(Table25[[#This Row],[M/c Name]],'[2]New Machine sheet'!$C$1:$D$101,2,0),0)</f>
        <v>Turning</v>
      </c>
      <c r="F174" s="61">
        <v>115</v>
      </c>
      <c r="G174" s="61">
        <f>IFERROR(VLOOKUP(Table25[[#This Row],[Code2]],'[2]New Machine sheet'!$F$2:$I$64,2,),0)</f>
        <v>24115</v>
      </c>
      <c r="H174" s="61" t="str">
        <f>IFERROR(VLOOKUP(Table25[[#This Row],[Code2]],'[2]New Machine sheet'!$F$2:$I$64,3,0),0)</f>
        <v>RE J1</v>
      </c>
      <c r="I174" s="61" t="s">
        <v>133</v>
      </c>
      <c r="J174" s="61">
        <v>10</v>
      </c>
      <c r="K174" s="61" t="str">
        <f>IFERROR(VLOOKUP(Table25[[#This Row],[Code3]],'[2]New defect code '!$A$2:$D$129,2,0),0)</f>
        <v xml:space="preserve">Bore u/s </v>
      </c>
      <c r="L174" s="61" t="s">
        <v>204</v>
      </c>
      <c r="M174" s="56">
        <v>46266</v>
      </c>
      <c r="N174" s="61"/>
      <c r="O174" s="61"/>
      <c r="P174" s="61">
        <v>8</v>
      </c>
      <c r="Q174" s="61"/>
      <c r="R174" s="61">
        <f>SUBTOTAL(9,Table25[[#This Row],[1st]:[FQC]])</f>
        <v>8</v>
      </c>
      <c r="S174" s="61">
        <f>IFERROR(VLOOKUP(Table25[[#This Row],[Part No.]],'[2]New Machine sheet'!$G$2:$I$90,3,0),0)</f>
        <v>66.900000000000006</v>
      </c>
      <c r="T174" s="61">
        <f>Table25[[#This Row],[cost per piece]]*Table25[[#This Row],[Total Rej. qty]]</f>
        <v>535.20000000000005</v>
      </c>
      <c r="U174" s="61">
        <f>IFERROR(VLOOKUP(Table25[[#This Row],[Non Conformance]],'[2]New defect code '!$B$2:$C$129,2,0),0)</f>
        <v>0</v>
      </c>
      <c r="V174" s="61">
        <v>17</v>
      </c>
      <c r="W174" s="61" t="str">
        <f>IFERROR(VLOOKUP(Table25[[#This Row],[Code4]],'[2]New Reason code'!$A$2:$D$77,2,0),0)</f>
        <v>during insert broken</v>
      </c>
      <c r="X174" s="61">
        <f ca="1">#REF!+Table25[[#This Row],[Rejection Identified at]]</f>
        <v>0</v>
      </c>
      <c r="Y174" s="63">
        <f>IFERROR(VLOOKUP(Table25[[#This Row],[Reason]],Coding!A171:C228,3,0),0)</f>
        <v>0</v>
      </c>
    </row>
    <row r="175" spans="1:25" ht="20.25" customHeight="1">
      <c r="A175" s="50">
        <v>171</v>
      </c>
      <c r="B175" s="61">
        <v>23</v>
      </c>
      <c r="C175" s="61" t="str">
        <f>IFERROR(VLOOKUP(Table25[[#This Row],[Code]],'[2]New Machine sheet'!$A$1:$D$101,2,0),0)</f>
        <v>ACE-03</v>
      </c>
      <c r="D175" s="61" t="str">
        <f>IFERROR(VLOOKUP(Table25[[#This Row],[M/c No]],'[2]New Machine sheet'!$B$1:$D$101,2,0),0)</f>
        <v>Micromatic</v>
      </c>
      <c r="E175" s="61" t="str">
        <f>IFERROR(VLOOKUP(Table25[[#This Row],[M/c Name]],'[2]New Machine sheet'!$C$1:$D$101,2,0),0)</f>
        <v>Turning</v>
      </c>
      <c r="F175" s="61">
        <v>79</v>
      </c>
      <c r="G175" s="61">
        <f>IFERROR(VLOOKUP(Table25[[#This Row],[Code2]],'[2]New Machine sheet'!$F$2:$I$64,2,),0)</f>
        <v>2479</v>
      </c>
      <c r="H175" s="61" t="str">
        <f>IFERROR(VLOOKUP(Table25[[#This Row],[Code2]],'[2]New Machine sheet'!$F$2:$I$64,3,0),0)</f>
        <v>RE P1</v>
      </c>
      <c r="I175" s="61" t="s">
        <v>120</v>
      </c>
      <c r="J175" s="61">
        <v>10</v>
      </c>
      <c r="K175" s="61" t="str">
        <f>IFERROR(VLOOKUP(Table25[[#This Row],[Code3]],'[2]New defect code '!$A$2:$D$129,2,0),0)</f>
        <v xml:space="preserve">Bore u/s </v>
      </c>
      <c r="L175" s="61" t="s">
        <v>207</v>
      </c>
      <c r="M175" s="56">
        <v>46266</v>
      </c>
      <c r="N175" s="61">
        <v>1</v>
      </c>
      <c r="O175" s="61"/>
      <c r="P175" s="61"/>
      <c r="Q175" s="61"/>
      <c r="R175" s="61">
        <f>SUBTOTAL(9,Table25[[#This Row],[1st]:[FQC]])</f>
        <v>1</v>
      </c>
      <c r="S175" s="61">
        <f>IFERROR(VLOOKUP(Table25[[#This Row],[Part No.]],'[2]New Machine sheet'!$G$2:$I$90,3,0),0)</f>
        <v>43.11</v>
      </c>
      <c r="T175" s="61">
        <f>Table25[[#This Row],[cost per piece]]*Table25[[#This Row],[Total Rej. qty]]</f>
        <v>43.11</v>
      </c>
      <c r="U175" s="61">
        <f>IFERROR(VLOOKUP(Table25[[#This Row],[Non Conformance]],'[2]New defect code '!$B$2:$C$129,2,0),0)</f>
        <v>0</v>
      </c>
      <c r="V175" s="61">
        <v>45</v>
      </c>
      <c r="W175" s="61" t="str">
        <f>IFERROR(VLOOKUP(Table25[[#This Row],[Code4]],'[2]New Reason code'!$A$2:$D$77,2,0),0)</f>
        <v>Running m/c</v>
      </c>
      <c r="X175" s="61">
        <f ca="1">#REF!+Table25[[#This Row],[Rejection Identified at]]</f>
        <v>0</v>
      </c>
      <c r="Y175" s="63">
        <f>IFERROR(VLOOKUP(Table25[[#This Row],[Reason]],Coding!A172:C229,3,0),0)</f>
        <v>0</v>
      </c>
    </row>
    <row r="176" spans="1:25" ht="20.25" customHeight="1">
      <c r="A176" s="60">
        <v>172</v>
      </c>
      <c r="B176" s="61">
        <v>4</v>
      </c>
      <c r="C176" s="61" t="str">
        <f>IFERROR(VLOOKUP(Table25[[#This Row],[Code]],'[2]New Machine sheet'!$A$1:$D$101,2,0),0)</f>
        <v>282-04</v>
      </c>
      <c r="D176" s="61" t="str">
        <f>IFERROR(VLOOKUP(Table25[[#This Row],[M/c No]],'[2]New Machine sheet'!$B$1:$D$101,2,0),0)</f>
        <v>Mazak</v>
      </c>
      <c r="E176" s="61" t="str">
        <f>IFERROR(VLOOKUP(Table25[[#This Row],[M/c Name]],'[2]New Machine sheet'!$C$1:$D$101,2,0),0)</f>
        <v>Turning</v>
      </c>
      <c r="F176" s="61">
        <v>79</v>
      </c>
      <c r="G176" s="61">
        <f>IFERROR(VLOOKUP(Table25[[#This Row],[Code2]],'[2]New Machine sheet'!$F$2:$I$64,2,),0)</f>
        <v>2479</v>
      </c>
      <c r="H176" s="61" t="str">
        <f>IFERROR(VLOOKUP(Table25[[#This Row],[Code2]],'[2]New Machine sheet'!$F$2:$I$64,3,0),0)</f>
        <v>RE P1</v>
      </c>
      <c r="I176" s="61" t="s">
        <v>205</v>
      </c>
      <c r="J176" s="61">
        <v>61</v>
      </c>
      <c r="K176" s="61" t="str">
        <f>IFERROR(VLOOKUP(Table25[[#This Row],[Code3]],'[2]New defect code '!$A$2:$D$129,2,0),0)</f>
        <v>Od o/s</v>
      </c>
      <c r="L176" s="61" t="s">
        <v>207</v>
      </c>
      <c r="M176" s="56">
        <v>46266</v>
      </c>
      <c r="N176" s="61">
        <v>1</v>
      </c>
      <c r="O176" s="61"/>
      <c r="P176" s="61"/>
      <c r="Q176" s="61"/>
      <c r="R176" s="61">
        <f>SUBTOTAL(9,Table25[[#This Row],[1st]:[FQC]])</f>
        <v>1</v>
      </c>
      <c r="S176" s="61">
        <f>IFERROR(VLOOKUP(Table25[[#This Row],[Part No.]],'[2]New Machine sheet'!$G$2:$I$90,3,0),0)</f>
        <v>43.11</v>
      </c>
      <c r="T176" s="61">
        <f>Table25[[#This Row],[cost per piece]]*Table25[[#This Row],[Total Rej. qty]]</f>
        <v>43.11</v>
      </c>
      <c r="U176" s="61">
        <f>IFERROR(VLOOKUP(Table25[[#This Row],[Non Conformance]],'[2]New defect code '!$B$2:$C$129,2,0),0)</f>
        <v>0</v>
      </c>
      <c r="V176" s="61">
        <v>45</v>
      </c>
      <c r="W176" s="61" t="str">
        <f>IFERROR(VLOOKUP(Table25[[#This Row],[Code4]],'[2]New Reason code'!$A$2:$D$77,2,0),0)</f>
        <v>Running m/c</v>
      </c>
      <c r="X176" s="61">
        <f ca="1">#REF!+Table25[[#This Row],[Rejection Identified at]]</f>
        <v>0</v>
      </c>
      <c r="Y176" s="63">
        <f>IFERROR(VLOOKUP(Table25[[#This Row],[Reason]],Coding!A173:C230,3,0),0)</f>
        <v>0</v>
      </c>
    </row>
    <row r="177" spans="1:25" ht="20.25" customHeight="1">
      <c r="A177" s="50">
        <v>173</v>
      </c>
      <c r="B177" s="61">
        <v>40</v>
      </c>
      <c r="C177" s="61" t="str">
        <f>IFERROR(VLOOKUP(Table25[[#This Row],[Code]],'[2]New Machine sheet'!$A$1:$D$101,2,0),0)</f>
        <v>ACE-20</v>
      </c>
      <c r="D177" s="61" t="str">
        <f>IFERROR(VLOOKUP(Table25[[#This Row],[M/c No]],'[2]New Machine sheet'!$B$1:$D$101,2,0),0)</f>
        <v>Micromatic</v>
      </c>
      <c r="E177" s="61" t="str">
        <f>IFERROR(VLOOKUP(Table25[[#This Row],[M/c Name]],'[2]New Machine sheet'!$C$1:$D$101,2,0),0)</f>
        <v>Turning</v>
      </c>
      <c r="F177" s="61">
        <v>122</v>
      </c>
      <c r="G177" s="61">
        <f>IFERROR(VLOOKUP(Table25[[#This Row],[Code2]],'[2]New Machine sheet'!$F$2:$I$64,2,),0)</f>
        <v>24122</v>
      </c>
      <c r="H177" s="61" t="str">
        <f>IFERROR(VLOOKUP(Table25[[#This Row],[Code2]],'[2]New Machine sheet'!$F$2:$I$64,3,0),0)</f>
        <v>RE J1</v>
      </c>
      <c r="I177" s="61" t="s">
        <v>196</v>
      </c>
      <c r="J177" s="61">
        <v>10</v>
      </c>
      <c r="K177" s="61" t="str">
        <f>IFERROR(VLOOKUP(Table25[[#This Row],[Code3]],'[2]New defect code '!$A$2:$D$129,2,0),0)</f>
        <v xml:space="preserve">Bore u/s </v>
      </c>
      <c r="L177" s="61" t="s">
        <v>207</v>
      </c>
      <c r="M177" s="56">
        <v>46266</v>
      </c>
      <c r="N177" s="61">
        <v>1</v>
      </c>
      <c r="O177" s="61"/>
      <c r="P177" s="61"/>
      <c r="Q177" s="61"/>
      <c r="R177" s="61">
        <f>SUBTOTAL(9,Table25[[#This Row],[1st]:[FQC]])</f>
        <v>1</v>
      </c>
      <c r="S177" s="61">
        <f>IFERROR(VLOOKUP(Table25[[#This Row],[Part No.]],'[2]New Machine sheet'!$G$2:$I$90,3,0),0)</f>
        <v>335.39977528089889</v>
      </c>
      <c r="T177" s="61">
        <f>Table25[[#This Row],[cost per piece]]*Table25[[#This Row],[Total Rej. qty]]</f>
        <v>335.39977528089889</v>
      </c>
      <c r="U177" s="61">
        <f>IFERROR(VLOOKUP(Table25[[#This Row],[Non Conformance]],'[2]New defect code '!$B$2:$C$129,2,0),0)</f>
        <v>0</v>
      </c>
      <c r="V177" s="61">
        <v>18</v>
      </c>
      <c r="W177" s="61" t="str">
        <f>IFERROR(VLOOKUP(Table25[[#This Row],[Code4]],'[2]New Reason code'!$A$2:$D$77,2,0),0)</f>
        <v>During insert change</v>
      </c>
      <c r="X177" s="61">
        <f ca="1">#REF!+Table25[[#This Row],[Rejection Identified at]]</f>
        <v>0</v>
      </c>
      <c r="Y177" s="63">
        <f>IFERROR(VLOOKUP(Table25[[#This Row],[Reason]],Coding!A174:C231,3,0),0)</f>
        <v>0</v>
      </c>
    </row>
    <row r="178" spans="1:25" ht="20.25" customHeight="1">
      <c r="A178" s="60">
        <v>174</v>
      </c>
      <c r="B178" s="61">
        <v>15</v>
      </c>
      <c r="C178" s="61" t="str">
        <f>IFERROR(VLOOKUP(Table25[[#This Row],[Code]],'[2]New Machine sheet'!$A$1:$D$101,2,0),0)</f>
        <v>282-15</v>
      </c>
      <c r="D178" s="61" t="str">
        <f>IFERROR(VLOOKUP(Table25[[#This Row],[M/c No]],'[2]New Machine sheet'!$B$1:$D$101,2,0),0)</f>
        <v>Mazak</v>
      </c>
      <c r="E178" s="61" t="str">
        <f>IFERROR(VLOOKUP(Table25[[#This Row],[M/c Name]],'[2]New Machine sheet'!$C$1:$D$101,2,0),0)</f>
        <v>Turning</v>
      </c>
      <c r="F178" s="61">
        <v>82</v>
      </c>
      <c r="G178" s="61">
        <f>IFERROR(VLOOKUP(Table25[[#This Row],[Code2]],'[2]New Machine sheet'!$F$2:$I$64,2,),0)</f>
        <v>2482</v>
      </c>
      <c r="H178" s="61" t="str">
        <f>IFERROR(VLOOKUP(Table25[[#This Row],[Code2]],'[2]New Machine sheet'!$F$2:$I$64,3,0),0)</f>
        <v>RE P1</v>
      </c>
      <c r="I178" s="61" t="s">
        <v>121</v>
      </c>
      <c r="J178" s="61">
        <v>88</v>
      </c>
      <c r="K178" s="61" t="str">
        <f>IFERROR(VLOOKUP(Table25[[#This Row],[Code3]],'[2]New defect code '!$A$2:$D$129,2,0),0)</f>
        <v>Step on OD</v>
      </c>
      <c r="L178" s="61" t="s">
        <v>207</v>
      </c>
      <c r="M178" s="56">
        <v>46266</v>
      </c>
      <c r="N178" s="61">
        <v>1</v>
      </c>
      <c r="O178" s="61"/>
      <c r="P178" s="61"/>
      <c r="Q178" s="61"/>
      <c r="R178" s="61">
        <f>SUBTOTAL(9,Table25[[#This Row],[1st]:[FQC]])</f>
        <v>1</v>
      </c>
      <c r="S178" s="61">
        <f>IFERROR(VLOOKUP(Table25[[#This Row],[Part No.]],'[2]New Machine sheet'!$G$2:$I$90,3,0),0)</f>
        <v>303.45333333333332</v>
      </c>
      <c r="T178" s="61">
        <f>Table25[[#This Row],[cost per piece]]*Table25[[#This Row],[Total Rej. qty]]</f>
        <v>303.45333333333332</v>
      </c>
      <c r="U178" s="61">
        <f>IFERROR(VLOOKUP(Table25[[#This Row],[Non Conformance]],'[2]New defect code '!$B$2:$C$129,2,0),0)</f>
        <v>0</v>
      </c>
      <c r="V178" s="61">
        <v>18</v>
      </c>
      <c r="W178" s="61" t="str">
        <f>IFERROR(VLOOKUP(Table25[[#This Row],[Code4]],'[2]New Reason code'!$A$2:$D$77,2,0),0)</f>
        <v>During insert change</v>
      </c>
      <c r="X178" s="61">
        <f ca="1">#REF!+Table25[[#This Row],[Rejection Identified at]]</f>
        <v>0</v>
      </c>
      <c r="Y178" s="63">
        <f>IFERROR(VLOOKUP(Table25[[#This Row],[Reason]],Coding!A175:C232,3,0),0)</f>
        <v>0</v>
      </c>
    </row>
    <row r="179" spans="1:25" ht="20.25" customHeight="1">
      <c r="A179" s="50">
        <v>175</v>
      </c>
      <c r="B179" s="61">
        <v>22</v>
      </c>
      <c r="C179" s="61" t="str">
        <f>IFERROR(VLOOKUP(Table25[[#This Row],[Code]],'[2]New Machine sheet'!$A$1:$D$101,2,0),0)</f>
        <v>ACE-02</v>
      </c>
      <c r="D179" s="61" t="str">
        <f>IFERROR(VLOOKUP(Table25[[#This Row],[M/c No]],'[2]New Machine sheet'!$B$1:$D$101,2,0),0)</f>
        <v>Micromatic</v>
      </c>
      <c r="E179" s="61" t="str">
        <f>IFERROR(VLOOKUP(Table25[[#This Row],[M/c Name]],'[2]New Machine sheet'!$C$1:$D$101,2,0),0)</f>
        <v>Turning</v>
      </c>
      <c r="F179" s="61">
        <v>115</v>
      </c>
      <c r="G179" s="61">
        <f>IFERROR(VLOOKUP(Table25[[#This Row],[Code2]],'[2]New Machine sheet'!$F$2:$I$64,2,),0)</f>
        <v>24115</v>
      </c>
      <c r="H179" s="61" t="str">
        <f>IFERROR(VLOOKUP(Table25[[#This Row],[Code2]],'[2]New Machine sheet'!$F$2:$I$64,3,0),0)</f>
        <v>RE J1</v>
      </c>
      <c r="I179" s="61" t="s">
        <v>141</v>
      </c>
      <c r="J179" s="61">
        <v>10</v>
      </c>
      <c r="K179" s="61" t="str">
        <f>IFERROR(VLOOKUP(Table25[[#This Row],[Code3]],'[2]New defect code '!$A$2:$D$129,2,0),0)</f>
        <v xml:space="preserve">Bore u/s </v>
      </c>
      <c r="L179" s="61" t="s">
        <v>207</v>
      </c>
      <c r="M179" s="56">
        <v>46266</v>
      </c>
      <c r="N179" s="61">
        <v>2</v>
      </c>
      <c r="O179" s="61"/>
      <c r="P179" s="61"/>
      <c r="Q179" s="61"/>
      <c r="R179" s="61">
        <f>SUBTOTAL(9,Table25[[#This Row],[1st]:[FQC]])</f>
        <v>2</v>
      </c>
      <c r="S179" s="61">
        <f>IFERROR(VLOOKUP(Table25[[#This Row],[Part No.]],'[2]New Machine sheet'!$G$2:$I$90,3,0),0)</f>
        <v>66.900000000000006</v>
      </c>
      <c r="T179" s="61">
        <f>Table25[[#This Row],[cost per piece]]*Table25[[#This Row],[Total Rej. qty]]</f>
        <v>133.80000000000001</v>
      </c>
      <c r="U179" s="61">
        <f>IFERROR(VLOOKUP(Table25[[#This Row],[Non Conformance]],'[2]New defect code '!$B$2:$C$129,2,0),0)</f>
        <v>0</v>
      </c>
      <c r="V179" s="61">
        <v>18</v>
      </c>
      <c r="W179" s="61" t="str">
        <f>IFERROR(VLOOKUP(Table25[[#This Row],[Code4]],'[2]New Reason code'!$A$2:$D$77,2,0),0)</f>
        <v>During insert change</v>
      </c>
      <c r="X179" s="61">
        <f ca="1">#REF!+Table25[[#This Row],[Rejection Identified at]]</f>
        <v>0</v>
      </c>
      <c r="Y179" s="63">
        <f>IFERROR(VLOOKUP(Table25[[#This Row],[Reason]],Coding!A176:C233,3,0),0)</f>
        <v>0</v>
      </c>
    </row>
    <row r="180" spans="1:25" ht="20.25" customHeight="1">
      <c r="A180" s="60">
        <v>176</v>
      </c>
      <c r="B180" s="61">
        <v>44</v>
      </c>
      <c r="C180" s="61" t="str">
        <f>IFERROR(VLOOKUP(Table25[[#This Row],[Code]],'[2]New Machine sheet'!$A$1:$D$101,2,0),0)</f>
        <v>LT20-NEW</v>
      </c>
      <c r="D180" s="61" t="str">
        <f>IFERROR(VLOOKUP(Table25[[#This Row],[M/c No]],'[2]New Machine sheet'!$B$1:$D$101,2,0),0)</f>
        <v>ACE</v>
      </c>
      <c r="E180" s="61" t="str">
        <f>IFERROR(VLOOKUP(Table25[[#This Row],[M/c Name]],'[2]New Machine sheet'!$C$1:$D$101,2,0),0)</f>
        <v xml:space="preserve">turning </v>
      </c>
      <c r="F180" s="61">
        <v>78</v>
      </c>
      <c r="G180" s="61">
        <f>IFERROR(VLOOKUP(Table25[[#This Row],[Code2]],'[2]New Machine sheet'!$F$2:$I$64,2,),0)</f>
        <v>2478</v>
      </c>
      <c r="H180" s="61" t="str">
        <f>IFERROR(VLOOKUP(Table25[[#This Row],[Code2]],'[2]New Machine sheet'!$F$2:$I$64,3,0),0)</f>
        <v>RE P1</v>
      </c>
      <c r="I180" s="61" t="s">
        <v>169</v>
      </c>
      <c r="J180" s="61">
        <v>61</v>
      </c>
      <c r="K180" s="61" t="str">
        <f>IFERROR(VLOOKUP(Table25[[#This Row],[Code3]],'[2]New defect code '!$A$2:$D$129,2,0),0)</f>
        <v>Od o/s</v>
      </c>
      <c r="L180" s="61" t="s">
        <v>207</v>
      </c>
      <c r="M180" s="56">
        <v>46266</v>
      </c>
      <c r="N180" s="61">
        <v>1</v>
      </c>
      <c r="O180" s="61"/>
      <c r="P180" s="61"/>
      <c r="Q180" s="61"/>
      <c r="R180" s="61">
        <f>SUBTOTAL(9,Table25[[#This Row],[1st]:[FQC]])</f>
        <v>1</v>
      </c>
      <c r="S180" s="61">
        <f>IFERROR(VLOOKUP(Table25[[#This Row],[Part No.]],'[2]New Machine sheet'!$G$2:$I$90,3,0),0)</f>
        <v>468.06</v>
      </c>
      <c r="T180" s="61">
        <f>Table25[[#This Row],[cost per piece]]*Table25[[#This Row],[Total Rej. qty]]</f>
        <v>468.06</v>
      </c>
      <c r="U180" s="61">
        <f>IFERROR(VLOOKUP(Table25[[#This Row],[Non Conformance]],'[2]New defect code '!$B$2:$C$129,2,0),0)</f>
        <v>0</v>
      </c>
      <c r="V180" s="61">
        <v>45</v>
      </c>
      <c r="W180" s="61" t="str">
        <f>IFERROR(VLOOKUP(Table25[[#This Row],[Code4]],'[2]New Reason code'!$A$2:$D$77,2,0),0)</f>
        <v>Running m/c</v>
      </c>
      <c r="X180" s="61">
        <f ca="1">#REF!+Table25[[#This Row],[Rejection Identified at]]</f>
        <v>0</v>
      </c>
      <c r="Y180" s="63">
        <f>IFERROR(VLOOKUP(Table25[[#This Row],[Reason]],Coding!A177:C234,3,0),0)</f>
        <v>0</v>
      </c>
    </row>
    <row r="181" spans="1:25" ht="20.25" customHeight="1">
      <c r="A181" s="50">
        <v>177</v>
      </c>
      <c r="B181" s="61"/>
      <c r="C181" s="61" t="s">
        <v>118</v>
      </c>
      <c r="D181" s="61" t="s">
        <v>117</v>
      </c>
      <c r="E181" s="61" t="str">
        <f>IFERROR(VLOOKUP(Table25[[#This Row],[M/c Name]],'[2]New Machine sheet'!$C$1:$D$101,2,0),0)</f>
        <v>Turning</v>
      </c>
      <c r="F181" s="61">
        <v>127</v>
      </c>
      <c r="G181" s="61">
        <f>IFERROR(VLOOKUP(Table25[[#This Row],[Code2]],'[2]New Machine sheet'!$F$2:$I$64,2,),0)</f>
        <v>24127</v>
      </c>
      <c r="H181" s="61" t="str">
        <f>IFERROR(VLOOKUP(Table25[[#This Row],[Code2]],'[2]New Machine sheet'!$F$2:$I$64,3,0),0)</f>
        <v>RE J1</v>
      </c>
      <c r="I181" s="61" t="s">
        <v>191</v>
      </c>
      <c r="J181" s="61">
        <v>73</v>
      </c>
      <c r="K181" s="61" t="str">
        <f>IFERROR(VLOOKUP(Table25[[#This Row],[Code3]],'[2]New defect code '!$A$2:$D$129,2,0),0)</f>
        <v>PG NO go pass (Bush Bore o/s)</v>
      </c>
      <c r="L181" s="61" t="s">
        <v>207</v>
      </c>
      <c r="M181" s="56">
        <v>46266</v>
      </c>
      <c r="N181" s="61">
        <v>4</v>
      </c>
      <c r="O181" s="61"/>
      <c r="P181" s="61"/>
      <c r="Q181" s="61"/>
      <c r="R181" s="61">
        <f>SUBTOTAL(9,Table25[[#This Row],[1st]:[FQC]])</f>
        <v>4</v>
      </c>
      <c r="S181" s="61">
        <f>IFERROR(VLOOKUP(Table25[[#This Row],[Part No.]],'[2]New Machine sheet'!$G$2:$I$90,3,0),0)</f>
        <v>262.81200000000001</v>
      </c>
      <c r="T181" s="61">
        <f>Table25[[#This Row],[cost per piece]]*Table25[[#This Row],[Total Rej. qty]]</f>
        <v>1051.248</v>
      </c>
      <c r="U181" s="61">
        <f>IFERROR(VLOOKUP(Table25[[#This Row],[Non Conformance]],'[2]New defect code '!$B$2:$C$129,2,0),0)</f>
        <v>0</v>
      </c>
      <c r="V181" s="61">
        <v>45</v>
      </c>
      <c r="W181" s="61" t="str">
        <f>IFERROR(VLOOKUP(Table25[[#This Row],[Code4]],'[2]New Reason code'!$A$2:$D$77,2,0),0)</f>
        <v>Running m/c</v>
      </c>
      <c r="X181" s="61">
        <f ca="1">#REF!+Table25[[#This Row],[Rejection Identified at]]</f>
        <v>0</v>
      </c>
      <c r="Y181" s="63">
        <f>IFERROR(VLOOKUP(Table25[[#This Row],[Reason]],Coding!A178:C235,3,0),0)</f>
        <v>0</v>
      </c>
    </row>
    <row r="182" spans="1:25" ht="20.25" customHeight="1">
      <c r="A182" s="60">
        <v>178</v>
      </c>
      <c r="B182" s="61">
        <v>24</v>
      </c>
      <c r="C182" s="61" t="str">
        <f>IFERROR(VLOOKUP(Table25[[#This Row],[Code]],'[2]New Machine sheet'!$A$1:$D$101,2,0),0)</f>
        <v>ACE-04</v>
      </c>
      <c r="D182" s="61" t="str">
        <f>IFERROR(VLOOKUP(Table25[[#This Row],[M/c No]],'[2]New Machine sheet'!$B$1:$D$101,2,0),0)</f>
        <v>Micromatic</v>
      </c>
      <c r="E182" s="61" t="str">
        <f>IFERROR(VLOOKUP(Table25[[#This Row],[M/c Name]],'[2]New Machine sheet'!$C$1:$D$101,2,0),0)</f>
        <v>Turning</v>
      </c>
      <c r="F182" s="61">
        <v>125</v>
      </c>
      <c r="G182" s="61">
        <f>IFERROR(VLOOKUP(Table25[[#This Row],[Code2]],'[2]New Machine sheet'!$F$2:$I$64,2,),0)</f>
        <v>24125</v>
      </c>
      <c r="H182" s="61" t="str">
        <f>IFERROR(VLOOKUP(Table25[[#This Row],[Code2]],'[2]New Machine sheet'!$F$2:$I$64,3,0),0)</f>
        <v>RE J1</v>
      </c>
      <c r="I182" s="61" t="s">
        <v>173</v>
      </c>
      <c r="J182" s="61">
        <v>10</v>
      </c>
      <c r="K182" s="61" t="str">
        <f>IFERROR(VLOOKUP(Table25[[#This Row],[Code3]],'[2]New defect code '!$A$2:$D$129,2,0),0)</f>
        <v xml:space="preserve">Bore u/s </v>
      </c>
      <c r="L182" s="61" t="s">
        <v>207</v>
      </c>
      <c r="M182" s="56">
        <v>46266</v>
      </c>
      <c r="N182" s="61">
        <v>1</v>
      </c>
      <c r="O182" s="61"/>
      <c r="P182" s="61"/>
      <c r="Q182" s="61"/>
      <c r="R182" s="61">
        <f>SUBTOTAL(9,Table25[[#This Row],[1st]:[FQC]])</f>
        <v>1</v>
      </c>
      <c r="S182" s="61">
        <f>IFERROR(VLOOKUP(Table25[[#This Row],[Part No.]],'[2]New Machine sheet'!$G$2:$I$90,3,0),0)</f>
        <v>65.17</v>
      </c>
      <c r="T182" s="61">
        <f>Table25[[#This Row],[cost per piece]]*Table25[[#This Row],[Total Rej. qty]]</f>
        <v>65.17</v>
      </c>
      <c r="U182" s="61">
        <f>IFERROR(VLOOKUP(Table25[[#This Row],[Non Conformance]],'[2]New defect code '!$B$2:$C$129,2,0),0)</f>
        <v>0</v>
      </c>
      <c r="V182" s="61">
        <v>45</v>
      </c>
      <c r="W182" s="61" t="str">
        <f>IFERROR(VLOOKUP(Table25[[#This Row],[Code4]],'[2]New Reason code'!$A$2:$D$77,2,0),0)</f>
        <v>Running m/c</v>
      </c>
      <c r="X182" s="61">
        <f ca="1">#REF!+Table25[[#This Row],[Rejection Identified at]]</f>
        <v>0</v>
      </c>
      <c r="Y182" s="63">
        <f>IFERROR(VLOOKUP(Table25[[#This Row],[Reason]],Coding!A179:C236,3,0),0)</f>
        <v>0</v>
      </c>
    </row>
    <row r="183" spans="1:25" ht="20.25" customHeight="1">
      <c r="A183" s="50">
        <v>179</v>
      </c>
      <c r="B183" s="61">
        <v>47</v>
      </c>
      <c r="C183" s="61" t="str">
        <f>IFERROR(VLOOKUP(Table25[[#This Row],[Code]],'[2]New Machine sheet'!$A$1:$D$101,2,0),0)</f>
        <v>MURATEC-03</v>
      </c>
      <c r="D183" s="61" t="str">
        <f>IFERROR(VLOOKUP(Table25[[#This Row],[M/c No]],'[2]New Machine sheet'!$B$1:$D$101,2,0),0)</f>
        <v>MURATEC</v>
      </c>
      <c r="E183" s="61" t="str">
        <f>IFERROR(VLOOKUP(Table25[[#This Row],[M/c Name]],'[2]New Machine sheet'!$C$1:$D$101,2,0),0)</f>
        <v xml:space="preserve">turning </v>
      </c>
      <c r="F183" s="61">
        <v>127</v>
      </c>
      <c r="G183" s="61">
        <f>IFERROR(VLOOKUP(Table25[[#This Row],[Code2]],'[2]New Machine sheet'!$F$2:$I$64,2,),0)</f>
        <v>24127</v>
      </c>
      <c r="H183" s="61" t="str">
        <f>IFERROR(VLOOKUP(Table25[[#This Row],[Code2]],'[2]New Machine sheet'!$F$2:$I$64,3,0),0)</f>
        <v>RE J1</v>
      </c>
      <c r="I183" s="61" t="s">
        <v>146</v>
      </c>
      <c r="J183" s="61">
        <v>73</v>
      </c>
      <c r="K183" s="61" t="str">
        <f>IFERROR(VLOOKUP(Table25[[#This Row],[Code3]],'[2]New defect code '!$A$2:$D$129,2,0),0)</f>
        <v>PG NO go pass (Bush Bore o/s)</v>
      </c>
      <c r="L183" s="61" t="s">
        <v>207</v>
      </c>
      <c r="M183" s="56">
        <v>46266</v>
      </c>
      <c r="N183" s="61"/>
      <c r="O183" s="61">
        <v>2</v>
      </c>
      <c r="P183" s="61"/>
      <c r="Q183" s="61"/>
      <c r="R183" s="61">
        <f>SUBTOTAL(9,Table25[[#This Row],[1st]:[FQC]])</f>
        <v>2</v>
      </c>
      <c r="S183" s="61">
        <f>IFERROR(VLOOKUP(Table25[[#This Row],[Part No.]],'[2]New Machine sheet'!$G$2:$I$90,3,0),0)</f>
        <v>262.81200000000001</v>
      </c>
      <c r="T183" s="61">
        <f>Table25[[#This Row],[cost per piece]]*Table25[[#This Row],[Total Rej. qty]]</f>
        <v>525.62400000000002</v>
      </c>
      <c r="U183" s="61">
        <f>IFERROR(VLOOKUP(Table25[[#This Row],[Non Conformance]],'[2]New defect code '!$B$2:$C$129,2,0),0)</f>
        <v>0</v>
      </c>
      <c r="V183" s="61">
        <v>45</v>
      </c>
      <c r="W183" s="61" t="str">
        <f>IFERROR(VLOOKUP(Table25[[#This Row],[Code4]],'[2]New Reason code'!$A$2:$D$77,2,0),0)</f>
        <v>Running m/c</v>
      </c>
      <c r="X183" s="61">
        <f ca="1">#REF!+Table25[[#This Row],[Rejection Identified at]]</f>
        <v>0</v>
      </c>
      <c r="Y183" s="63">
        <f>IFERROR(VLOOKUP(Table25[[#This Row],[Reason]],Coding!A180:C237,3,0),0)</f>
        <v>0</v>
      </c>
    </row>
    <row r="184" spans="1:25" ht="20.25" customHeight="1">
      <c r="A184" s="60">
        <v>180</v>
      </c>
      <c r="B184" s="61">
        <v>5</v>
      </c>
      <c r="C184" s="61" t="str">
        <f>IFERROR(VLOOKUP(Table25[[#This Row],[Code]],'[2]New Machine sheet'!$A$1:$D$101,2,0),0)</f>
        <v>282-05</v>
      </c>
      <c r="D184" s="61" t="str">
        <f>IFERROR(VLOOKUP(Table25[[#This Row],[M/c No]],'[2]New Machine sheet'!$B$1:$D$101,2,0),0)</f>
        <v>Mazak</v>
      </c>
      <c r="E184" s="61" t="str">
        <f>IFERROR(VLOOKUP(Table25[[#This Row],[M/c Name]],'[2]New Machine sheet'!$C$1:$D$101,2,0),0)</f>
        <v>Turning</v>
      </c>
      <c r="F184" s="61">
        <v>119</v>
      </c>
      <c r="G184" s="61">
        <f>IFERROR(VLOOKUP(Table25[[#This Row],[Code2]],'[2]New Machine sheet'!$F$2:$I$64,2,),0)</f>
        <v>24119</v>
      </c>
      <c r="H184" s="61" t="str">
        <f>IFERROR(VLOOKUP(Table25[[#This Row],[Code2]],'[2]New Machine sheet'!$F$2:$I$64,3,0),0)</f>
        <v>RE J1</v>
      </c>
      <c r="I184" s="61" t="s">
        <v>173</v>
      </c>
      <c r="J184" s="61">
        <v>10</v>
      </c>
      <c r="K184" s="61" t="str">
        <f>IFERROR(VLOOKUP(Table25[[#This Row],[Code3]],'[2]New defect code '!$A$2:$D$129,2,0),0)</f>
        <v xml:space="preserve">Bore u/s </v>
      </c>
      <c r="L184" s="61" t="s">
        <v>207</v>
      </c>
      <c r="M184" s="56">
        <v>46266</v>
      </c>
      <c r="N184" s="61"/>
      <c r="O184" s="61">
        <v>2</v>
      </c>
      <c r="P184" s="61"/>
      <c r="Q184" s="61"/>
      <c r="R184" s="61">
        <f>SUBTOTAL(9,Table25[[#This Row],[1st]:[FQC]])</f>
        <v>2</v>
      </c>
      <c r="S184" s="61">
        <f>IFERROR(VLOOKUP(Table25[[#This Row],[Part No.]],'[2]New Machine sheet'!$G$2:$I$90,3,0),0)</f>
        <v>103.2</v>
      </c>
      <c r="T184" s="61">
        <f>Table25[[#This Row],[cost per piece]]*Table25[[#This Row],[Total Rej. qty]]</f>
        <v>206.4</v>
      </c>
      <c r="U184" s="61">
        <f>IFERROR(VLOOKUP(Table25[[#This Row],[Non Conformance]],'[2]New defect code '!$B$2:$C$129,2,0),0)</f>
        <v>0</v>
      </c>
      <c r="V184" s="61">
        <v>45</v>
      </c>
      <c r="W184" s="61" t="str">
        <f>IFERROR(VLOOKUP(Table25[[#This Row],[Code4]],'[2]New Reason code'!$A$2:$D$77,2,0),0)</f>
        <v>Running m/c</v>
      </c>
      <c r="X184" s="61">
        <f ca="1">#REF!+Table25[[#This Row],[Rejection Identified at]]</f>
        <v>0</v>
      </c>
      <c r="Y184" s="63">
        <f>IFERROR(VLOOKUP(Table25[[#This Row],[Reason]],Coding!A181:C238,3,0),0)</f>
        <v>0</v>
      </c>
    </row>
    <row r="185" spans="1:25" ht="20.25" customHeight="1">
      <c r="A185" s="50">
        <v>181</v>
      </c>
      <c r="B185" s="61">
        <v>20</v>
      </c>
      <c r="C185" s="61" t="str">
        <f>IFERROR(VLOOKUP(Table25[[#This Row],[Code]],'[2]New Machine sheet'!$A$1:$D$101,2,0),0)</f>
        <v>282-20</v>
      </c>
      <c r="D185" s="61" t="str">
        <f>IFERROR(VLOOKUP(Table25[[#This Row],[M/c No]],'[2]New Machine sheet'!$B$1:$D$101,2,0),0)</f>
        <v>Mazak</v>
      </c>
      <c r="E185" s="61" t="str">
        <f>IFERROR(VLOOKUP(Table25[[#This Row],[M/c Name]],'[2]New Machine sheet'!$C$1:$D$101,2,0),0)</f>
        <v>Turning</v>
      </c>
      <c r="F185" s="61">
        <v>115</v>
      </c>
      <c r="G185" s="61">
        <f>IFERROR(VLOOKUP(Table25[[#This Row],[Code2]],'[2]New Machine sheet'!$F$2:$I$64,2,),0)</f>
        <v>24115</v>
      </c>
      <c r="H185" s="61" t="str">
        <f>IFERROR(VLOOKUP(Table25[[#This Row],[Code2]],'[2]New Machine sheet'!$F$2:$I$64,3,0),0)</f>
        <v>RE J1</v>
      </c>
      <c r="I185" s="61" t="s">
        <v>208</v>
      </c>
      <c r="J185" s="61">
        <v>10</v>
      </c>
      <c r="K185" s="61" t="str">
        <f>IFERROR(VLOOKUP(Table25[[#This Row],[Code3]],'[2]New defect code '!$A$2:$D$129,2,0),0)</f>
        <v xml:space="preserve">Bore u/s </v>
      </c>
      <c r="L185" s="61" t="s">
        <v>207</v>
      </c>
      <c r="M185" s="56">
        <v>46266</v>
      </c>
      <c r="N185" s="61"/>
      <c r="O185" s="61">
        <v>3</v>
      </c>
      <c r="P185" s="61"/>
      <c r="Q185" s="61"/>
      <c r="R185" s="61">
        <f>SUBTOTAL(9,Table25[[#This Row],[1st]:[FQC]])</f>
        <v>3</v>
      </c>
      <c r="S185" s="61">
        <f>IFERROR(VLOOKUP(Table25[[#This Row],[Part No.]],'[2]New Machine sheet'!$G$2:$I$90,3,0),0)</f>
        <v>66.900000000000006</v>
      </c>
      <c r="T185" s="61">
        <f>Table25[[#This Row],[cost per piece]]*Table25[[#This Row],[Total Rej. qty]]</f>
        <v>200.70000000000002</v>
      </c>
      <c r="U185" s="61">
        <f>IFERROR(VLOOKUP(Table25[[#This Row],[Non Conformance]],'[2]New defect code '!$B$2:$C$129,2,0),0)</f>
        <v>0</v>
      </c>
      <c r="V185" s="61">
        <v>45</v>
      </c>
      <c r="W185" s="61" t="str">
        <f>IFERROR(VLOOKUP(Table25[[#This Row],[Code4]],'[2]New Reason code'!$A$2:$D$77,2,0),0)</f>
        <v>Running m/c</v>
      </c>
      <c r="X185" s="61">
        <f ca="1">#REF!+Table25[[#This Row],[Rejection Identified at]]</f>
        <v>0</v>
      </c>
      <c r="Y185" s="63">
        <f>IFERROR(VLOOKUP(Table25[[#This Row],[Reason]],Coding!A182:C239,3,0),0)</f>
        <v>0</v>
      </c>
    </row>
    <row r="186" spans="1:25" ht="20.25" customHeight="1">
      <c r="A186" s="60">
        <v>182</v>
      </c>
      <c r="B186" s="61">
        <v>11</v>
      </c>
      <c r="C186" s="61" t="str">
        <f>IFERROR(VLOOKUP(Table25[[#This Row],[Code]],'[2]New Machine sheet'!$A$1:$D$101,2,0),0)</f>
        <v>282-11</v>
      </c>
      <c r="D186" s="61" t="str">
        <f>IFERROR(VLOOKUP(Table25[[#This Row],[M/c No]],'[2]New Machine sheet'!$B$1:$D$101,2,0),0)</f>
        <v>Mazak</v>
      </c>
      <c r="E186" s="61" t="str">
        <f>IFERROR(VLOOKUP(Table25[[#This Row],[M/c Name]],'[2]New Machine sheet'!$C$1:$D$101,2,0),0)</f>
        <v>Turning</v>
      </c>
      <c r="F186" s="61">
        <v>121</v>
      </c>
      <c r="G186" s="61">
        <f>IFERROR(VLOOKUP(Table25[[#This Row],[Code2]],'[2]New Machine sheet'!$F$2:$I$64,2,),0)</f>
        <v>24121</v>
      </c>
      <c r="H186" s="61" t="str">
        <f>IFERROR(VLOOKUP(Table25[[#This Row],[Code2]],'[2]New Machine sheet'!$F$2:$I$64,3,0),0)</f>
        <v>RE J1</v>
      </c>
      <c r="I186" s="61" t="s">
        <v>202</v>
      </c>
      <c r="J186" s="61">
        <v>41</v>
      </c>
      <c r="K186" s="61" t="str">
        <f>IFERROR(VLOOKUP(Table25[[#This Row],[Code3]],'[2]New defect code '!$A$2:$D$129,2,0),0)</f>
        <v>Face Less metal</v>
      </c>
      <c r="L186" s="61" t="s">
        <v>207</v>
      </c>
      <c r="M186" s="56">
        <v>46266</v>
      </c>
      <c r="N186" s="61"/>
      <c r="O186" s="61">
        <v>1</v>
      </c>
      <c r="P186" s="61"/>
      <c r="Q186" s="61"/>
      <c r="R186" s="61">
        <f>SUBTOTAL(9,Table25[[#This Row],[1st]:[FQC]])</f>
        <v>1</v>
      </c>
      <c r="S186" s="61">
        <f>IFERROR(VLOOKUP(Table25[[#This Row],[Part No.]],'[2]New Machine sheet'!$G$2:$I$90,3,0),0)</f>
        <v>135.66999999999999</v>
      </c>
      <c r="T186" s="61">
        <f>Table25[[#This Row],[cost per piece]]*Table25[[#This Row],[Total Rej. qty]]</f>
        <v>135.66999999999999</v>
      </c>
      <c r="U186" s="61">
        <f>IFERROR(VLOOKUP(Table25[[#This Row],[Non Conformance]],'[2]New defect code '!$B$2:$C$129,2,0),0)</f>
        <v>3259</v>
      </c>
      <c r="V186" s="61">
        <v>45</v>
      </c>
      <c r="W186" s="61" t="str">
        <f>IFERROR(VLOOKUP(Table25[[#This Row],[Code4]],'[2]New Reason code'!$A$2:$D$77,2,0),0)</f>
        <v>Running m/c</v>
      </c>
      <c r="X186" s="61">
        <f ca="1">#REF!+Table25[[#This Row],[Rejection Identified at]]</f>
        <v>0</v>
      </c>
      <c r="Y186" s="63">
        <f>IFERROR(VLOOKUP(Table25[[#This Row],[Reason]],Coding!A183:C240,3,0),0)</f>
        <v>0</v>
      </c>
    </row>
    <row r="187" spans="1:25" ht="20.25" customHeight="1">
      <c r="A187" s="50">
        <v>183</v>
      </c>
      <c r="B187" s="61"/>
      <c r="C187" s="61" t="s">
        <v>150</v>
      </c>
      <c r="D187" s="61" t="s">
        <v>117</v>
      </c>
      <c r="E187" s="61" t="str">
        <f>IFERROR(VLOOKUP(Table25[[#This Row],[M/c Name]],'[2]New Machine sheet'!$C$1:$D$101,2,0),0)</f>
        <v>Turning</v>
      </c>
      <c r="F187" s="61">
        <v>122</v>
      </c>
      <c r="G187" s="61">
        <f>IFERROR(VLOOKUP(Table25[[#This Row],[Code2]],'[2]New Machine sheet'!$F$2:$I$64,2,),0)</f>
        <v>24122</v>
      </c>
      <c r="H187" s="61" t="str">
        <f>IFERROR(VLOOKUP(Table25[[#This Row],[Code2]],'[2]New Machine sheet'!$F$2:$I$64,3,0),0)</f>
        <v>RE J1</v>
      </c>
      <c r="I187" s="61" t="s">
        <v>161</v>
      </c>
      <c r="J187" s="61">
        <v>37</v>
      </c>
      <c r="K187" s="61" t="str">
        <f>IFERROR(VLOOKUP(Table25[[#This Row],[Code3]],'[2]New defect code '!$A$2:$D$129,2,0),0)</f>
        <v>Face chatring</v>
      </c>
      <c r="L187" s="61" t="s">
        <v>207</v>
      </c>
      <c r="M187" s="56">
        <v>46266</v>
      </c>
      <c r="N187" s="61"/>
      <c r="O187" s="61">
        <v>6</v>
      </c>
      <c r="P187" s="61"/>
      <c r="Q187" s="61"/>
      <c r="R187" s="61">
        <f>SUBTOTAL(9,Table25[[#This Row],[1st]:[FQC]])</f>
        <v>6</v>
      </c>
      <c r="S187" s="61">
        <f>IFERROR(VLOOKUP(Table25[[#This Row],[Part No.]],'[2]New Machine sheet'!$G$2:$I$90,3,0),0)</f>
        <v>335.39977528089889</v>
      </c>
      <c r="T187" s="61">
        <f>Table25[[#This Row],[cost per piece]]*Table25[[#This Row],[Total Rej. qty]]</f>
        <v>2012.3986516853934</v>
      </c>
      <c r="U187" s="61">
        <f>IFERROR(VLOOKUP(Table25[[#This Row],[Non Conformance]],'[2]New defect code '!$B$2:$C$129,2,0),0)</f>
        <v>0</v>
      </c>
      <c r="V187" s="61">
        <v>45</v>
      </c>
      <c r="W187" s="61" t="str">
        <f>IFERROR(VLOOKUP(Table25[[#This Row],[Code4]],'[2]New Reason code'!$A$2:$D$77,2,0),0)</f>
        <v>Running m/c</v>
      </c>
      <c r="X187" s="61">
        <f ca="1">#REF!+Table25[[#This Row],[Rejection Identified at]]</f>
        <v>0</v>
      </c>
      <c r="Y187" s="63">
        <f>IFERROR(VLOOKUP(Table25[[#This Row],[Reason]],Coding!A184:C241,3,0),0)</f>
        <v>0</v>
      </c>
    </row>
    <row r="188" spans="1:25" ht="20.25" customHeight="1">
      <c r="A188" s="60">
        <v>184</v>
      </c>
      <c r="B188" s="61">
        <v>23</v>
      </c>
      <c r="C188" s="61" t="str">
        <f>IFERROR(VLOOKUP(Table25[[#This Row],[Code]],'[2]New Machine sheet'!$A$1:$D$101,2,0),0)</f>
        <v>ACE-03</v>
      </c>
      <c r="D188" s="61" t="str">
        <f>IFERROR(VLOOKUP(Table25[[#This Row],[M/c No]],'[2]New Machine sheet'!$B$1:$D$101,2,0),0)</f>
        <v>Micromatic</v>
      </c>
      <c r="E188" s="61" t="str">
        <f>IFERROR(VLOOKUP(Table25[[#This Row],[M/c Name]],'[2]New Machine sheet'!$C$1:$D$101,2,0),0)</f>
        <v>Turning</v>
      </c>
      <c r="F188" s="61">
        <v>79</v>
      </c>
      <c r="G188" s="61">
        <f>IFERROR(VLOOKUP(Table25[[#This Row],[Code2]],'[2]New Machine sheet'!$F$2:$I$64,2,),0)</f>
        <v>2479</v>
      </c>
      <c r="H188" s="61" t="str">
        <f>IFERROR(VLOOKUP(Table25[[#This Row],[Code2]],'[2]New Machine sheet'!$F$2:$I$64,3,0),0)</f>
        <v>RE P1</v>
      </c>
      <c r="I188" s="61" t="s">
        <v>205</v>
      </c>
      <c r="J188" s="61">
        <v>71</v>
      </c>
      <c r="K188" s="61" t="str">
        <f>IFERROR(VLOOKUP(Table25[[#This Row],[Code3]],'[2]New defect code '!$A$2:$D$129,2,0),0)</f>
        <v>PG go not qualify</v>
      </c>
      <c r="L188" s="61" t="s">
        <v>207</v>
      </c>
      <c r="M188" s="56">
        <v>46266</v>
      </c>
      <c r="N188" s="61"/>
      <c r="O188" s="61">
        <v>8</v>
      </c>
      <c r="P188" s="61"/>
      <c r="Q188" s="61"/>
      <c r="R188" s="61">
        <f>SUBTOTAL(9,Table25[[#This Row],[1st]:[FQC]])</f>
        <v>8</v>
      </c>
      <c r="S188" s="61">
        <f>IFERROR(VLOOKUP(Table25[[#This Row],[Part No.]],'[2]New Machine sheet'!$G$2:$I$90,3,0),0)</f>
        <v>43.11</v>
      </c>
      <c r="T188" s="61">
        <f>Table25[[#This Row],[cost per piece]]*Table25[[#This Row],[Total Rej. qty]]</f>
        <v>344.88</v>
      </c>
      <c r="U188" s="61">
        <f>IFERROR(VLOOKUP(Table25[[#This Row],[Non Conformance]],'[2]New defect code '!$B$2:$C$129,2,0),0)</f>
        <v>0</v>
      </c>
      <c r="V188" s="61">
        <v>21</v>
      </c>
      <c r="W188" s="61" t="str">
        <f>IFERROR(VLOOKUP(Table25[[#This Row],[Code4]],'[2]New Reason code'!$A$2:$D$77,2,0),0)</f>
        <v>During setup time</v>
      </c>
      <c r="X188" s="61">
        <f ca="1">#REF!+Table25[[#This Row],[Rejection Identified at]]</f>
        <v>0</v>
      </c>
      <c r="Y188" s="63">
        <f>IFERROR(VLOOKUP(Table25[[#This Row],[Reason]],Coding!A185:C242,3,0),0)</f>
        <v>0</v>
      </c>
    </row>
    <row r="189" spans="1:25" ht="20.25" customHeight="1">
      <c r="A189" s="50">
        <v>185</v>
      </c>
      <c r="B189" s="61"/>
      <c r="C189" s="61" t="s">
        <v>150</v>
      </c>
      <c r="D189" s="61" t="s">
        <v>117</v>
      </c>
      <c r="E189" s="61" t="str">
        <f>IFERROR(VLOOKUP(Table25[[#This Row],[M/c Name]],'[2]New Machine sheet'!$C$1:$D$101,2,0),0)</f>
        <v>Turning</v>
      </c>
      <c r="F189" s="61">
        <v>122</v>
      </c>
      <c r="G189" s="61">
        <f>IFERROR(VLOOKUP(Table25[[#This Row],[Code2]],'[2]New Machine sheet'!$F$2:$I$64,2,),0)</f>
        <v>24122</v>
      </c>
      <c r="H189" s="61" t="str">
        <f>IFERROR(VLOOKUP(Table25[[#This Row],[Code2]],'[2]New Machine sheet'!$F$2:$I$64,3,0),0)</f>
        <v>RE J1</v>
      </c>
      <c r="I189" s="61" t="s">
        <v>168</v>
      </c>
      <c r="J189" s="61">
        <v>41</v>
      </c>
      <c r="K189" s="61" t="str">
        <f>IFERROR(VLOOKUP(Table25[[#This Row],[Code3]],'[2]New defect code '!$A$2:$D$129,2,0),0)</f>
        <v>Face Less metal</v>
      </c>
      <c r="L189" s="61" t="s">
        <v>207</v>
      </c>
      <c r="M189" s="56">
        <v>46266</v>
      </c>
      <c r="N189" s="61"/>
      <c r="O189" s="61"/>
      <c r="P189" s="61">
        <v>1</v>
      </c>
      <c r="Q189" s="61"/>
      <c r="R189" s="61">
        <f>SUBTOTAL(9,Table25[[#This Row],[1st]:[FQC]])</f>
        <v>1</v>
      </c>
      <c r="S189" s="61">
        <f>IFERROR(VLOOKUP(Table25[[#This Row],[Part No.]],'[2]New Machine sheet'!$G$2:$I$90,3,0),0)</f>
        <v>335.39977528089889</v>
      </c>
      <c r="T189" s="61">
        <f>Table25[[#This Row],[cost per piece]]*Table25[[#This Row],[Total Rej. qty]]</f>
        <v>335.39977528089889</v>
      </c>
      <c r="U189" s="61">
        <f>IFERROR(VLOOKUP(Table25[[#This Row],[Non Conformance]],'[2]New defect code '!$B$2:$C$129,2,0),0)</f>
        <v>3259</v>
      </c>
      <c r="V189" s="61">
        <v>45</v>
      </c>
      <c r="W189" s="61" t="str">
        <f>IFERROR(VLOOKUP(Table25[[#This Row],[Code4]],'[2]New Reason code'!$A$2:$D$77,2,0),0)</f>
        <v>Running m/c</v>
      </c>
      <c r="X189" s="61">
        <f ca="1">#REF!+Table25[[#This Row],[Rejection Identified at]]</f>
        <v>0</v>
      </c>
      <c r="Y189" s="63">
        <f>IFERROR(VLOOKUP(Table25[[#This Row],[Reason]],Coding!A186:C243,3,0),0)</f>
        <v>0</v>
      </c>
    </row>
    <row r="190" spans="1:25" ht="20.25" customHeight="1">
      <c r="A190" s="60">
        <v>186</v>
      </c>
      <c r="B190" s="61">
        <v>37</v>
      </c>
      <c r="C190" s="61" t="str">
        <f>IFERROR(VLOOKUP(Table25[[#This Row],[Code]],'[2]New Machine sheet'!$A$1:$D$101,2,0),0)</f>
        <v>ACE-17</v>
      </c>
      <c r="D190" s="61" t="str">
        <f>IFERROR(VLOOKUP(Table25[[#This Row],[M/c No]],'[2]New Machine sheet'!$B$1:$D$101,2,0),0)</f>
        <v>Micromatic</v>
      </c>
      <c r="E190" s="61" t="str">
        <f>IFERROR(VLOOKUP(Table25[[#This Row],[M/c Name]],'[2]New Machine sheet'!$C$1:$D$101,2,0),0)</f>
        <v>Turning</v>
      </c>
      <c r="F190" s="61">
        <v>127</v>
      </c>
      <c r="G190" s="61">
        <f>IFERROR(VLOOKUP(Table25[[#This Row],[Code2]],'[2]New Machine sheet'!$F$2:$I$64,2,),0)</f>
        <v>24127</v>
      </c>
      <c r="H190" s="61" t="str">
        <f>IFERROR(VLOOKUP(Table25[[#This Row],[Code2]],'[2]New Machine sheet'!$F$2:$I$64,3,0),0)</f>
        <v>RE J1</v>
      </c>
      <c r="I190" s="61" t="s">
        <v>137</v>
      </c>
      <c r="J190" s="61">
        <v>61</v>
      </c>
      <c r="K190" s="61" t="str">
        <f>IFERROR(VLOOKUP(Table25[[#This Row],[Code3]],'[2]New defect code '!$A$2:$D$129,2,0),0)</f>
        <v>Od o/s</v>
      </c>
      <c r="L190" s="61" t="s">
        <v>207</v>
      </c>
      <c r="M190" s="56">
        <v>46266</v>
      </c>
      <c r="N190" s="61"/>
      <c r="O190" s="61"/>
      <c r="P190" s="61">
        <v>2</v>
      </c>
      <c r="Q190" s="61"/>
      <c r="R190" s="61">
        <f>SUBTOTAL(9,Table25[[#This Row],[1st]:[FQC]])</f>
        <v>2</v>
      </c>
      <c r="S190" s="61">
        <f>IFERROR(VLOOKUP(Table25[[#This Row],[Part No.]],'[2]New Machine sheet'!$G$2:$I$90,3,0),0)</f>
        <v>262.81200000000001</v>
      </c>
      <c r="T190" s="61">
        <f>Table25[[#This Row],[cost per piece]]*Table25[[#This Row],[Total Rej. qty]]</f>
        <v>525.62400000000002</v>
      </c>
      <c r="U190" s="61">
        <f>IFERROR(VLOOKUP(Table25[[#This Row],[Non Conformance]],'[2]New defect code '!$B$2:$C$129,2,0),0)</f>
        <v>0</v>
      </c>
      <c r="V190" s="61">
        <v>51</v>
      </c>
      <c r="W190" s="61" t="str">
        <f>IFERROR(VLOOKUP(Table25[[#This Row],[Code4]],'[2]New Reason code'!$A$2:$D$77,2,0),0)</f>
        <v>Size veriation on m/c</v>
      </c>
      <c r="X190" s="61">
        <f ca="1">#REF!+Table25[[#This Row],[Rejection Identified at]]</f>
        <v>0</v>
      </c>
      <c r="Y190" s="63">
        <f>IFERROR(VLOOKUP(Table25[[#This Row],[Reason]],Coding!A187:C244,3,0),0)</f>
        <v>0</v>
      </c>
    </row>
    <row r="191" spans="1:25" ht="20.25" customHeight="1">
      <c r="A191" s="50">
        <v>187</v>
      </c>
      <c r="B191" s="61">
        <v>46</v>
      </c>
      <c r="C191" s="61" t="str">
        <f>IFERROR(VLOOKUP(Table25[[#This Row],[Code]],'[2]New Machine sheet'!$A$1:$D$101,2,0),0)</f>
        <v>MURATEC-02</v>
      </c>
      <c r="D191" s="61" t="str">
        <f>IFERROR(VLOOKUP(Table25[[#This Row],[M/c No]],'[2]New Machine sheet'!$B$1:$D$101,2,0),0)</f>
        <v>MURATEC</v>
      </c>
      <c r="E191" s="61" t="str">
        <f>IFERROR(VLOOKUP(Table25[[#This Row],[M/c Name]],'[2]New Machine sheet'!$C$1:$D$101,2,0),0)</f>
        <v xml:space="preserve">turning </v>
      </c>
      <c r="F191" s="61">
        <v>127</v>
      </c>
      <c r="G191" s="61">
        <f>IFERROR(VLOOKUP(Table25[[#This Row],[Code2]],'[2]New Machine sheet'!$F$2:$I$64,2,),0)</f>
        <v>24127</v>
      </c>
      <c r="H191" s="61" t="str">
        <f>IFERROR(VLOOKUP(Table25[[#This Row],[Code2]],'[2]New Machine sheet'!$F$2:$I$64,3,0),0)</f>
        <v>RE J1</v>
      </c>
      <c r="I191" s="61" t="s">
        <v>140</v>
      </c>
      <c r="J191" s="61">
        <v>41</v>
      </c>
      <c r="K191" s="61" t="str">
        <f>IFERROR(VLOOKUP(Table25[[#This Row],[Code3]],'[2]New defect code '!$A$2:$D$129,2,0),0)</f>
        <v>Face Less metal</v>
      </c>
      <c r="L191" s="61" t="s">
        <v>207</v>
      </c>
      <c r="M191" s="56">
        <v>46266</v>
      </c>
      <c r="N191" s="61"/>
      <c r="O191" s="61"/>
      <c r="P191" s="61">
        <v>1</v>
      </c>
      <c r="Q191" s="61"/>
      <c r="R191" s="61">
        <f>SUBTOTAL(9,Table25[[#This Row],[1st]:[FQC]])</f>
        <v>1</v>
      </c>
      <c r="S191" s="61">
        <f>IFERROR(VLOOKUP(Table25[[#This Row],[Part No.]],'[2]New Machine sheet'!$G$2:$I$90,3,0),0)</f>
        <v>262.81200000000001</v>
      </c>
      <c r="T191" s="61">
        <f>Table25[[#This Row],[cost per piece]]*Table25[[#This Row],[Total Rej. qty]]</f>
        <v>262.81200000000001</v>
      </c>
      <c r="U191" s="61">
        <f>IFERROR(VLOOKUP(Table25[[#This Row],[Non Conformance]],'[2]New defect code '!$B$2:$C$129,2,0),0)</f>
        <v>3259</v>
      </c>
      <c r="V191" s="61">
        <v>45</v>
      </c>
      <c r="W191" s="61" t="str">
        <f>IFERROR(VLOOKUP(Table25[[#This Row],[Code4]],'[2]New Reason code'!$A$2:$D$77,2,0),0)</f>
        <v>Running m/c</v>
      </c>
      <c r="X191" s="61">
        <f ca="1">#REF!+Table25[[#This Row],[Rejection Identified at]]</f>
        <v>0</v>
      </c>
      <c r="Y191" s="63">
        <f>IFERROR(VLOOKUP(Table25[[#This Row],[Reason]],Coding!A188:C245,3,0),0)</f>
        <v>0</v>
      </c>
    </row>
    <row r="192" spans="1:25" ht="20.25" customHeight="1">
      <c r="A192" s="60">
        <v>188</v>
      </c>
      <c r="B192" s="61">
        <v>23</v>
      </c>
      <c r="C192" s="61" t="str">
        <f>IFERROR(VLOOKUP(Table25[[#This Row],[Code]],'[2]New Machine sheet'!$A$1:$D$101,2,0),0)</f>
        <v>ACE-03</v>
      </c>
      <c r="D192" s="61" t="str">
        <f>IFERROR(VLOOKUP(Table25[[#This Row],[M/c No]],'[2]New Machine sheet'!$B$1:$D$101,2,0),0)</f>
        <v>Micromatic</v>
      </c>
      <c r="E192" s="61" t="str">
        <f>IFERROR(VLOOKUP(Table25[[#This Row],[M/c Name]],'[2]New Machine sheet'!$C$1:$D$101,2,0),0)</f>
        <v>Turning</v>
      </c>
      <c r="F192" s="61">
        <v>79</v>
      </c>
      <c r="G192" s="61">
        <f>IFERROR(VLOOKUP(Table25[[#This Row],[Code2]],'[2]New Machine sheet'!$F$2:$I$64,2,),0)</f>
        <v>2479</v>
      </c>
      <c r="H192" s="61" t="str">
        <f>IFERROR(VLOOKUP(Table25[[#This Row],[Code2]],'[2]New Machine sheet'!$F$2:$I$64,3,0),0)</f>
        <v>RE P1</v>
      </c>
      <c r="I192" s="61" t="s">
        <v>125</v>
      </c>
      <c r="J192" s="61">
        <v>10</v>
      </c>
      <c r="K192" s="61" t="str">
        <f>IFERROR(VLOOKUP(Table25[[#This Row],[Code3]],'[2]New defect code '!$A$2:$D$129,2,0),0)</f>
        <v xml:space="preserve">Bore u/s </v>
      </c>
      <c r="L192" s="61" t="s">
        <v>210</v>
      </c>
      <c r="M192" s="56">
        <v>46266</v>
      </c>
      <c r="N192" s="61">
        <v>1</v>
      </c>
      <c r="O192" s="61"/>
      <c r="P192" s="61"/>
      <c r="Q192" s="61"/>
      <c r="R192" s="61">
        <f>SUBTOTAL(9,Table25[[#This Row],[1st]:[FQC]])</f>
        <v>1</v>
      </c>
      <c r="S192" s="61">
        <f>IFERROR(VLOOKUP(Table25[[#This Row],[Part No.]],'[2]New Machine sheet'!$G$2:$I$90,3,0),0)</f>
        <v>43.11</v>
      </c>
      <c r="T192" s="61">
        <f>Table25[[#This Row],[cost per piece]]*Table25[[#This Row],[Total Rej. qty]]</f>
        <v>43.11</v>
      </c>
      <c r="U192" s="61">
        <f>IFERROR(VLOOKUP(Table25[[#This Row],[Non Conformance]],'[2]New defect code '!$B$2:$C$129,2,0),0)</f>
        <v>0</v>
      </c>
      <c r="V192" s="61">
        <v>45</v>
      </c>
      <c r="W192" s="61" t="str">
        <f>IFERROR(VLOOKUP(Table25[[#This Row],[Code4]],'[2]New Reason code'!$A$2:$D$77,2,0),0)</f>
        <v>Running m/c</v>
      </c>
      <c r="X192" s="61">
        <f ca="1">#REF!+Table25[[#This Row],[Rejection Identified at]]</f>
        <v>0</v>
      </c>
      <c r="Y192" s="63">
        <f>IFERROR(VLOOKUP(Table25[[#This Row],[Reason]],Coding!A189:C246,3,0),0)</f>
        <v>0</v>
      </c>
    </row>
    <row r="193" spans="1:25" ht="20.25" customHeight="1">
      <c r="A193" s="50">
        <v>189</v>
      </c>
      <c r="B193" s="61">
        <v>22</v>
      </c>
      <c r="C193" s="61" t="str">
        <f>IFERROR(VLOOKUP(Table25[[#This Row],[Code]],'[2]New Machine sheet'!$A$1:$D$101,2,0),0)</f>
        <v>ACE-02</v>
      </c>
      <c r="D193" s="61" t="str">
        <f>IFERROR(VLOOKUP(Table25[[#This Row],[M/c No]],'[2]New Machine sheet'!$B$1:$D$101,2,0),0)</f>
        <v>Micromatic</v>
      </c>
      <c r="E193" s="61" t="str">
        <f>IFERROR(VLOOKUP(Table25[[#This Row],[M/c Name]],'[2]New Machine sheet'!$C$1:$D$101,2,0),0)</f>
        <v>Turning</v>
      </c>
      <c r="F193" s="61">
        <v>115</v>
      </c>
      <c r="G193" s="61">
        <f>IFERROR(VLOOKUP(Table25[[#This Row],[Code2]],'[2]New Machine sheet'!$F$2:$I$64,2,),0)</f>
        <v>24115</v>
      </c>
      <c r="H193" s="61" t="str">
        <f>IFERROR(VLOOKUP(Table25[[#This Row],[Code2]],'[2]New Machine sheet'!$F$2:$I$64,3,0),0)</f>
        <v>RE J1</v>
      </c>
      <c r="I193" s="61" t="s">
        <v>191</v>
      </c>
      <c r="J193" s="61">
        <v>10</v>
      </c>
      <c r="K193" s="61" t="str">
        <f>IFERROR(VLOOKUP(Table25[[#This Row],[Code3]],'[2]New defect code '!$A$2:$D$129,2,0),0)</f>
        <v xml:space="preserve">Bore u/s </v>
      </c>
      <c r="L193" s="61" t="s">
        <v>210</v>
      </c>
      <c r="M193" s="56">
        <v>46266</v>
      </c>
      <c r="N193" s="61">
        <v>1</v>
      </c>
      <c r="O193" s="61"/>
      <c r="P193" s="61"/>
      <c r="Q193" s="61"/>
      <c r="R193" s="61">
        <f>SUBTOTAL(9,Table25[[#This Row],[1st]:[FQC]])</f>
        <v>1</v>
      </c>
      <c r="S193" s="61">
        <f>IFERROR(VLOOKUP(Table25[[#This Row],[Part No.]],'[2]New Machine sheet'!$G$2:$I$90,3,0),0)</f>
        <v>66.900000000000006</v>
      </c>
      <c r="T193" s="61">
        <f>Table25[[#This Row],[cost per piece]]*Table25[[#This Row],[Total Rej. qty]]</f>
        <v>66.900000000000006</v>
      </c>
      <c r="U193" s="61">
        <f>IFERROR(VLOOKUP(Table25[[#This Row],[Non Conformance]],'[2]New defect code '!$B$2:$C$129,2,0),0)</f>
        <v>0</v>
      </c>
      <c r="V193" s="61">
        <v>45</v>
      </c>
      <c r="W193" s="61" t="str">
        <f>IFERROR(VLOOKUP(Table25[[#This Row],[Code4]],'[2]New Reason code'!$A$2:$D$77,2,0),0)</f>
        <v>Running m/c</v>
      </c>
      <c r="X193" s="61">
        <f ca="1">#REF!+Table25[[#This Row],[Rejection Identified at]]</f>
        <v>0</v>
      </c>
      <c r="Y193" s="63">
        <f>IFERROR(VLOOKUP(Table25[[#This Row],[Reason]],Coding!A190:C247,3,0),0)</f>
        <v>0</v>
      </c>
    </row>
    <row r="194" spans="1:25" ht="20.25" customHeight="1">
      <c r="A194" s="60">
        <v>190</v>
      </c>
      <c r="B194" s="61">
        <v>21</v>
      </c>
      <c r="C194" s="61" t="str">
        <f>IFERROR(VLOOKUP(Table25[[#This Row],[Code]],'[2]New Machine sheet'!$A$1:$D$101,2,0),0)</f>
        <v>ACE-01</v>
      </c>
      <c r="D194" s="61" t="str">
        <f>IFERROR(VLOOKUP(Table25[[#This Row],[M/c No]],'[2]New Machine sheet'!$B$1:$D$101,2,0),0)</f>
        <v>Micromatic</v>
      </c>
      <c r="E194" s="61" t="str">
        <f>IFERROR(VLOOKUP(Table25[[#This Row],[M/c Name]],'[2]New Machine sheet'!$C$1:$D$101,2,0),0)</f>
        <v>Turning</v>
      </c>
      <c r="F194" s="61">
        <v>121</v>
      </c>
      <c r="G194" s="61">
        <f>IFERROR(VLOOKUP(Table25[[#This Row],[Code2]],'[2]New Machine sheet'!$F$2:$I$64,2,),0)</f>
        <v>24121</v>
      </c>
      <c r="H194" s="61" t="str">
        <f>IFERROR(VLOOKUP(Table25[[#This Row],[Code2]],'[2]New Machine sheet'!$F$2:$I$64,3,0),0)</f>
        <v>RE J1</v>
      </c>
      <c r="I194" s="61" t="s">
        <v>180</v>
      </c>
      <c r="J194" s="61">
        <v>10</v>
      </c>
      <c r="K194" s="61" t="str">
        <f>IFERROR(VLOOKUP(Table25[[#This Row],[Code3]],'[2]New defect code '!$A$2:$D$129,2,0),0)</f>
        <v xml:space="preserve">Bore u/s </v>
      </c>
      <c r="L194" s="61" t="s">
        <v>210</v>
      </c>
      <c r="M194" s="56">
        <v>46266</v>
      </c>
      <c r="N194" s="61">
        <v>2</v>
      </c>
      <c r="O194" s="61"/>
      <c r="P194" s="61"/>
      <c r="Q194" s="61"/>
      <c r="R194" s="61">
        <f>SUBTOTAL(9,Table25[[#This Row],[1st]:[FQC]])</f>
        <v>2</v>
      </c>
      <c r="S194" s="61">
        <f>IFERROR(VLOOKUP(Table25[[#This Row],[Part No.]],'[2]New Machine sheet'!$G$2:$I$90,3,0),0)</f>
        <v>135.66999999999999</v>
      </c>
      <c r="T194" s="61">
        <f>Table25[[#This Row],[cost per piece]]*Table25[[#This Row],[Total Rej. qty]]</f>
        <v>271.33999999999997</v>
      </c>
      <c r="U194" s="61">
        <f>IFERROR(VLOOKUP(Table25[[#This Row],[Non Conformance]],'[2]New defect code '!$B$2:$C$129,2,0),0)</f>
        <v>0</v>
      </c>
      <c r="V194" s="61">
        <v>18</v>
      </c>
      <c r="W194" s="61" t="str">
        <f>IFERROR(VLOOKUP(Table25[[#This Row],[Code4]],'[2]New Reason code'!$A$2:$D$77,2,0),0)</f>
        <v>During insert change</v>
      </c>
      <c r="X194" s="61">
        <f ca="1">#REF!+Table25[[#This Row],[Rejection Identified at]]</f>
        <v>0</v>
      </c>
      <c r="Y194" s="63">
        <f>IFERROR(VLOOKUP(Table25[[#This Row],[Reason]],Coding!A191:C248,3,0),0)</f>
        <v>0</v>
      </c>
    </row>
    <row r="195" spans="1:25" ht="20.25" customHeight="1">
      <c r="A195" s="50">
        <v>191</v>
      </c>
      <c r="B195" s="61">
        <v>39</v>
      </c>
      <c r="C195" s="61" t="str">
        <f>IFERROR(VLOOKUP(Table25[[#This Row],[Code]],'[2]New Machine sheet'!$A$1:$D$101,2,0),0)</f>
        <v>ACE-19</v>
      </c>
      <c r="D195" s="61" t="str">
        <f>IFERROR(VLOOKUP(Table25[[#This Row],[M/c No]],'[2]New Machine sheet'!$B$1:$D$101,2,0),0)</f>
        <v>Micromatic</v>
      </c>
      <c r="E195" s="61" t="str">
        <f>IFERROR(VLOOKUP(Table25[[#This Row],[M/c Name]],'[2]New Machine sheet'!$C$1:$D$101,2,0),0)</f>
        <v>Turning</v>
      </c>
      <c r="F195" s="61">
        <v>117</v>
      </c>
      <c r="G195" s="61">
        <f>IFERROR(VLOOKUP(Table25[[#This Row],[Code2]],'[2]New Machine sheet'!$F$2:$I$64,2,),0)</f>
        <v>24117</v>
      </c>
      <c r="H195" s="61" t="str">
        <f>IFERROR(VLOOKUP(Table25[[#This Row],[Code2]],'[2]New Machine sheet'!$F$2:$I$64,3,0),0)</f>
        <v>RE J1</v>
      </c>
      <c r="I195" s="61" t="s">
        <v>174</v>
      </c>
      <c r="J195" s="61">
        <v>10</v>
      </c>
      <c r="K195" s="61" t="str">
        <f>IFERROR(VLOOKUP(Table25[[#This Row],[Code3]],'[2]New defect code '!$A$2:$D$129,2,0),0)</f>
        <v xml:space="preserve">Bore u/s </v>
      </c>
      <c r="L195" s="61" t="s">
        <v>210</v>
      </c>
      <c r="M195" s="56">
        <v>46266</v>
      </c>
      <c r="N195" s="61">
        <v>1</v>
      </c>
      <c r="O195" s="61"/>
      <c r="P195" s="61"/>
      <c r="Q195" s="61"/>
      <c r="R195" s="61">
        <f>SUBTOTAL(9,Table25[[#This Row],[1st]:[FQC]])</f>
        <v>1</v>
      </c>
      <c r="S195" s="61">
        <f>IFERROR(VLOOKUP(Table25[[#This Row],[Part No.]],'[2]New Machine sheet'!$G$2:$I$90,3,0),0)</f>
        <v>111.97</v>
      </c>
      <c r="T195" s="61">
        <f>Table25[[#This Row],[cost per piece]]*Table25[[#This Row],[Total Rej. qty]]</f>
        <v>111.97</v>
      </c>
      <c r="U195" s="61">
        <f>IFERROR(VLOOKUP(Table25[[#This Row],[Non Conformance]],'[2]New defect code '!$B$2:$C$129,2,0),0)</f>
        <v>0</v>
      </c>
      <c r="V195" s="61">
        <v>18</v>
      </c>
      <c r="W195" s="61" t="str">
        <f>IFERROR(VLOOKUP(Table25[[#This Row],[Code4]],'[2]New Reason code'!$A$2:$D$77,2,0),0)</f>
        <v>During insert change</v>
      </c>
      <c r="X195" s="61">
        <f ca="1">#REF!+Table25[[#This Row],[Rejection Identified at]]</f>
        <v>0</v>
      </c>
      <c r="Y195" s="63">
        <f>IFERROR(VLOOKUP(Table25[[#This Row],[Reason]],Coding!A192:C249,3,0),0)</f>
        <v>0</v>
      </c>
    </row>
    <row r="196" spans="1:25" ht="20.25" customHeight="1">
      <c r="A196" s="60">
        <v>192</v>
      </c>
      <c r="B196" s="61">
        <v>19</v>
      </c>
      <c r="C196" s="61" t="str">
        <f>IFERROR(VLOOKUP(Table25[[#This Row],[Code]],'[2]New Machine sheet'!$A$1:$D$101,2,0),0)</f>
        <v>282-19</v>
      </c>
      <c r="D196" s="61" t="str">
        <f>IFERROR(VLOOKUP(Table25[[#This Row],[M/c No]],'[2]New Machine sheet'!$B$1:$D$101,2,0),0)</f>
        <v>Mazak</v>
      </c>
      <c r="E196" s="61" t="str">
        <f>IFERROR(VLOOKUP(Table25[[#This Row],[M/c Name]],'[2]New Machine sheet'!$C$1:$D$101,2,0),0)</f>
        <v>Turning</v>
      </c>
      <c r="F196" s="61">
        <v>82</v>
      </c>
      <c r="G196" s="61">
        <f>IFERROR(VLOOKUP(Table25[[#This Row],[Code2]],'[2]New Machine sheet'!$F$2:$I$64,2,),0)</f>
        <v>2482</v>
      </c>
      <c r="H196" s="61" t="str">
        <f>IFERROR(VLOOKUP(Table25[[#This Row],[Code2]],'[2]New Machine sheet'!$F$2:$I$64,3,0),0)</f>
        <v>RE P1</v>
      </c>
      <c r="I196" s="61" t="s">
        <v>169</v>
      </c>
      <c r="J196" s="61">
        <v>37</v>
      </c>
      <c r="K196" s="61" t="str">
        <f>IFERROR(VLOOKUP(Table25[[#This Row],[Code3]],'[2]New defect code '!$A$2:$D$129,2,0),0)</f>
        <v>Face chatring</v>
      </c>
      <c r="L196" s="61" t="s">
        <v>210</v>
      </c>
      <c r="M196" s="56">
        <v>46266</v>
      </c>
      <c r="N196" s="61">
        <v>1</v>
      </c>
      <c r="O196" s="61"/>
      <c r="P196" s="61"/>
      <c r="Q196" s="61"/>
      <c r="R196" s="61">
        <f>SUBTOTAL(9,Table25[[#This Row],[1st]:[FQC]])</f>
        <v>1</v>
      </c>
      <c r="S196" s="61">
        <f>IFERROR(VLOOKUP(Table25[[#This Row],[Part No.]],'[2]New Machine sheet'!$G$2:$I$90,3,0),0)</f>
        <v>303.45333333333332</v>
      </c>
      <c r="T196" s="61">
        <f>Table25[[#This Row],[cost per piece]]*Table25[[#This Row],[Total Rej. qty]]</f>
        <v>303.45333333333332</v>
      </c>
      <c r="U196" s="61">
        <f>IFERROR(VLOOKUP(Table25[[#This Row],[Non Conformance]],'[2]New defect code '!$B$2:$C$129,2,0),0)</f>
        <v>0</v>
      </c>
      <c r="V196" s="61">
        <v>45</v>
      </c>
      <c r="W196" s="61" t="str">
        <f>IFERROR(VLOOKUP(Table25[[#This Row],[Code4]],'[2]New Reason code'!$A$2:$D$77,2,0),0)</f>
        <v>Running m/c</v>
      </c>
      <c r="X196" s="61">
        <f ca="1">#REF!+Table25[[#This Row],[Rejection Identified at]]</f>
        <v>0</v>
      </c>
      <c r="Y196" s="63">
        <f>IFERROR(VLOOKUP(Table25[[#This Row],[Reason]],Coding!A193:C250,3,0),0)</f>
        <v>0</v>
      </c>
    </row>
    <row r="197" spans="1:25" ht="20.25" customHeight="1">
      <c r="A197" s="50">
        <v>193</v>
      </c>
      <c r="B197" s="61">
        <v>23</v>
      </c>
      <c r="C197" s="61" t="str">
        <f>IFERROR(VLOOKUP(Table25[[#This Row],[Code]],'[2]New Machine sheet'!$A$1:$D$101,2,0),0)</f>
        <v>ACE-03</v>
      </c>
      <c r="D197" s="61" t="str">
        <f>IFERROR(VLOOKUP(Table25[[#This Row],[M/c No]],'[2]New Machine sheet'!$B$1:$D$101,2,0),0)</f>
        <v>Micromatic</v>
      </c>
      <c r="E197" s="61" t="str">
        <f>IFERROR(VLOOKUP(Table25[[#This Row],[M/c Name]],'[2]New Machine sheet'!$C$1:$D$101,2,0),0)</f>
        <v>Turning</v>
      </c>
      <c r="F197" s="61">
        <v>83</v>
      </c>
      <c r="G197" s="61">
        <f>IFERROR(VLOOKUP(Table25[[#This Row],[Code2]],'[2]New Machine sheet'!$F$2:$I$64,2,),0)</f>
        <v>2483</v>
      </c>
      <c r="H197" s="61" t="str">
        <f>IFERROR(VLOOKUP(Table25[[#This Row],[Code2]],'[2]New Machine sheet'!$F$2:$I$64,3,0),0)</f>
        <v>RE P1</v>
      </c>
      <c r="I197" s="61" t="s">
        <v>213</v>
      </c>
      <c r="J197" s="61">
        <v>10</v>
      </c>
      <c r="K197" s="61" t="str">
        <f>IFERROR(VLOOKUP(Table25[[#This Row],[Code3]],'[2]New defect code '!$A$2:$D$129,2,0),0)</f>
        <v xml:space="preserve">Bore u/s </v>
      </c>
      <c r="L197" s="61" t="s">
        <v>210</v>
      </c>
      <c r="M197" s="56">
        <v>46266</v>
      </c>
      <c r="N197" s="61"/>
      <c r="O197" s="61">
        <v>2</v>
      </c>
      <c r="P197" s="61"/>
      <c r="Q197" s="61"/>
      <c r="R197" s="61">
        <f>SUBTOTAL(9,Table25[[#This Row],[1st]:[FQC]])</f>
        <v>2</v>
      </c>
      <c r="S197" s="61">
        <f>IFERROR(VLOOKUP(Table25[[#This Row],[Part No.]],'[2]New Machine sheet'!$G$2:$I$90,3,0),0)</f>
        <v>55.380800000000001</v>
      </c>
      <c r="T197" s="61">
        <f>Table25[[#This Row],[cost per piece]]*Table25[[#This Row],[Total Rej. qty]]</f>
        <v>110.7616</v>
      </c>
      <c r="U197" s="61">
        <f>IFERROR(VLOOKUP(Table25[[#This Row],[Non Conformance]],'[2]New defect code '!$B$2:$C$129,2,0),0)</f>
        <v>0</v>
      </c>
      <c r="V197" s="61">
        <v>45</v>
      </c>
      <c r="W197" s="61" t="str">
        <f>IFERROR(VLOOKUP(Table25[[#This Row],[Code4]],'[2]New Reason code'!$A$2:$D$77,2,0),0)</f>
        <v>Running m/c</v>
      </c>
      <c r="X197" s="61">
        <f ca="1">#REF!+Table25[[#This Row],[Rejection Identified at]]</f>
        <v>0</v>
      </c>
      <c r="Y197" s="63">
        <f>IFERROR(VLOOKUP(Table25[[#This Row],[Reason]],Coding!A194:C251,3,0),0)</f>
        <v>0</v>
      </c>
    </row>
    <row r="198" spans="1:25" ht="20.25" customHeight="1">
      <c r="A198" s="60">
        <v>194</v>
      </c>
      <c r="B198" s="61">
        <v>22</v>
      </c>
      <c r="C198" s="61" t="str">
        <f>IFERROR(VLOOKUP(Table25[[#This Row],[Code]],'[2]New Machine sheet'!$A$1:$D$101,2,0),0)</f>
        <v>ACE-02</v>
      </c>
      <c r="D198" s="61" t="str">
        <f>IFERROR(VLOOKUP(Table25[[#This Row],[M/c No]],'[2]New Machine sheet'!$B$1:$D$101,2,0),0)</f>
        <v>Micromatic</v>
      </c>
      <c r="E198" s="61" t="str">
        <f>IFERROR(VLOOKUP(Table25[[#This Row],[M/c Name]],'[2]New Machine sheet'!$C$1:$D$101,2,0),0)</f>
        <v>Turning</v>
      </c>
      <c r="F198" s="61">
        <v>115</v>
      </c>
      <c r="G198" s="61">
        <f>IFERROR(VLOOKUP(Table25[[#This Row],[Code2]],'[2]New Machine sheet'!$F$2:$I$64,2,),0)</f>
        <v>24115</v>
      </c>
      <c r="H198" s="61" t="str">
        <f>IFERROR(VLOOKUP(Table25[[#This Row],[Code2]],'[2]New Machine sheet'!$F$2:$I$64,3,0),0)</f>
        <v>RE J1</v>
      </c>
      <c r="I198" s="61" t="s">
        <v>113</v>
      </c>
      <c r="J198" s="61">
        <v>41</v>
      </c>
      <c r="K198" s="61" t="str">
        <f>IFERROR(VLOOKUP(Table25[[#This Row],[Code3]],'[2]New defect code '!$A$2:$D$129,2,0),0)</f>
        <v>Face Less metal</v>
      </c>
      <c r="L198" s="61" t="s">
        <v>210</v>
      </c>
      <c r="M198" s="56">
        <v>46266</v>
      </c>
      <c r="N198" s="61"/>
      <c r="O198" s="61">
        <v>1</v>
      </c>
      <c r="P198" s="61"/>
      <c r="Q198" s="61"/>
      <c r="R198" s="61">
        <f>SUBTOTAL(9,Table25[[#This Row],[1st]:[FQC]])</f>
        <v>1</v>
      </c>
      <c r="S198" s="61">
        <f>IFERROR(VLOOKUP(Table25[[#This Row],[Part No.]],'[2]New Machine sheet'!$G$2:$I$90,3,0),0)</f>
        <v>66.900000000000006</v>
      </c>
      <c r="T198" s="61">
        <f>Table25[[#This Row],[cost per piece]]*Table25[[#This Row],[Total Rej. qty]]</f>
        <v>66.900000000000006</v>
      </c>
      <c r="U198" s="61">
        <f>IFERROR(VLOOKUP(Table25[[#This Row],[Non Conformance]],'[2]New defect code '!$B$2:$C$129,2,0),0)</f>
        <v>3259</v>
      </c>
      <c r="V198" s="61">
        <v>45</v>
      </c>
      <c r="W198" s="61" t="str">
        <f>IFERROR(VLOOKUP(Table25[[#This Row],[Code4]],'[2]New Reason code'!$A$2:$D$77,2,0),0)</f>
        <v>Running m/c</v>
      </c>
      <c r="X198" s="61">
        <f ca="1">#REF!+Table25[[#This Row],[Rejection Identified at]]</f>
        <v>0</v>
      </c>
      <c r="Y198" s="63">
        <f>IFERROR(VLOOKUP(Table25[[#This Row],[Reason]],Coding!A195:C252,3,0),0)</f>
        <v>0</v>
      </c>
    </row>
    <row r="199" spans="1:25" ht="20.25" customHeight="1">
      <c r="A199" s="50">
        <v>195</v>
      </c>
      <c r="B199" s="61">
        <v>20</v>
      </c>
      <c r="C199" s="61" t="str">
        <f>IFERROR(VLOOKUP(Table25[[#This Row],[Code]],'[2]New Machine sheet'!$A$1:$D$101,2,0),0)</f>
        <v>282-20</v>
      </c>
      <c r="D199" s="61" t="str">
        <f>IFERROR(VLOOKUP(Table25[[#This Row],[M/c No]],'[2]New Machine sheet'!$B$1:$D$101,2,0),0)</f>
        <v>Mazak</v>
      </c>
      <c r="E199" s="61" t="str">
        <f>IFERROR(VLOOKUP(Table25[[#This Row],[M/c Name]],'[2]New Machine sheet'!$C$1:$D$101,2,0),0)</f>
        <v>Turning</v>
      </c>
      <c r="F199" s="61">
        <v>115</v>
      </c>
      <c r="G199" s="61">
        <f>IFERROR(VLOOKUP(Table25[[#This Row],[Code2]],'[2]New Machine sheet'!$F$2:$I$64,2,),0)</f>
        <v>24115</v>
      </c>
      <c r="H199" s="61" t="str">
        <f>IFERROR(VLOOKUP(Table25[[#This Row],[Code2]],'[2]New Machine sheet'!$F$2:$I$64,3,0),0)</f>
        <v>RE J1</v>
      </c>
      <c r="I199" s="61" t="s">
        <v>113</v>
      </c>
      <c r="J199" s="61">
        <v>10</v>
      </c>
      <c r="K199" s="61" t="str">
        <f>IFERROR(VLOOKUP(Table25[[#This Row],[Code3]],'[2]New defect code '!$A$2:$D$129,2,0),0)</f>
        <v xml:space="preserve">Bore u/s </v>
      </c>
      <c r="L199" s="61" t="s">
        <v>210</v>
      </c>
      <c r="M199" s="56">
        <v>46266</v>
      </c>
      <c r="N199" s="61"/>
      <c r="O199" s="61">
        <v>1</v>
      </c>
      <c r="P199" s="61"/>
      <c r="Q199" s="61"/>
      <c r="R199" s="61">
        <f>SUBTOTAL(9,Table25[[#This Row],[1st]:[FQC]])</f>
        <v>1</v>
      </c>
      <c r="S199" s="61">
        <f>IFERROR(VLOOKUP(Table25[[#This Row],[Part No.]],'[2]New Machine sheet'!$G$2:$I$90,3,0),0)</f>
        <v>66.900000000000006</v>
      </c>
      <c r="T199" s="61">
        <f>Table25[[#This Row],[cost per piece]]*Table25[[#This Row],[Total Rej. qty]]</f>
        <v>66.900000000000006</v>
      </c>
      <c r="U199" s="61">
        <f>IFERROR(VLOOKUP(Table25[[#This Row],[Non Conformance]],'[2]New defect code '!$B$2:$C$129,2,0),0)</f>
        <v>0</v>
      </c>
      <c r="V199" s="61">
        <v>45</v>
      </c>
      <c r="W199" s="61" t="str">
        <f>IFERROR(VLOOKUP(Table25[[#This Row],[Code4]],'[2]New Reason code'!$A$2:$D$77,2,0),0)</f>
        <v>Running m/c</v>
      </c>
      <c r="X199" s="61">
        <f ca="1">#REF!+Table25[[#This Row],[Rejection Identified at]]</f>
        <v>0</v>
      </c>
      <c r="Y199" s="63">
        <f>IFERROR(VLOOKUP(Table25[[#This Row],[Reason]],Coding!A196:C253,3,0),0)</f>
        <v>0</v>
      </c>
    </row>
    <row r="200" spans="1:25" ht="20.25" customHeight="1">
      <c r="A200" s="60">
        <v>196</v>
      </c>
      <c r="B200" s="61"/>
      <c r="C200" s="61" t="s">
        <v>212</v>
      </c>
      <c r="D200" s="61" t="s">
        <v>117</v>
      </c>
      <c r="E200" s="61" t="str">
        <f>IFERROR(VLOOKUP(Table25[[#This Row],[M/c Name]],'[2]New Machine sheet'!$C$1:$D$101,2,0),0)</f>
        <v>Turning</v>
      </c>
      <c r="F200" s="61">
        <v>127</v>
      </c>
      <c r="G200" s="61">
        <f>IFERROR(VLOOKUP(Table25[[#This Row],[Code2]],'[2]New Machine sheet'!$F$2:$I$64,2,),0)</f>
        <v>24127</v>
      </c>
      <c r="H200" s="61" t="str">
        <f>IFERROR(VLOOKUP(Table25[[#This Row],[Code2]],'[2]New Machine sheet'!$F$2:$I$64,3,0),0)</f>
        <v>RE J1</v>
      </c>
      <c r="I200" s="61" t="s">
        <v>191</v>
      </c>
      <c r="J200" s="61">
        <v>61</v>
      </c>
      <c r="K200" s="61" t="str">
        <f>IFERROR(VLOOKUP(Table25[[#This Row],[Code3]],'[2]New defect code '!$A$2:$D$129,2,0),0)</f>
        <v>Od o/s</v>
      </c>
      <c r="L200" s="61" t="s">
        <v>210</v>
      </c>
      <c r="M200" s="56">
        <v>46266</v>
      </c>
      <c r="N200" s="61"/>
      <c r="O200" s="61">
        <v>1</v>
      </c>
      <c r="P200" s="61"/>
      <c r="Q200" s="61"/>
      <c r="R200" s="61">
        <f>SUBTOTAL(9,Table25[[#This Row],[1st]:[FQC]])</f>
        <v>1</v>
      </c>
      <c r="S200" s="61">
        <f>IFERROR(VLOOKUP(Table25[[#This Row],[Part No.]],'[2]New Machine sheet'!$G$2:$I$90,3,0),0)</f>
        <v>262.81200000000001</v>
      </c>
      <c r="T200" s="61">
        <f>Table25[[#This Row],[cost per piece]]*Table25[[#This Row],[Total Rej. qty]]</f>
        <v>262.81200000000001</v>
      </c>
      <c r="U200" s="61">
        <f>IFERROR(VLOOKUP(Table25[[#This Row],[Non Conformance]],'[2]New defect code '!$B$2:$C$129,2,0),0)</f>
        <v>0</v>
      </c>
      <c r="V200" s="61">
        <v>45</v>
      </c>
      <c r="W200" s="61" t="str">
        <f>IFERROR(VLOOKUP(Table25[[#This Row],[Code4]],'[2]New Reason code'!$A$2:$D$77,2,0),0)</f>
        <v>Running m/c</v>
      </c>
      <c r="X200" s="61">
        <f ca="1">#REF!+Table25[[#This Row],[Rejection Identified at]]</f>
        <v>0</v>
      </c>
      <c r="Y200" s="63">
        <f>IFERROR(VLOOKUP(Table25[[#This Row],[Reason]],Coding!A197:C254,3,0),0)</f>
        <v>0</v>
      </c>
    </row>
    <row r="201" spans="1:25" ht="20.25" customHeight="1">
      <c r="A201" s="50">
        <v>197</v>
      </c>
      <c r="B201" s="61">
        <v>12</v>
      </c>
      <c r="C201" s="61" t="str">
        <f>IFERROR(VLOOKUP(Table25[[#This Row],[Code]],'[2]New Machine sheet'!$A$1:$D$101,2,0),0)</f>
        <v>282-12</v>
      </c>
      <c r="D201" s="61" t="str">
        <f>IFERROR(VLOOKUP(Table25[[#This Row],[M/c No]],'[2]New Machine sheet'!$B$1:$D$101,2,0),0)</f>
        <v>Mazak</v>
      </c>
      <c r="E201" s="61" t="str">
        <f>IFERROR(VLOOKUP(Table25[[#This Row],[M/c Name]],'[2]New Machine sheet'!$C$1:$D$101,2,0),0)</f>
        <v>Turning</v>
      </c>
      <c r="F201" s="61">
        <v>73</v>
      </c>
      <c r="G201" s="61">
        <f>IFERROR(VLOOKUP(Table25[[#This Row],[Code2]],'[2]New Machine sheet'!$F$2:$I$64,2,),0)</f>
        <v>2473</v>
      </c>
      <c r="H201" s="61" t="str">
        <f>IFERROR(VLOOKUP(Table25[[#This Row],[Code2]],'[2]New Machine sheet'!$F$2:$I$64,3,0),0)</f>
        <v>RE P1</v>
      </c>
      <c r="I201" s="61" t="s">
        <v>127</v>
      </c>
      <c r="J201" s="61">
        <v>41</v>
      </c>
      <c r="K201" s="61" t="str">
        <f>IFERROR(VLOOKUP(Table25[[#This Row],[Code3]],'[2]New defect code '!$A$2:$D$129,2,0),0)</f>
        <v>Face Less metal</v>
      </c>
      <c r="L201" s="61" t="s">
        <v>210</v>
      </c>
      <c r="M201" s="56">
        <v>46266</v>
      </c>
      <c r="N201" s="61"/>
      <c r="O201" s="61">
        <v>1</v>
      </c>
      <c r="P201" s="61"/>
      <c r="Q201" s="61"/>
      <c r="R201" s="61">
        <f>SUBTOTAL(9,Table25[[#This Row],[1st]:[FQC]])</f>
        <v>1</v>
      </c>
      <c r="S201" s="61">
        <f>IFERROR(VLOOKUP(Table25[[#This Row],[Part No.]],'[2]New Machine sheet'!$G$2:$I$90,3,0),0)</f>
        <v>110.76</v>
      </c>
      <c r="T201" s="61">
        <f>Table25[[#This Row],[cost per piece]]*Table25[[#This Row],[Total Rej. qty]]</f>
        <v>110.76</v>
      </c>
      <c r="U201" s="61">
        <f>IFERROR(VLOOKUP(Table25[[#This Row],[Non Conformance]],'[2]New defect code '!$B$2:$C$129,2,0),0)</f>
        <v>3259</v>
      </c>
      <c r="V201" s="61">
        <v>45</v>
      </c>
      <c r="W201" s="61" t="str">
        <f>IFERROR(VLOOKUP(Table25[[#This Row],[Code4]],'[2]New Reason code'!$A$2:$D$77,2,0),0)</f>
        <v>Running m/c</v>
      </c>
      <c r="X201" s="61">
        <f ca="1">#REF!+Table25[[#This Row],[Rejection Identified at]]</f>
        <v>0</v>
      </c>
      <c r="Y201" s="63">
        <f>IFERROR(VLOOKUP(Table25[[#This Row],[Reason]],Coding!A198:C255,3,0),0)</f>
        <v>0</v>
      </c>
    </row>
    <row r="202" spans="1:25" ht="20.25" customHeight="1">
      <c r="A202" s="60">
        <v>198</v>
      </c>
      <c r="B202" s="61">
        <v>11</v>
      </c>
      <c r="C202" s="61" t="str">
        <f>IFERROR(VLOOKUP(Table25[[#This Row],[Code]],'[2]New Machine sheet'!$A$1:$D$101,2,0),0)</f>
        <v>282-11</v>
      </c>
      <c r="D202" s="61" t="str">
        <f>IFERROR(VLOOKUP(Table25[[#This Row],[M/c No]],'[2]New Machine sheet'!$B$1:$D$101,2,0),0)</f>
        <v>Mazak</v>
      </c>
      <c r="E202" s="61" t="str">
        <f>IFERROR(VLOOKUP(Table25[[#This Row],[M/c Name]],'[2]New Machine sheet'!$C$1:$D$101,2,0),0)</f>
        <v>Turning</v>
      </c>
      <c r="F202" s="61">
        <v>121</v>
      </c>
      <c r="G202" s="61">
        <f>IFERROR(VLOOKUP(Table25[[#This Row],[Code2]],'[2]New Machine sheet'!$F$2:$I$64,2,),0)</f>
        <v>24121</v>
      </c>
      <c r="H202" s="61" t="str">
        <f>IFERROR(VLOOKUP(Table25[[#This Row],[Code2]],'[2]New Machine sheet'!$F$2:$I$64,3,0),0)</f>
        <v>RE J1</v>
      </c>
      <c r="I202" s="61" t="s">
        <v>137</v>
      </c>
      <c r="J202" s="61">
        <v>71</v>
      </c>
      <c r="K202" s="61" t="str">
        <f>IFERROR(VLOOKUP(Table25[[#This Row],[Code3]],'[2]New defect code '!$A$2:$D$129,2,0),0)</f>
        <v>PG go not qualify</v>
      </c>
      <c r="L202" s="61" t="s">
        <v>210</v>
      </c>
      <c r="M202" s="56">
        <v>46266</v>
      </c>
      <c r="N202" s="61"/>
      <c r="O202" s="61">
        <v>2</v>
      </c>
      <c r="P202" s="61"/>
      <c r="Q202" s="61"/>
      <c r="R202" s="61">
        <f>SUBTOTAL(9,Table25[[#This Row],[1st]:[FQC]])</f>
        <v>2</v>
      </c>
      <c r="S202" s="61">
        <f>IFERROR(VLOOKUP(Table25[[#This Row],[Part No.]],'[2]New Machine sheet'!$G$2:$I$90,3,0),0)</f>
        <v>135.66999999999999</v>
      </c>
      <c r="T202" s="61">
        <f>Table25[[#This Row],[cost per piece]]*Table25[[#This Row],[Total Rej. qty]]</f>
        <v>271.33999999999997</v>
      </c>
      <c r="U202" s="61">
        <f>IFERROR(VLOOKUP(Table25[[#This Row],[Non Conformance]],'[2]New defect code '!$B$2:$C$129,2,0),0)</f>
        <v>0</v>
      </c>
      <c r="V202" s="61">
        <v>45</v>
      </c>
      <c r="W202" s="61" t="str">
        <f>IFERROR(VLOOKUP(Table25[[#This Row],[Code4]],'[2]New Reason code'!$A$2:$D$77,2,0),0)</f>
        <v>Running m/c</v>
      </c>
      <c r="X202" s="61">
        <f ca="1">#REF!+Table25[[#This Row],[Rejection Identified at]]</f>
        <v>0</v>
      </c>
      <c r="Y202" s="63">
        <f>IFERROR(VLOOKUP(Table25[[#This Row],[Reason]],Coding!A199:C256,3,0),0)</f>
        <v>0</v>
      </c>
    </row>
    <row r="203" spans="1:25" ht="20.25" customHeight="1">
      <c r="A203" s="50">
        <v>199</v>
      </c>
      <c r="B203" s="61">
        <v>6</v>
      </c>
      <c r="C203" s="61" t="str">
        <f>IFERROR(VLOOKUP(Table25[[#This Row],[Code]],'[2]New Machine sheet'!$A$1:$D$101,2,0),0)</f>
        <v>282-06</v>
      </c>
      <c r="D203" s="61" t="str">
        <f>IFERROR(VLOOKUP(Table25[[#This Row],[M/c No]],'[2]New Machine sheet'!$B$1:$D$101,2,0),0)</f>
        <v>Mazak</v>
      </c>
      <c r="E203" s="61" t="str">
        <f>IFERROR(VLOOKUP(Table25[[#This Row],[M/c Name]],'[2]New Machine sheet'!$C$1:$D$101,2,0),0)</f>
        <v>Turning</v>
      </c>
      <c r="F203" s="61">
        <v>178</v>
      </c>
      <c r="G203" s="61">
        <f>IFERROR(VLOOKUP(Table25[[#This Row],[Code2]],'[2]New Machine sheet'!$F$2:$I$64,2,),0)</f>
        <v>24178</v>
      </c>
      <c r="H203" s="61" t="str">
        <f>IFERROR(VLOOKUP(Table25[[#This Row],[Code2]],'[2]New Machine sheet'!$F$2:$I$64,3,0),0)</f>
        <v>RE J1</v>
      </c>
      <c r="I203" s="61" t="s">
        <v>176</v>
      </c>
      <c r="J203" s="61">
        <v>10</v>
      </c>
      <c r="K203" s="61" t="str">
        <f>IFERROR(VLOOKUP(Table25[[#This Row],[Code3]],'[2]New defect code '!$A$2:$D$129,2,0),0)</f>
        <v xml:space="preserve">Bore u/s </v>
      </c>
      <c r="L203" s="61" t="s">
        <v>210</v>
      </c>
      <c r="M203" s="56">
        <v>46266</v>
      </c>
      <c r="N203" s="61"/>
      <c r="O203" s="61">
        <v>1</v>
      </c>
      <c r="P203" s="61"/>
      <c r="Q203" s="61"/>
      <c r="R203" s="61">
        <f>SUBTOTAL(9,Table25[[#This Row],[1st]:[FQC]])</f>
        <v>1</v>
      </c>
      <c r="S203" s="61">
        <f>IFERROR(VLOOKUP(Table25[[#This Row],[Part No.]],'[2]New Machine sheet'!$G$2:$I$90,3,0),0)</f>
        <v>70.62</v>
      </c>
      <c r="T203" s="61">
        <f>Table25[[#This Row],[cost per piece]]*Table25[[#This Row],[Total Rej. qty]]</f>
        <v>70.62</v>
      </c>
      <c r="U203" s="61">
        <f>IFERROR(VLOOKUP(Table25[[#This Row],[Non Conformance]],'[2]New defect code '!$B$2:$C$129,2,0),0)</f>
        <v>0</v>
      </c>
      <c r="V203" s="61">
        <v>18</v>
      </c>
      <c r="W203" s="61" t="str">
        <f>IFERROR(VLOOKUP(Table25[[#This Row],[Code4]],'[2]New Reason code'!$A$2:$D$77,2,0),0)</f>
        <v>During insert change</v>
      </c>
      <c r="X203" s="61">
        <f ca="1">#REF!+Table25[[#This Row],[Rejection Identified at]]</f>
        <v>0</v>
      </c>
      <c r="Y203" s="63">
        <f>IFERROR(VLOOKUP(Table25[[#This Row],[Reason]],Coding!A200:C257,3,0),0)</f>
        <v>0</v>
      </c>
    </row>
    <row r="204" spans="1:25" ht="20.25" customHeight="1">
      <c r="A204" s="60">
        <v>200</v>
      </c>
      <c r="B204" s="61">
        <v>14</v>
      </c>
      <c r="C204" s="61" t="str">
        <f>IFERROR(VLOOKUP(Table25[[#This Row],[Code]],'[2]New Machine sheet'!$A$1:$D$101,2,0),0)</f>
        <v>282-14</v>
      </c>
      <c r="D204" s="61" t="str">
        <f>IFERROR(VLOOKUP(Table25[[#This Row],[M/c No]],'[2]New Machine sheet'!$B$1:$D$101,2,0),0)</f>
        <v>Mazak</v>
      </c>
      <c r="E204" s="61" t="str">
        <f>IFERROR(VLOOKUP(Table25[[#This Row],[M/c Name]],'[2]New Machine sheet'!$C$1:$D$101,2,0),0)</f>
        <v>Turning</v>
      </c>
      <c r="F204" s="61">
        <v>155</v>
      </c>
      <c r="G204" s="61">
        <f>IFERROR(VLOOKUP(Table25[[#This Row],[Code2]],'[2]New Machine sheet'!$F$2:$I$64,2,),0)</f>
        <v>24155</v>
      </c>
      <c r="H204" s="61" t="str">
        <f>IFERROR(VLOOKUP(Table25[[#This Row],[Code2]],'[2]New Machine sheet'!$F$2:$I$64,3,0),0)</f>
        <v>RE J1</v>
      </c>
      <c r="I204" s="61"/>
      <c r="J204" s="61">
        <v>49</v>
      </c>
      <c r="K204" s="61" t="str">
        <f>IFERROR(VLOOKUP(Table25[[#This Row],[Code3]],'[2]New defect code '!$A$2:$D$129,2,0),0)</f>
        <v>Thickness over size</v>
      </c>
      <c r="L204" s="61" t="s">
        <v>210</v>
      </c>
      <c r="M204" s="56">
        <v>46266</v>
      </c>
      <c r="N204" s="61"/>
      <c r="O204" s="61">
        <v>1</v>
      </c>
      <c r="P204" s="61"/>
      <c r="Q204" s="61"/>
      <c r="R204" s="61">
        <f>SUBTOTAL(9,Table25[[#This Row],[1st]:[FQC]])</f>
        <v>1</v>
      </c>
      <c r="S204" s="61">
        <f>IFERROR(VLOOKUP(Table25[[#This Row],[Part No.]],'[2]New Machine sheet'!$G$2:$I$90,3,0),0)</f>
        <v>107.67</v>
      </c>
      <c r="T204" s="61">
        <f>Table25[[#This Row],[cost per piece]]*Table25[[#This Row],[Total Rej. qty]]</f>
        <v>107.67</v>
      </c>
      <c r="U204" s="61">
        <f>IFERROR(VLOOKUP(Table25[[#This Row],[Non Conformance]],'[2]New defect code '!$B$2:$C$129,2,0),0)</f>
        <v>0</v>
      </c>
      <c r="V204" s="61">
        <v>18</v>
      </c>
      <c r="W204" s="61" t="str">
        <f>IFERROR(VLOOKUP(Table25[[#This Row],[Code4]],'[2]New Reason code'!$A$2:$D$77,2,0),0)</f>
        <v>During insert change</v>
      </c>
      <c r="X204" s="61">
        <f ca="1">#REF!+Table25[[#This Row],[Rejection Identified at]]</f>
        <v>0</v>
      </c>
      <c r="Y204" s="63">
        <f>IFERROR(VLOOKUP(Table25[[#This Row],[Reason]],Coding!A201:C258,3,0),0)</f>
        <v>0</v>
      </c>
    </row>
    <row r="205" spans="1:25" ht="20.25" customHeight="1">
      <c r="A205" s="50">
        <v>201</v>
      </c>
      <c r="B205" s="61"/>
      <c r="C205" s="61" t="s">
        <v>118</v>
      </c>
      <c r="D205" s="61" t="s">
        <v>117</v>
      </c>
      <c r="E205" s="61" t="str">
        <f>IFERROR(VLOOKUP(Table25[[#This Row],[M/c Name]],'[2]New Machine sheet'!$C$1:$D$101,2,0),0)</f>
        <v>Turning</v>
      </c>
      <c r="F205" s="61">
        <v>127</v>
      </c>
      <c r="G205" s="61">
        <f>IFERROR(VLOOKUP(Table25[[#This Row],[Code2]],'[2]New Machine sheet'!$F$2:$I$64,2,),0)</f>
        <v>24127</v>
      </c>
      <c r="H205" s="61" t="str">
        <f>IFERROR(VLOOKUP(Table25[[#This Row],[Code2]],'[2]New Machine sheet'!$F$2:$I$64,3,0),0)</f>
        <v>RE J1</v>
      </c>
      <c r="I205" s="61" t="s">
        <v>191</v>
      </c>
      <c r="J205" s="61">
        <v>41</v>
      </c>
      <c r="K205" s="61" t="str">
        <f>IFERROR(VLOOKUP(Table25[[#This Row],[Code3]],'[2]New defect code '!$A$2:$D$129,2,0),0)</f>
        <v>Face Less metal</v>
      </c>
      <c r="L205" s="61" t="s">
        <v>210</v>
      </c>
      <c r="M205" s="56">
        <v>46266</v>
      </c>
      <c r="N205" s="61"/>
      <c r="O205" s="61">
        <v>1</v>
      </c>
      <c r="P205" s="61"/>
      <c r="Q205" s="61"/>
      <c r="R205" s="61">
        <f>SUBTOTAL(9,Table25[[#This Row],[1st]:[FQC]])</f>
        <v>1</v>
      </c>
      <c r="S205" s="61">
        <f>IFERROR(VLOOKUP(Table25[[#This Row],[Part No.]],'[2]New Machine sheet'!$G$2:$I$90,3,0),0)</f>
        <v>262.81200000000001</v>
      </c>
      <c r="T205" s="61">
        <f>Table25[[#This Row],[cost per piece]]*Table25[[#This Row],[Total Rej. qty]]</f>
        <v>262.81200000000001</v>
      </c>
      <c r="U205" s="61">
        <f>IFERROR(VLOOKUP(Table25[[#This Row],[Non Conformance]],'[2]New defect code '!$B$2:$C$129,2,0),0)</f>
        <v>3259</v>
      </c>
      <c r="V205" s="61">
        <v>45</v>
      </c>
      <c r="W205" s="61" t="str">
        <f>IFERROR(VLOOKUP(Table25[[#This Row],[Code4]],'[2]New Reason code'!$A$2:$D$77,2,0),0)</f>
        <v>Running m/c</v>
      </c>
      <c r="X205" s="61">
        <f ca="1">#REF!+Table25[[#This Row],[Rejection Identified at]]</f>
        <v>0</v>
      </c>
      <c r="Y205" s="63">
        <f>IFERROR(VLOOKUP(Table25[[#This Row],[Reason]],Coding!A202:C259,3,0),0)</f>
        <v>0</v>
      </c>
    </row>
    <row r="206" spans="1:25" ht="20.25" customHeight="1">
      <c r="A206" s="60">
        <v>202</v>
      </c>
      <c r="B206" s="61">
        <v>15</v>
      </c>
      <c r="C206" s="61" t="str">
        <f>IFERROR(VLOOKUP(Table25[[#This Row],[Code]],'[2]New Machine sheet'!$A$1:$D$101,2,0),0)</f>
        <v>282-15</v>
      </c>
      <c r="D206" s="61" t="str">
        <f>IFERROR(VLOOKUP(Table25[[#This Row],[M/c No]],'[2]New Machine sheet'!$B$1:$D$101,2,0),0)</f>
        <v>Mazak</v>
      </c>
      <c r="E206" s="61" t="str">
        <f>IFERROR(VLOOKUP(Table25[[#This Row],[M/c Name]],'[2]New Machine sheet'!$C$1:$D$101,2,0),0)</f>
        <v>Turning</v>
      </c>
      <c r="F206" s="61">
        <v>82</v>
      </c>
      <c r="G206" s="61">
        <f>IFERROR(VLOOKUP(Table25[[#This Row],[Code2]],'[2]New Machine sheet'!$F$2:$I$64,2,),0)</f>
        <v>2482</v>
      </c>
      <c r="H206" s="61" t="str">
        <f>IFERROR(VLOOKUP(Table25[[#This Row],[Code2]],'[2]New Machine sheet'!$F$2:$I$64,3,0),0)</f>
        <v>RE P1</v>
      </c>
      <c r="I206" s="61"/>
      <c r="J206" s="61">
        <v>71</v>
      </c>
      <c r="K206" s="61" t="str">
        <f>IFERROR(VLOOKUP(Table25[[#This Row],[Code3]],'[2]New defect code '!$A$2:$D$129,2,0),0)</f>
        <v>PG go not qualify</v>
      </c>
      <c r="L206" s="61" t="s">
        <v>210</v>
      </c>
      <c r="M206" s="56">
        <v>46266</v>
      </c>
      <c r="N206" s="61"/>
      <c r="O206" s="61">
        <v>1</v>
      </c>
      <c r="P206" s="61"/>
      <c r="Q206" s="61"/>
      <c r="R206" s="61">
        <f>SUBTOTAL(9,Table25[[#This Row],[1st]:[FQC]])</f>
        <v>1</v>
      </c>
      <c r="S206" s="61">
        <f>IFERROR(VLOOKUP(Table25[[#This Row],[Part No.]],'[2]New Machine sheet'!$G$2:$I$90,3,0),0)</f>
        <v>303.45333333333332</v>
      </c>
      <c r="T206" s="61">
        <f>Table25[[#This Row],[cost per piece]]*Table25[[#This Row],[Total Rej. qty]]</f>
        <v>303.45333333333332</v>
      </c>
      <c r="U206" s="61">
        <f>IFERROR(VLOOKUP(Table25[[#This Row],[Non Conformance]],'[2]New defect code '!$B$2:$C$129,2,0),0)</f>
        <v>0</v>
      </c>
      <c r="V206" s="61">
        <v>45</v>
      </c>
      <c r="W206" s="61" t="str">
        <f>IFERROR(VLOOKUP(Table25[[#This Row],[Code4]],'[2]New Reason code'!$A$2:$D$77,2,0),0)</f>
        <v>Running m/c</v>
      </c>
      <c r="X206" s="61">
        <f ca="1">#REF!+Table25[[#This Row],[Rejection Identified at]]</f>
        <v>0</v>
      </c>
      <c r="Y206" s="63">
        <f>IFERROR(VLOOKUP(Table25[[#This Row],[Reason]],Coding!A203:C260,3,0),0)</f>
        <v>0</v>
      </c>
    </row>
    <row r="207" spans="1:25" ht="20.25" customHeight="1">
      <c r="A207" s="50">
        <v>203</v>
      </c>
      <c r="B207" s="61">
        <v>40</v>
      </c>
      <c r="C207" s="61" t="str">
        <f>IFERROR(VLOOKUP(Table25[[#This Row],[Code]],'[2]New Machine sheet'!$A$1:$D$101,2,0),0)</f>
        <v>ACE-20</v>
      </c>
      <c r="D207" s="61" t="str">
        <f>IFERROR(VLOOKUP(Table25[[#This Row],[M/c No]],'[2]New Machine sheet'!$B$1:$D$101,2,0),0)</f>
        <v>Micromatic</v>
      </c>
      <c r="E207" s="61" t="str">
        <f>IFERROR(VLOOKUP(Table25[[#This Row],[M/c Name]],'[2]New Machine sheet'!$C$1:$D$101,2,0),0)</f>
        <v>Turning</v>
      </c>
      <c r="F207" s="61">
        <v>122</v>
      </c>
      <c r="G207" s="61">
        <f>IFERROR(VLOOKUP(Table25[[#This Row],[Code2]],'[2]New Machine sheet'!$F$2:$I$64,2,),0)</f>
        <v>24122</v>
      </c>
      <c r="H207" s="61" t="str">
        <f>IFERROR(VLOOKUP(Table25[[#This Row],[Code2]],'[2]New Machine sheet'!$F$2:$I$64,3,0),0)</f>
        <v>RE J1</v>
      </c>
      <c r="I207" s="61" t="s">
        <v>176</v>
      </c>
      <c r="J207" s="61">
        <v>10</v>
      </c>
      <c r="K207" s="61" t="str">
        <f>IFERROR(VLOOKUP(Table25[[#This Row],[Code3]],'[2]New defect code '!$A$2:$D$129,2,0),0)</f>
        <v xml:space="preserve">Bore u/s </v>
      </c>
      <c r="L207" s="61" t="s">
        <v>210</v>
      </c>
      <c r="M207" s="56">
        <v>46266</v>
      </c>
      <c r="N207" s="61"/>
      <c r="O207" s="61"/>
      <c r="P207" s="61">
        <v>1</v>
      </c>
      <c r="Q207" s="61"/>
      <c r="R207" s="61">
        <f>SUBTOTAL(9,Table25[[#This Row],[1st]:[FQC]])</f>
        <v>1</v>
      </c>
      <c r="S207" s="61">
        <f>IFERROR(VLOOKUP(Table25[[#This Row],[Part No.]],'[2]New Machine sheet'!$G$2:$I$90,3,0),0)</f>
        <v>335.39977528089889</v>
      </c>
      <c r="T207" s="61">
        <f>Table25[[#This Row],[cost per piece]]*Table25[[#This Row],[Total Rej. qty]]</f>
        <v>335.39977528089889</v>
      </c>
      <c r="U207" s="61">
        <f>IFERROR(VLOOKUP(Table25[[#This Row],[Non Conformance]],'[2]New defect code '!$B$2:$C$129,2,0),0)</f>
        <v>0</v>
      </c>
      <c r="V207" s="61">
        <v>45</v>
      </c>
      <c r="W207" s="61" t="str">
        <f>IFERROR(VLOOKUP(Table25[[#This Row],[Code4]],'[2]New Reason code'!$A$2:$D$77,2,0),0)</f>
        <v>Running m/c</v>
      </c>
      <c r="X207" s="61">
        <f ca="1">#REF!+Table25[[#This Row],[Rejection Identified at]]</f>
        <v>0</v>
      </c>
      <c r="Y207" s="63">
        <f>IFERROR(VLOOKUP(Table25[[#This Row],[Reason]],Coding!A204:C261,3,0),0)</f>
        <v>0</v>
      </c>
    </row>
    <row r="208" spans="1:25" ht="20.25" customHeight="1">
      <c r="A208" s="60">
        <v>204</v>
      </c>
      <c r="B208" s="61">
        <v>11</v>
      </c>
      <c r="C208" s="61" t="str">
        <f>IFERROR(VLOOKUP(Table25[[#This Row],[Code]],'[2]New Machine sheet'!$A$1:$D$101,2,0),0)</f>
        <v>282-11</v>
      </c>
      <c r="D208" s="61" t="str">
        <f>IFERROR(VLOOKUP(Table25[[#This Row],[M/c No]],'[2]New Machine sheet'!$B$1:$D$101,2,0),0)</f>
        <v>Mazak</v>
      </c>
      <c r="E208" s="61" t="str">
        <f>IFERROR(VLOOKUP(Table25[[#This Row],[M/c Name]],'[2]New Machine sheet'!$C$1:$D$101,2,0),0)</f>
        <v>Turning</v>
      </c>
      <c r="F208" s="61">
        <v>42</v>
      </c>
      <c r="G208" s="61">
        <f>IFERROR(VLOOKUP(Table25[[#This Row],[Code2]],'[2]New Machine sheet'!$F$2:$I$64,2,),0)</f>
        <v>2442</v>
      </c>
      <c r="H208" s="61" t="str">
        <f>IFERROR(VLOOKUP(Table25[[#This Row],[Code2]],'[2]New Machine sheet'!$F$2:$I$64,3,0),0)</f>
        <v>RE P1</v>
      </c>
      <c r="I208" s="61" t="s">
        <v>133</v>
      </c>
      <c r="J208" s="61">
        <v>10</v>
      </c>
      <c r="K208" s="61" t="str">
        <f>IFERROR(VLOOKUP(Table25[[#This Row],[Code3]],'[2]New defect code '!$A$2:$D$129,2,0),0)</f>
        <v xml:space="preserve">Bore u/s </v>
      </c>
      <c r="L208" s="61" t="s">
        <v>210</v>
      </c>
      <c r="M208" s="56">
        <v>46266</v>
      </c>
      <c r="N208" s="61"/>
      <c r="O208" s="61"/>
      <c r="P208" s="61">
        <v>1</v>
      </c>
      <c r="Q208" s="61"/>
      <c r="R208" s="61">
        <f>SUBTOTAL(9,Table25[[#This Row],[1st]:[FQC]])</f>
        <v>1</v>
      </c>
      <c r="S208" s="61">
        <f>IFERROR(VLOOKUP(Table25[[#This Row],[Part No.]],'[2]New Machine sheet'!$G$2:$I$90,3,0),0)</f>
        <v>164.83</v>
      </c>
      <c r="T208" s="61">
        <f>Table25[[#This Row],[cost per piece]]*Table25[[#This Row],[Total Rej. qty]]</f>
        <v>164.83</v>
      </c>
      <c r="U208" s="61">
        <f>IFERROR(VLOOKUP(Table25[[#This Row],[Non Conformance]],'[2]New defect code '!$B$2:$C$129,2,0),0)</f>
        <v>0</v>
      </c>
      <c r="V208" s="61">
        <v>45</v>
      </c>
      <c r="W208" s="61" t="str">
        <f>IFERROR(VLOOKUP(Table25[[#This Row],[Code4]],'[2]New Reason code'!$A$2:$D$77,2,0),0)</f>
        <v>Running m/c</v>
      </c>
      <c r="X208" s="61">
        <f ca="1">#REF!+Table25[[#This Row],[Rejection Identified at]]</f>
        <v>0</v>
      </c>
      <c r="Y208" s="63">
        <f>IFERROR(VLOOKUP(Table25[[#This Row],[Reason]],Coding!A205:C262,3,0),0)</f>
        <v>0</v>
      </c>
    </row>
    <row r="209" spans="1:25" ht="20.25" customHeight="1">
      <c r="A209" s="50">
        <v>205</v>
      </c>
      <c r="B209" s="61">
        <v>25</v>
      </c>
      <c r="C209" s="61" t="str">
        <f>IFERROR(VLOOKUP(Table25[[#This Row],[Code]],'[2]New Machine sheet'!$A$1:$D$101,2,0),0)</f>
        <v>ACE-05</v>
      </c>
      <c r="D209" s="61" t="str">
        <f>IFERROR(VLOOKUP(Table25[[#This Row],[M/c No]],'[2]New Machine sheet'!$B$1:$D$101,2,0),0)</f>
        <v>Micromatic</v>
      </c>
      <c r="E209" s="61" t="str">
        <f>IFERROR(VLOOKUP(Table25[[#This Row],[M/c Name]],'[2]New Machine sheet'!$C$1:$D$101,2,0),0)</f>
        <v>Turning</v>
      </c>
      <c r="F209" s="61">
        <v>122</v>
      </c>
      <c r="G209" s="61">
        <f>IFERROR(VLOOKUP(Table25[[#This Row],[Code2]],'[2]New Machine sheet'!$F$2:$I$64,2,),0)</f>
        <v>24122</v>
      </c>
      <c r="H209" s="61" t="str">
        <f>IFERROR(VLOOKUP(Table25[[#This Row],[Code2]],'[2]New Machine sheet'!$F$2:$I$64,3,0),0)</f>
        <v>RE J1</v>
      </c>
      <c r="I209" s="61" t="s">
        <v>139</v>
      </c>
      <c r="J209" s="61">
        <v>41</v>
      </c>
      <c r="K209" s="61" t="str">
        <f>IFERROR(VLOOKUP(Table25[[#This Row],[Code3]],'[2]New defect code '!$A$2:$D$129,2,0),0)</f>
        <v>Face Less metal</v>
      </c>
      <c r="L209" s="61" t="s">
        <v>210</v>
      </c>
      <c r="M209" s="56">
        <v>46266</v>
      </c>
      <c r="N209" s="61"/>
      <c r="O209" s="61"/>
      <c r="P209" s="61">
        <v>1</v>
      </c>
      <c r="Q209" s="61"/>
      <c r="R209" s="61">
        <f>SUBTOTAL(9,Table25[[#This Row],[1st]:[FQC]])</f>
        <v>1</v>
      </c>
      <c r="S209" s="61">
        <f>IFERROR(VLOOKUP(Table25[[#This Row],[Part No.]],'[2]New Machine sheet'!$G$2:$I$90,3,0),0)</f>
        <v>335.39977528089889</v>
      </c>
      <c r="T209" s="61">
        <f>Table25[[#This Row],[cost per piece]]*Table25[[#This Row],[Total Rej. qty]]</f>
        <v>335.39977528089889</v>
      </c>
      <c r="U209" s="61">
        <f>IFERROR(VLOOKUP(Table25[[#This Row],[Non Conformance]],'[2]New defect code '!$B$2:$C$129,2,0),0)</f>
        <v>3259</v>
      </c>
      <c r="V209" s="61">
        <v>45</v>
      </c>
      <c r="W209" s="61" t="str">
        <f>IFERROR(VLOOKUP(Table25[[#This Row],[Code4]],'[2]New Reason code'!$A$2:$D$77,2,0),0)</f>
        <v>Running m/c</v>
      </c>
      <c r="X209" s="61">
        <f ca="1">#REF!+Table25[[#This Row],[Rejection Identified at]]</f>
        <v>0</v>
      </c>
      <c r="Y209" s="63">
        <f>IFERROR(VLOOKUP(Table25[[#This Row],[Reason]],Coding!A206:C263,3,0),0)</f>
        <v>0</v>
      </c>
    </row>
    <row r="210" spans="1:25" ht="20.25" customHeight="1">
      <c r="A210" s="60">
        <v>206</v>
      </c>
      <c r="B210" s="61">
        <v>47</v>
      </c>
      <c r="C210" s="61" t="str">
        <f>IFERROR(VLOOKUP(Table25[[#This Row],[Code]],'[2]New Machine sheet'!$A$1:$D$101,2,0),0)</f>
        <v>MURATEC-03</v>
      </c>
      <c r="D210" s="61" t="str">
        <f>IFERROR(VLOOKUP(Table25[[#This Row],[M/c No]],'[2]New Machine sheet'!$B$1:$D$101,2,0),0)</f>
        <v>MURATEC</v>
      </c>
      <c r="E210" s="61" t="str">
        <f>IFERROR(VLOOKUP(Table25[[#This Row],[M/c Name]],'[2]New Machine sheet'!$C$1:$D$101,2,0),0)</f>
        <v xml:space="preserve">turning </v>
      </c>
      <c r="F210" s="61">
        <v>127</v>
      </c>
      <c r="G210" s="61">
        <f>IFERROR(VLOOKUP(Table25[[#This Row],[Code2]],'[2]New Machine sheet'!$F$2:$I$64,2,),0)</f>
        <v>24127</v>
      </c>
      <c r="H210" s="61" t="str">
        <f>IFERROR(VLOOKUP(Table25[[#This Row],[Code2]],'[2]New Machine sheet'!$F$2:$I$64,3,0),0)</f>
        <v>RE J1</v>
      </c>
      <c r="I210" s="61" t="s">
        <v>140</v>
      </c>
      <c r="J210" s="61">
        <v>61</v>
      </c>
      <c r="K210" s="61" t="str">
        <f>IFERROR(VLOOKUP(Table25[[#This Row],[Code3]],'[2]New defect code '!$A$2:$D$129,2,0),0)</f>
        <v>Od o/s</v>
      </c>
      <c r="L210" s="61" t="s">
        <v>210</v>
      </c>
      <c r="M210" s="56">
        <v>46266</v>
      </c>
      <c r="N210" s="61"/>
      <c r="O210" s="61"/>
      <c r="P210" s="61">
        <v>1</v>
      </c>
      <c r="Q210" s="61"/>
      <c r="R210" s="61">
        <f>SUBTOTAL(9,Table25[[#This Row],[1st]:[FQC]])</f>
        <v>1</v>
      </c>
      <c r="S210" s="61">
        <f>IFERROR(VLOOKUP(Table25[[#This Row],[Part No.]],'[2]New Machine sheet'!$G$2:$I$90,3,0),0)</f>
        <v>262.81200000000001</v>
      </c>
      <c r="T210" s="61">
        <f>Table25[[#This Row],[cost per piece]]*Table25[[#This Row],[Total Rej. qty]]</f>
        <v>262.81200000000001</v>
      </c>
      <c r="U210" s="61">
        <f>IFERROR(VLOOKUP(Table25[[#This Row],[Non Conformance]],'[2]New defect code '!$B$2:$C$129,2,0),0)</f>
        <v>0</v>
      </c>
      <c r="V210" s="61">
        <v>18</v>
      </c>
      <c r="W210" s="61" t="str">
        <f>IFERROR(VLOOKUP(Table25[[#This Row],[Code4]],'[2]New Reason code'!$A$2:$D$77,2,0),0)</f>
        <v>During insert change</v>
      </c>
      <c r="X210" s="61">
        <f ca="1">#REF!+Table25[[#This Row],[Rejection Identified at]]</f>
        <v>0</v>
      </c>
      <c r="Y210" s="63">
        <f>IFERROR(VLOOKUP(Table25[[#This Row],[Reason]],Coding!A207:C264,3,0),0)</f>
        <v>0</v>
      </c>
    </row>
    <row r="211" spans="1:25" ht="20.25" customHeight="1">
      <c r="A211" s="50">
        <v>207</v>
      </c>
      <c r="B211" s="61">
        <v>47</v>
      </c>
      <c r="C211" s="61" t="str">
        <f>IFERROR(VLOOKUP(Table25[[#This Row],[Code]],'[2]New Machine sheet'!$A$1:$D$101,2,0),0)</f>
        <v>MURATEC-03</v>
      </c>
      <c r="D211" s="61" t="str">
        <f>IFERROR(VLOOKUP(Table25[[#This Row],[M/c No]],'[2]New Machine sheet'!$B$1:$D$101,2,0),0)</f>
        <v>MURATEC</v>
      </c>
      <c r="E211" s="61" t="str">
        <f>IFERROR(VLOOKUP(Table25[[#This Row],[M/c Name]],'[2]New Machine sheet'!$C$1:$D$101,2,0),0)</f>
        <v xml:space="preserve">turning </v>
      </c>
      <c r="F211" s="61">
        <v>127</v>
      </c>
      <c r="G211" s="61">
        <f>IFERROR(VLOOKUP(Table25[[#This Row],[Code2]],'[2]New Machine sheet'!$F$2:$I$64,2,),0)</f>
        <v>24127</v>
      </c>
      <c r="H211" s="61" t="str">
        <f>IFERROR(VLOOKUP(Table25[[#This Row],[Code2]],'[2]New Machine sheet'!$F$2:$I$64,3,0),0)</f>
        <v>RE J1</v>
      </c>
      <c r="I211" s="61" t="s">
        <v>140</v>
      </c>
      <c r="J211" s="61">
        <v>71</v>
      </c>
      <c r="K211" s="61" t="str">
        <f>IFERROR(VLOOKUP(Table25[[#This Row],[Code3]],'[2]New defect code '!$A$2:$D$129,2,0),0)</f>
        <v>PG go not qualify</v>
      </c>
      <c r="L211" s="61" t="s">
        <v>210</v>
      </c>
      <c r="M211" s="56">
        <v>46266</v>
      </c>
      <c r="N211" s="61"/>
      <c r="O211" s="61"/>
      <c r="P211" s="61">
        <v>1</v>
      </c>
      <c r="Q211" s="61"/>
      <c r="R211" s="61">
        <f>SUBTOTAL(9,Table25[[#This Row],[1st]:[FQC]])</f>
        <v>1</v>
      </c>
      <c r="S211" s="61">
        <f>IFERROR(VLOOKUP(Table25[[#This Row],[Part No.]],'[2]New Machine sheet'!$G$2:$I$90,3,0),0)</f>
        <v>262.81200000000001</v>
      </c>
      <c r="T211" s="61">
        <f>Table25[[#This Row],[cost per piece]]*Table25[[#This Row],[Total Rej. qty]]</f>
        <v>262.81200000000001</v>
      </c>
      <c r="U211" s="61">
        <f>IFERROR(VLOOKUP(Table25[[#This Row],[Non Conformance]],'[2]New defect code '!$B$2:$C$129,2,0),0)</f>
        <v>0</v>
      </c>
      <c r="V211" s="61">
        <v>45</v>
      </c>
      <c r="W211" s="61" t="str">
        <f>IFERROR(VLOOKUP(Table25[[#This Row],[Code4]],'[2]New Reason code'!$A$2:$D$77,2,0),0)</f>
        <v>Running m/c</v>
      </c>
      <c r="X211" s="61">
        <f ca="1">#REF!+Table25[[#This Row],[Rejection Identified at]]</f>
        <v>0</v>
      </c>
      <c r="Y211" s="63">
        <f>IFERROR(VLOOKUP(Table25[[#This Row],[Reason]],Coding!A208:C265,3,0),0)</f>
        <v>0</v>
      </c>
    </row>
    <row r="212" spans="1:25" ht="20.25" customHeight="1">
      <c r="A212" s="60">
        <v>208</v>
      </c>
      <c r="B212" s="61">
        <v>40</v>
      </c>
      <c r="C212" s="61" t="str">
        <f>IFERROR(VLOOKUP(Table25[[#This Row],[Code]],'[2]New Machine sheet'!$A$1:$D$101,2,0),0)</f>
        <v>ACE-20</v>
      </c>
      <c r="D212" s="61" t="str">
        <f>IFERROR(VLOOKUP(Table25[[#This Row],[M/c No]],'[2]New Machine sheet'!$B$1:$D$101,2,0),0)</f>
        <v>Micromatic</v>
      </c>
      <c r="E212" s="61" t="str">
        <f>IFERROR(VLOOKUP(Table25[[#This Row],[M/c Name]],'[2]New Machine sheet'!$C$1:$D$101,2,0),0)</f>
        <v>Turning</v>
      </c>
      <c r="F212" s="61">
        <v>122</v>
      </c>
      <c r="G212" s="61">
        <f>IFERROR(VLOOKUP(Table25[[#This Row],[Code2]],'[2]New Machine sheet'!$F$2:$I$64,2,),0)</f>
        <v>24122</v>
      </c>
      <c r="H212" s="61" t="str">
        <f>IFERROR(VLOOKUP(Table25[[#This Row],[Code2]],'[2]New Machine sheet'!$F$2:$I$64,3,0),0)</f>
        <v>RE J1</v>
      </c>
      <c r="I212" s="61" t="s">
        <v>215</v>
      </c>
      <c r="J212" s="61">
        <v>71</v>
      </c>
      <c r="K212" s="61" t="str">
        <f>IFERROR(VLOOKUP(Table25[[#This Row],[Code3]],'[2]New defect code '!$A$2:$D$129,2,0),0)</f>
        <v>PG go not qualify</v>
      </c>
      <c r="L212" s="61" t="s">
        <v>214</v>
      </c>
      <c r="M212" s="56">
        <v>46266</v>
      </c>
      <c r="N212" s="61">
        <v>1</v>
      </c>
      <c r="O212" s="61"/>
      <c r="P212" s="61"/>
      <c r="Q212" s="61"/>
      <c r="R212" s="61">
        <f>SUBTOTAL(9,Table25[[#This Row],[1st]:[FQC]])</f>
        <v>1</v>
      </c>
      <c r="S212" s="61">
        <f>IFERROR(VLOOKUP(Table25[[#This Row],[Part No.]],'[2]New Machine sheet'!$G$2:$I$90,3,0),0)</f>
        <v>335.39977528089889</v>
      </c>
      <c r="T212" s="61">
        <f>Table25[[#This Row],[cost per piece]]*Table25[[#This Row],[Total Rej. qty]]</f>
        <v>335.39977528089889</v>
      </c>
      <c r="U212" s="61">
        <f>IFERROR(VLOOKUP(Table25[[#This Row],[Non Conformance]],'[2]New defect code '!$B$2:$C$129,2,0),0)</f>
        <v>0</v>
      </c>
      <c r="V212" s="61">
        <v>45</v>
      </c>
      <c r="W212" s="61" t="str">
        <f>IFERROR(VLOOKUP(Table25[[#This Row],[Code4]],'[2]New Reason code'!$A$2:$D$77,2,0),0)</f>
        <v>Running m/c</v>
      </c>
      <c r="X212" s="61">
        <f ca="1">#REF!+Table25[[#This Row],[Rejection Identified at]]</f>
        <v>0</v>
      </c>
      <c r="Y212" s="63">
        <f>IFERROR(VLOOKUP(Table25[[#This Row],[Reason]],Coding!A209:C266,3,0),0)</f>
        <v>0</v>
      </c>
    </row>
    <row r="213" spans="1:25" ht="20.25" customHeight="1">
      <c r="A213" s="50">
        <v>209</v>
      </c>
      <c r="B213" s="61">
        <v>40</v>
      </c>
      <c r="C213" s="61" t="str">
        <f>IFERROR(VLOOKUP(Table25[[#This Row],[Code]],'[2]New Machine sheet'!$A$1:$D$101,2,0),0)</f>
        <v>ACE-20</v>
      </c>
      <c r="D213" s="61" t="str">
        <f>IFERROR(VLOOKUP(Table25[[#This Row],[M/c No]],'[2]New Machine sheet'!$B$1:$D$101,2,0),0)</f>
        <v>Micromatic</v>
      </c>
      <c r="E213" s="61" t="str">
        <f>IFERROR(VLOOKUP(Table25[[#This Row],[M/c Name]],'[2]New Machine sheet'!$C$1:$D$101,2,0),0)</f>
        <v>Turning</v>
      </c>
      <c r="F213" s="61">
        <v>122</v>
      </c>
      <c r="G213" s="61">
        <f>IFERROR(VLOOKUP(Table25[[#This Row],[Code2]],'[2]New Machine sheet'!$F$2:$I$64,2,),0)</f>
        <v>24122</v>
      </c>
      <c r="H213" s="61" t="str">
        <f>IFERROR(VLOOKUP(Table25[[#This Row],[Code2]],'[2]New Machine sheet'!$F$2:$I$64,3,0),0)</f>
        <v>RE J1</v>
      </c>
      <c r="I213" s="61" t="s">
        <v>215</v>
      </c>
      <c r="J213" s="61">
        <v>61</v>
      </c>
      <c r="K213" s="61" t="str">
        <f>IFERROR(VLOOKUP(Table25[[#This Row],[Code3]],'[2]New defect code '!$A$2:$D$129,2,0),0)</f>
        <v>Od o/s</v>
      </c>
      <c r="L213" s="61" t="s">
        <v>214</v>
      </c>
      <c r="M213" s="56">
        <v>46266</v>
      </c>
      <c r="N213" s="61">
        <v>3</v>
      </c>
      <c r="O213" s="61"/>
      <c r="P213" s="61"/>
      <c r="Q213" s="61"/>
      <c r="R213" s="61">
        <f>SUBTOTAL(9,Table25[[#This Row],[1st]:[FQC]])</f>
        <v>3</v>
      </c>
      <c r="S213" s="61">
        <f>IFERROR(VLOOKUP(Table25[[#This Row],[Part No.]],'[2]New Machine sheet'!$G$2:$I$90,3,0),0)</f>
        <v>335.39977528089889</v>
      </c>
      <c r="T213" s="61">
        <f>Table25[[#This Row],[cost per piece]]*Table25[[#This Row],[Total Rej. qty]]</f>
        <v>1006.1993258426967</v>
      </c>
      <c r="U213" s="61">
        <f>IFERROR(VLOOKUP(Table25[[#This Row],[Non Conformance]],'[2]New defect code '!$B$2:$C$129,2,0),0)</f>
        <v>0</v>
      </c>
      <c r="V213" s="61">
        <v>18</v>
      </c>
      <c r="W213" s="61" t="str">
        <f>IFERROR(VLOOKUP(Table25[[#This Row],[Code4]],'[2]New Reason code'!$A$2:$D$77,2,0),0)</f>
        <v>During insert change</v>
      </c>
      <c r="X213" s="61">
        <f ca="1">#REF!+Table25[[#This Row],[Rejection Identified at]]</f>
        <v>0</v>
      </c>
      <c r="Y213" s="63">
        <f>IFERROR(VLOOKUP(Table25[[#This Row],[Reason]],Coding!A210:C267,3,0),0)</f>
        <v>0</v>
      </c>
    </row>
    <row r="214" spans="1:25" ht="20.25" customHeight="1">
      <c r="A214" s="60">
        <v>210</v>
      </c>
      <c r="B214" s="61">
        <v>22</v>
      </c>
      <c r="C214" s="61" t="str">
        <f>IFERROR(VLOOKUP(Table25[[#This Row],[Code]],'[2]New Machine sheet'!$A$1:$D$101,2,0),0)</f>
        <v>ACE-02</v>
      </c>
      <c r="D214" s="61" t="str">
        <f>IFERROR(VLOOKUP(Table25[[#This Row],[M/c No]],'[2]New Machine sheet'!$B$1:$D$101,2,0),0)</f>
        <v>Micromatic</v>
      </c>
      <c r="E214" s="61" t="str">
        <f>IFERROR(VLOOKUP(Table25[[#This Row],[M/c Name]],'[2]New Machine sheet'!$C$1:$D$101,2,0),0)</f>
        <v>Turning</v>
      </c>
      <c r="F214" s="61">
        <v>115</v>
      </c>
      <c r="G214" s="61">
        <f>IFERROR(VLOOKUP(Table25[[#This Row],[Code2]],'[2]New Machine sheet'!$F$2:$I$64,2,),0)</f>
        <v>24115</v>
      </c>
      <c r="H214" s="61" t="str">
        <f>IFERROR(VLOOKUP(Table25[[#This Row],[Code2]],'[2]New Machine sheet'!$F$2:$I$64,3,0),0)</f>
        <v>RE J1</v>
      </c>
      <c r="I214" s="61" t="s">
        <v>191</v>
      </c>
      <c r="J214" s="61">
        <v>41</v>
      </c>
      <c r="K214" s="61" t="str">
        <f>IFERROR(VLOOKUP(Table25[[#This Row],[Code3]],'[2]New defect code '!$A$2:$D$129,2,0),0)</f>
        <v>Face Less metal</v>
      </c>
      <c r="L214" s="61" t="s">
        <v>214</v>
      </c>
      <c r="M214" s="56">
        <v>46266</v>
      </c>
      <c r="N214" s="61">
        <v>2</v>
      </c>
      <c r="O214" s="61"/>
      <c r="P214" s="61"/>
      <c r="Q214" s="61"/>
      <c r="R214" s="61">
        <f>SUBTOTAL(9,Table25[[#This Row],[1st]:[FQC]])</f>
        <v>2</v>
      </c>
      <c r="S214" s="61">
        <f>IFERROR(VLOOKUP(Table25[[#This Row],[Part No.]],'[2]New Machine sheet'!$G$2:$I$90,3,0),0)</f>
        <v>66.900000000000006</v>
      </c>
      <c r="T214" s="61">
        <f>Table25[[#This Row],[cost per piece]]*Table25[[#This Row],[Total Rej. qty]]</f>
        <v>133.80000000000001</v>
      </c>
      <c r="U214" s="61">
        <f>IFERROR(VLOOKUP(Table25[[#This Row],[Non Conformance]],'[2]New defect code '!$B$2:$C$129,2,0),0)</f>
        <v>3259</v>
      </c>
      <c r="V214" s="61">
        <v>45</v>
      </c>
      <c r="W214" s="61" t="str">
        <f>IFERROR(VLOOKUP(Table25[[#This Row],[Code4]],'[2]New Reason code'!$A$2:$D$77,2,0),0)</f>
        <v>Running m/c</v>
      </c>
      <c r="X214" s="61">
        <f ca="1">#REF!+Table25[[#This Row],[Rejection Identified at]]</f>
        <v>0</v>
      </c>
      <c r="Y214" s="63">
        <f>IFERROR(VLOOKUP(Table25[[#This Row],[Reason]],Coding!A211:C268,3,0),0)</f>
        <v>0</v>
      </c>
    </row>
    <row r="215" spans="1:25" ht="20.25" customHeight="1">
      <c r="A215" s="50">
        <v>211</v>
      </c>
      <c r="B215" s="61">
        <v>22</v>
      </c>
      <c r="C215" s="61" t="str">
        <f>IFERROR(VLOOKUP(Table25[[#This Row],[Code]],'[2]New Machine sheet'!$A$1:$D$101,2,0),0)</f>
        <v>ACE-02</v>
      </c>
      <c r="D215" s="61" t="str">
        <f>IFERROR(VLOOKUP(Table25[[#This Row],[M/c No]],'[2]New Machine sheet'!$B$1:$D$101,2,0),0)</f>
        <v>Micromatic</v>
      </c>
      <c r="E215" s="61" t="str">
        <f>IFERROR(VLOOKUP(Table25[[#This Row],[M/c Name]],'[2]New Machine sheet'!$C$1:$D$101,2,0),0)</f>
        <v>Turning</v>
      </c>
      <c r="F215" s="61">
        <v>115</v>
      </c>
      <c r="G215" s="61">
        <f>IFERROR(VLOOKUP(Table25[[#This Row],[Code2]],'[2]New Machine sheet'!$F$2:$I$64,2,),0)</f>
        <v>24115</v>
      </c>
      <c r="H215" s="61" t="str">
        <f>IFERROR(VLOOKUP(Table25[[#This Row],[Code2]],'[2]New Machine sheet'!$F$2:$I$64,3,0),0)</f>
        <v>RE J1</v>
      </c>
      <c r="I215" s="61" t="s">
        <v>191</v>
      </c>
      <c r="J215" s="61">
        <v>10</v>
      </c>
      <c r="K215" s="61" t="str">
        <f>IFERROR(VLOOKUP(Table25[[#This Row],[Code3]],'[2]New defect code '!$A$2:$D$129,2,0),0)</f>
        <v xml:space="preserve">Bore u/s </v>
      </c>
      <c r="L215" s="61" t="s">
        <v>214</v>
      </c>
      <c r="M215" s="56">
        <v>46266</v>
      </c>
      <c r="N215" s="61">
        <v>5</v>
      </c>
      <c r="O215" s="61"/>
      <c r="P215" s="61"/>
      <c r="Q215" s="61"/>
      <c r="R215" s="61">
        <f>SUBTOTAL(9,Table25[[#This Row],[1st]:[FQC]])</f>
        <v>5</v>
      </c>
      <c r="S215" s="61">
        <f>IFERROR(VLOOKUP(Table25[[#This Row],[Part No.]],'[2]New Machine sheet'!$G$2:$I$90,3,0),0)</f>
        <v>66.900000000000006</v>
      </c>
      <c r="T215" s="61">
        <f>Table25[[#This Row],[cost per piece]]*Table25[[#This Row],[Total Rej. qty]]</f>
        <v>334.5</v>
      </c>
      <c r="U215" s="61">
        <f>IFERROR(VLOOKUP(Table25[[#This Row],[Non Conformance]],'[2]New defect code '!$B$2:$C$129,2,0),0)</f>
        <v>0</v>
      </c>
      <c r="V215" s="61">
        <v>45</v>
      </c>
      <c r="W215" s="61" t="str">
        <f>IFERROR(VLOOKUP(Table25[[#This Row],[Code4]],'[2]New Reason code'!$A$2:$D$77,2,0),0)</f>
        <v>Running m/c</v>
      </c>
      <c r="X215" s="61">
        <f ca="1">#REF!+Table25[[#This Row],[Rejection Identified at]]</f>
        <v>0</v>
      </c>
      <c r="Y215" s="63">
        <f>IFERROR(VLOOKUP(Table25[[#This Row],[Reason]],Coding!A212:C269,3,0),0)</f>
        <v>0</v>
      </c>
    </row>
    <row r="216" spans="1:25" ht="20.25" customHeight="1">
      <c r="A216" s="60">
        <v>212</v>
      </c>
      <c r="B216" s="61">
        <v>20</v>
      </c>
      <c r="C216" s="61" t="str">
        <f>IFERROR(VLOOKUP(Table25[[#This Row],[Code]],'[2]New Machine sheet'!$A$1:$D$101,2,0),0)</f>
        <v>282-20</v>
      </c>
      <c r="D216" s="61" t="str">
        <f>IFERROR(VLOOKUP(Table25[[#This Row],[M/c No]],'[2]New Machine sheet'!$B$1:$D$101,2,0),0)</f>
        <v>Mazak</v>
      </c>
      <c r="E216" s="61" t="str">
        <f>IFERROR(VLOOKUP(Table25[[#This Row],[M/c Name]],'[2]New Machine sheet'!$C$1:$D$101,2,0),0)</f>
        <v>Turning</v>
      </c>
      <c r="F216" s="61">
        <v>115</v>
      </c>
      <c r="G216" s="61">
        <f>IFERROR(VLOOKUP(Table25[[#This Row],[Code2]],'[2]New Machine sheet'!$F$2:$I$64,2,),0)</f>
        <v>24115</v>
      </c>
      <c r="H216" s="61" t="str">
        <f>IFERROR(VLOOKUP(Table25[[#This Row],[Code2]],'[2]New Machine sheet'!$F$2:$I$64,3,0),0)</f>
        <v>RE J1</v>
      </c>
      <c r="I216" s="61" t="s">
        <v>191</v>
      </c>
      <c r="J216" s="61">
        <v>41</v>
      </c>
      <c r="K216" s="61" t="str">
        <f>IFERROR(VLOOKUP(Table25[[#This Row],[Code3]],'[2]New defect code '!$A$2:$D$129,2,0),0)</f>
        <v>Face Less metal</v>
      </c>
      <c r="L216" s="61" t="s">
        <v>214</v>
      </c>
      <c r="M216" s="56">
        <v>46266</v>
      </c>
      <c r="N216" s="61">
        <v>1</v>
      </c>
      <c r="O216" s="61"/>
      <c r="P216" s="61"/>
      <c r="Q216" s="61"/>
      <c r="R216" s="61">
        <f>SUBTOTAL(9,Table25[[#This Row],[1st]:[FQC]])</f>
        <v>1</v>
      </c>
      <c r="S216" s="61">
        <f>IFERROR(VLOOKUP(Table25[[#This Row],[Part No.]],'[2]New Machine sheet'!$G$2:$I$90,3,0),0)</f>
        <v>66.900000000000006</v>
      </c>
      <c r="T216" s="61">
        <f>Table25[[#This Row],[cost per piece]]*Table25[[#This Row],[Total Rej. qty]]</f>
        <v>66.900000000000006</v>
      </c>
      <c r="U216" s="61">
        <f>IFERROR(VLOOKUP(Table25[[#This Row],[Non Conformance]],'[2]New defect code '!$B$2:$C$129,2,0),0)</f>
        <v>3259</v>
      </c>
      <c r="V216" s="61">
        <v>45</v>
      </c>
      <c r="W216" s="61" t="str">
        <f>IFERROR(VLOOKUP(Table25[[#This Row],[Code4]],'[2]New Reason code'!$A$2:$D$77,2,0),0)</f>
        <v>Running m/c</v>
      </c>
      <c r="X216" s="61">
        <f ca="1">#REF!+Table25[[#This Row],[Rejection Identified at]]</f>
        <v>0</v>
      </c>
      <c r="Y216" s="63">
        <f>IFERROR(VLOOKUP(Table25[[#This Row],[Reason]],Coding!A213:C270,3,0),0)</f>
        <v>0</v>
      </c>
    </row>
    <row r="217" spans="1:25" ht="20.25" customHeight="1">
      <c r="A217" s="50">
        <v>213</v>
      </c>
      <c r="B217" s="61">
        <v>44</v>
      </c>
      <c r="C217" s="61" t="str">
        <f>IFERROR(VLOOKUP(Table25[[#This Row],[Code]],'[2]New Machine sheet'!$A$1:$D$101,2,0),0)</f>
        <v>LT20-NEW</v>
      </c>
      <c r="D217" s="61" t="str">
        <f>IFERROR(VLOOKUP(Table25[[#This Row],[M/c No]],'[2]New Machine sheet'!$B$1:$D$101,2,0),0)</f>
        <v>ACE</v>
      </c>
      <c r="E217" s="61" t="str">
        <f>IFERROR(VLOOKUP(Table25[[#This Row],[M/c Name]],'[2]New Machine sheet'!$C$1:$D$101,2,0),0)</f>
        <v xml:space="preserve">turning </v>
      </c>
      <c r="F217" s="61">
        <v>78</v>
      </c>
      <c r="G217" s="61">
        <f>IFERROR(VLOOKUP(Table25[[#This Row],[Code2]],'[2]New Machine sheet'!$F$2:$I$64,2,),0)</f>
        <v>2478</v>
      </c>
      <c r="H217" s="61" t="str">
        <f>IFERROR(VLOOKUP(Table25[[#This Row],[Code2]],'[2]New Machine sheet'!$F$2:$I$64,3,0),0)</f>
        <v>RE P1</v>
      </c>
      <c r="I217" s="61" t="s">
        <v>216</v>
      </c>
      <c r="J217" s="61">
        <v>41</v>
      </c>
      <c r="K217" s="61" t="str">
        <f>IFERROR(VLOOKUP(Table25[[#This Row],[Code3]],'[2]New defect code '!$A$2:$D$129,2,0),0)</f>
        <v>Face Less metal</v>
      </c>
      <c r="L217" s="61" t="s">
        <v>214</v>
      </c>
      <c r="M217" s="56">
        <v>46266</v>
      </c>
      <c r="N217" s="61">
        <v>1</v>
      </c>
      <c r="O217" s="61"/>
      <c r="P217" s="61"/>
      <c r="Q217" s="61"/>
      <c r="R217" s="61">
        <f>SUBTOTAL(9,Table25[[#This Row],[1st]:[FQC]])</f>
        <v>1</v>
      </c>
      <c r="S217" s="61">
        <f>IFERROR(VLOOKUP(Table25[[#This Row],[Part No.]],'[2]New Machine sheet'!$G$2:$I$90,3,0),0)</f>
        <v>468.06</v>
      </c>
      <c r="T217" s="61">
        <f>Table25[[#This Row],[cost per piece]]*Table25[[#This Row],[Total Rej. qty]]</f>
        <v>468.06</v>
      </c>
      <c r="U217" s="61">
        <f>IFERROR(VLOOKUP(Table25[[#This Row],[Non Conformance]],'[2]New defect code '!$B$2:$C$129,2,0),0)</f>
        <v>3259</v>
      </c>
      <c r="V217" s="61">
        <v>45</v>
      </c>
      <c r="W217" s="61" t="str">
        <f>IFERROR(VLOOKUP(Table25[[#This Row],[Code4]],'[2]New Reason code'!$A$2:$D$77,2,0),0)</f>
        <v>Running m/c</v>
      </c>
      <c r="X217" s="61">
        <f ca="1">#REF!+Table25[[#This Row],[Rejection Identified at]]</f>
        <v>0</v>
      </c>
      <c r="Y217" s="63">
        <f>IFERROR(VLOOKUP(Table25[[#This Row],[Reason]],Coding!A214:C271,3,0),0)</f>
        <v>0</v>
      </c>
    </row>
    <row r="218" spans="1:25" ht="20.25" customHeight="1">
      <c r="A218" s="60">
        <v>214</v>
      </c>
      <c r="B218" s="61">
        <v>2</v>
      </c>
      <c r="C218" s="61" t="str">
        <f>IFERROR(VLOOKUP(Table25[[#This Row],[Code]],'[2]New Machine sheet'!$A$1:$D$101,2,0),0)</f>
        <v>282-02</v>
      </c>
      <c r="D218" s="61" t="str">
        <f>IFERROR(VLOOKUP(Table25[[#This Row],[M/c No]],'[2]New Machine sheet'!$B$1:$D$101,2,0),0)</f>
        <v>Mazak</v>
      </c>
      <c r="E218" s="61" t="str">
        <f>IFERROR(VLOOKUP(Table25[[#This Row],[M/c Name]],'[2]New Machine sheet'!$C$1:$D$101,2,0),0)</f>
        <v>Turning</v>
      </c>
      <c r="F218" s="61">
        <v>115</v>
      </c>
      <c r="G218" s="61">
        <f>IFERROR(VLOOKUP(Table25[[#This Row],[Code2]],'[2]New Machine sheet'!$F$2:$I$64,2,),0)</f>
        <v>24115</v>
      </c>
      <c r="H218" s="61" t="str">
        <f>IFERROR(VLOOKUP(Table25[[#This Row],[Code2]],'[2]New Machine sheet'!$F$2:$I$64,3,0),0)</f>
        <v>RE J1</v>
      </c>
      <c r="I218" s="61" t="s">
        <v>122</v>
      </c>
      <c r="J218" s="61">
        <v>10</v>
      </c>
      <c r="K218" s="61" t="str">
        <f>IFERROR(VLOOKUP(Table25[[#This Row],[Code3]],'[2]New defect code '!$A$2:$D$129,2,0),0)</f>
        <v xml:space="preserve">Bore u/s </v>
      </c>
      <c r="L218" s="61" t="s">
        <v>214</v>
      </c>
      <c r="M218" s="56">
        <v>46266</v>
      </c>
      <c r="N218" s="61">
        <v>1</v>
      </c>
      <c r="O218" s="61"/>
      <c r="P218" s="61"/>
      <c r="Q218" s="61"/>
      <c r="R218" s="61">
        <f>SUBTOTAL(9,Table25[[#This Row],[1st]:[FQC]])</f>
        <v>1</v>
      </c>
      <c r="S218" s="61">
        <f>IFERROR(VLOOKUP(Table25[[#This Row],[Part No.]],'[2]New Machine sheet'!$G$2:$I$90,3,0),0)</f>
        <v>66.900000000000006</v>
      </c>
      <c r="T218" s="61">
        <f>Table25[[#This Row],[cost per piece]]*Table25[[#This Row],[Total Rej. qty]]</f>
        <v>66.900000000000006</v>
      </c>
      <c r="U218" s="61">
        <f>IFERROR(VLOOKUP(Table25[[#This Row],[Non Conformance]],'[2]New defect code '!$B$2:$C$129,2,0),0)</f>
        <v>0</v>
      </c>
      <c r="V218" s="61">
        <v>45</v>
      </c>
      <c r="W218" s="61" t="str">
        <f>IFERROR(VLOOKUP(Table25[[#This Row],[Code4]],'[2]New Reason code'!$A$2:$D$77,2,0),0)</f>
        <v>Running m/c</v>
      </c>
      <c r="X218" s="61">
        <f ca="1">#REF!+Table25[[#This Row],[Rejection Identified at]]</f>
        <v>0</v>
      </c>
      <c r="Y218" s="63">
        <f>IFERROR(VLOOKUP(Table25[[#This Row],[Reason]],Coding!A215:C272,3,0),0)</f>
        <v>0</v>
      </c>
    </row>
    <row r="219" spans="1:25" ht="20.25" customHeight="1">
      <c r="A219" s="50">
        <v>215</v>
      </c>
      <c r="B219" s="61">
        <v>22</v>
      </c>
      <c r="C219" s="61" t="str">
        <f>IFERROR(VLOOKUP(Table25[[#This Row],[Code]],'[2]New Machine sheet'!$A$1:$D$101,2,0),0)</f>
        <v>ACE-02</v>
      </c>
      <c r="D219" s="61" t="str">
        <f>IFERROR(VLOOKUP(Table25[[#This Row],[M/c No]],'[2]New Machine sheet'!$B$1:$D$101,2,0),0)</f>
        <v>Micromatic</v>
      </c>
      <c r="E219" s="61" t="str">
        <f>IFERROR(VLOOKUP(Table25[[#This Row],[M/c Name]],'[2]New Machine sheet'!$C$1:$D$101,2,0),0)</f>
        <v>Turning</v>
      </c>
      <c r="F219" s="61">
        <v>115</v>
      </c>
      <c r="G219" s="61">
        <f>IFERROR(VLOOKUP(Table25[[#This Row],[Code2]],'[2]New Machine sheet'!$F$2:$I$64,2,),0)</f>
        <v>24115</v>
      </c>
      <c r="H219" s="61" t="str">
        <f>IFERROR(VLOOKUP(Table25[[#This Row],[Code2]],'[2]New Machine sheet'!$F$2:$I$64,3,0),0)</f>
        <v>RE J1</v>
      </c>
      <c r="I219" s="61" t="s">
        <v>113</v>
      </c>
      <c r="J219" s="61">
        <v>41</v>
      </c>
      <c r="K219" s="61" t="str">
        <f>IFERROR(VLOOKUP(Table25[[#This Row],[Code3]],'[2]New defect code '!$A$2:$D$129,2,0),0)</f>
        <v>Face Less metal</v>
      </c>
      <c r="L219" s="61" t="s">
        <v>214</v>
      </c>
      <c r="M219" s="56">
        <v>46266</v>
      </c>
      <c r="N219" s="61"/>
      <c r="O219" s="61">
        <v>1</v>
      </c>
      <c r="P219" s="61"/>
      <c r="Q219" s="61"/>
      <c r="R219" s="61">
        <f>SUBTOTAL(9,Table25[[#This Row],[1st]:[FQC]])</f>
        <v>1</v>
      </c>
      <c r="S219" s="61">
        <f>IFERROR(VLOOKUP(Table25[[#This Row],[Part No.]],'[2]New Machine sheet'!$G$2:$I$90,3,0),0)</f>
        <v>66.900000000000006</v>
      </c>
      <c r="T219" s="61">
        <f>Table25[[#This Row],[cost per piece]]*Table25[[#This Row],[Total Rej. qty]]</f>
        <v>66.900000000000006</v>
      </c>
      <c r="U219" s="61">
        <f>IFERROR(VLOOKUP(Table25[[#This Row],[Non Conformance]],'[2]New defect code '!$B$2:$C$129,2,0),0)</f>
        <v>3259</v>
      </c>
      <c r="V219" s="61">
        <v>45</v>
      </c>
      <c r="W219" s="61" t="str">
        <f>IFERROR(VLOOKUP(Table25[[#This Row],[Code4]],'[2]New Reason code'!$A$2:$D$77,2,0),0)</f>
        <v>Running m/c</v>
      </c>
      <c r="X219" s="61">
        <f ca="1">#REF!+Table25[[#This Row],[Rejection Identified at]]</f>
        <v>0</v>
      </c>
      <c r="Y219" s="63">
        <f>IFERROR(VLOOKUP(Table25[[#This Row],[Reason]],Coding!A216:C273,3,0),0)</f>
        <v>0</v>
      </c>
    </row>
    <row r="220" spans="1:25" ht="20.25" customHeight="1">
      <c r="A220" s="60">
        <v>216</v>
      </c>
      <c r="B220" s="61">
        <v>17</v>
      </c>
      <c r="C220" s="61" t="str">
        <f>IFERROR(VLOOKUP(Table25[[#This Row],[Code]],'[2]New Machine sheet'!$A$1:$D$101,2,0),0)</f>
        <v>282-17</v>
      </c>
      <c r="D220" s="61" t="str">
        <f>IFERROR(VLOOKUP(Table25[[#This Row],[M/c No]],'[2]New Machine sheet'!$B$1:$D$101,2,0),0)</f>
        <v>Mazak</v>
      </c>
      <c r="E220" s="61" t="str">
        <f>IFERROR(VLOOKUP(Table25[[#This Row],[M/c Name]],'[2]New Machine sheet'!$C$1:$D$101,2,0),0)</f>
        <v>Turning</v>
      </c>
      <c r="F220" s="61">
        <v>115</v>
      </c>
      <c r="G220" s="61">
        <f>IFERROR(VLOOKUP(Table25[[#This Row],[Code2]],'[2]New Machine sheet'!$F$2:$I$64,2,),0)</f>
        <v>24115</v>
      </c>
      <c r="H220" s="61" t="str">
        <f>IFERROR(VLOOKUP(Table25[[#This Row],[Code2]],'[2]New Machine sheet'!$F$2:$I$64,3,0),0)</f>
        <v>RE J1</v>
      </c>
      <c r="I220" s="61" t="s">
        <v>221</v>
      </c>
      <c r="J220" s="61">
        <v>10</v>
      </c>
      <c r="K220" s="61" t="str">
        <f>IFERROR(VLOOKUP(Table25[[#This Row],[Code3]],'[2]New defect code '!$A$2:$D$129,2,0),0)</f>
        <v xml:space="preserve">Bore u/s </v>
      </c>
      <c r="L220" s="61" t="s">
        <v>214</v>
      </c>
      <c r="M220" s="56">
        <v>46266</v>
      </c>
      <c r="N220" s="61"/>
      <c r="O220" s="61">
        <v>1</v>
      </c>
      <c r="P220" s="61"/>
      <c r="Q220" s="61"/>
      <c r="R220" s="61">
        <f>SUBTOTAL(9,Table25[[#This Row],[1st]:[FQC]])</f>
        <v>1</v>
      </c>
      <c r="S220" s="61">
        <f>IFERROR(VLOOKUP(Table25[[#This Row],[Part No.]],'[2]New Machine sheet'!$G$2:$I$90,3,0),0)</f>
        <v>66.900000000000006</v>
      </c>
      <c r="T220" s="61">
        <f>Table25[[#This Row],[cost per piece]]*Table25[[#This Row],[Total Rej. qty]]</f>
        <v>66.900000000000006</v>
      </c>
      <c r="U220" s="61">
        <f>IFERROR(VLOOKUP(Table25[[#This Row],[Non Conformance]],'[2]New defect code '!$B$2:$C$129,2,0),0)</f>
        <v>0</v>
      </c>
      <c r="V220" s="61">
        <v>45</v>
      </c>
      <c r="W220" s="61" t="str">
        <f>IFERROR(VLOOKUP(Table25[[#This Row],[Code4]],'[2]New Reason code'!$A$2:$D$77,2,0),0)</f>
        <v>Running m/c</v>
      </c>
      <c r="X220" s="61">
        <f ca="1">#REF!+Table25[[#This Row],[Rejection Identified at]]</f>
        <v>0</v>
      </c>
      <c r="Y220" s="63">
        <f>IFERROR(VLOOKUP(Table25[[#This Row],[Reason]],Coding!A217:C274,3,0),0)</f>
        <v>0</v>
      </c>
    </row>
    <row r="221" spans="1:25" ht="20.25" customHeight="1">
      <c r="A221" s="50">
        <v>217</v>
      </c>
      <c r="B221" s="61">
        <v>8</v>
      </c>
      <c r="C221" s="61" t="str">
        <f>IFERROR(VLOOKUP(Table25[[#This Row],[Code]],'[2]New Machine sheet'!$A$1:$D$101,2,0),0)</f>
        <v>282-08</v>
      </c>
      <c r="D221" s="61" t="str">
        <f>IFERROR(VLOOKUP(Table25[[#This Row],[M/c No]],'[2]New Machine sheet'!$B$1:$D$101,2,0),0)</f>
        <v>Mazak</v>
      </c>
      <c r="E221" s="61" t="str">
        <f>IFERROR(VLOOKUP(Table25[[#This Row],[M/c Name]],'[2]New Machine sheet'!$C$1:$D$101,2,0),0)</f>
        <v>Turning</v>
      </c>
      <c r="F221" s="61">
        <v>117</v>
      </c>
      <c r="G221" s="61">
        <f>IFERROR(VLOOKUP(Table25[[#This Row],[Code2]],'[2]New Machine sheet'!$F$2:$I$64,2,),0)</f>
        <v>24117</v>
      </c>
      <c r="H221" s="61" t="str">
        <f>IFERROR(VLOOKUP(Table25[[#This Row],[Code2]],'[2]New Machine sheet'!$F$2:$I$64,3,0),0)</f>
        <v>RE J1</v>
      </c>
      <c r="I221" s="61" t="s">
        <v>187</v>
      </c>
      <c r="J221" s="61">
        <v>45</v>
      </c>
      <c r="K221" s="61" t="str">
        <f>IFERROR(VLOOKUP(Table25[[#This Row],[Code3]],'[2]New defect code '!$A$2:$D$129,2,0),0)</f>
        <v>Face step part</v>
      </c>
      <c r="L221" s="61" t="s">
        <v>214</v>
      </c>
      <c r="M221" s="56">
        <v>46266</v>
      </c>
      <c r="N221" s="61"/>
      <c r="O221" s="61">
        <v>5</v>
      </c>
      <c r="P221" s="61"/>
      <c r="Q221" s="61"/>
      <c r="R221" s="61">
        <f>SUBTOTAL(9,Table25[[#This Row],[1st]:[FQC]])</f>
        <v>5</v>
      </c>
      <c r="S221" s="61">
        <f>IFERROR(VLOOKUP(Table25[[#This Row],[Part No.]],'[2]New Machine sheet'!$G$2:$I$90,3,0),0)</f>
        <v>111.97</v>
      </c>
      <c r="T221" s="61">
        <f>Table25[[#This Row],[cost per piece]]*Table25[[#This Row],[Total Rej. qty]]</f>
        <v>559.85</v>
      </c>
      <c r="U221" s="61">
        <f>IFERROR(VLOOKUP(Table25[[#This Row],[Non Conformance]],'[2]New defect code '!$B$2:$C$129,2,0),0)</f>
        <v>0</v>
      </c>
      <c r="V221" s="61">
        <v>45</v>
      </c>
      <c r="W221" s="61" t="str">
        <f>IFERROR(VLOOKUP(Table25[[#This Row],[Code4]],'[2]New Reason code'!$A$2:$D$77,2,0),0)</f>
        <v>Running m/c</v>
      </c>
      <c r="X221" s="61">
        <f ca="1">#REF!+Table25[[#This Row],[Rejection Identified at]]</f>
        <v>0</v>
      </c>
      <c r="Y221" s="63">
        <f>IFERROR(VLOOKUP(Table25[[#This Row],[Reason]],Coding!A218:C275,3,0),0)</f>
        <v>0</v>
      </c>
    </row>
    <row r="222" spans="1:25" ht="20.25" customHeight="1">
      <c r="A222" s="60">
        <v>218</v>
      </c>
      <c r="B222" s="61"/>
      <c r="C222" s="61" t="s">
        <v>118</v>
      </c>
      <c r="D222" s="61" t="s">
        <v>117</v>
      </c>
      <c r="E222" s="61" t="str">
        <f>IFERROR(VLOOKUP(Table25[[#This Row],[M/c Name]],'[2]New Machine sheet'!$C$1:$D$101,2,0),0)</f>
        <v>Turning</v>
      </c>
      <c r="F222" s="61">
        <v>127</v>
      </c>
      <c r="G222" s="61">
        <f>IFERROR(VLOOKUP(Table25[[#This Row],[Code2]],'[2]New Machine sheet'!$F$2:$I$64,2,),0)</f>
        <v>24127</v>
      </c>
      <c r="H222" s="61" t="str">
        <f>IFERROR(VLOOKUP(Table25[[#This Row],[Code2]],'[2]New Machine sheet'!$F$2:$I$64,3,0),0)</f>
        <v>RE J1</v>
      </c>
      <c r="I222" s="61" t="s">
        <v>219</v>
      </c>
      <c r="J222" s="61">
        <v>61</v>
      </c>
      <c r="K222" s="61" t="str">
        <f>IFERROR(VLOOKUP(Table25[[#This Row],[Code3]],'[2]New defect code '!$A$2:$D$129,2,0),0)</f>
        <v>Od o/s</v>
      </c>
      <c r="L222" s="61" t="s">
        <v>214</v>
      </c>
      <c r="M222" s="56">
        <v>46266</v>
      </c>
      <c r="N222" s="61"/>
      <c r="O222" s="61">
        <v>2</v>
      </c>
      <c r="P222" s="61"/>
      <c r="Q222" s="61"/>
      <c r="R222" s="61">
        <f>SUBTOTAL(9,Table25[[#This Row],[1st]:[FQC]])</f>
        <v>2</v>
      </c>
      <c r="S222" s="61">
        <f>IFERROR(VLOOKUP(Table25[[#This Row],[Part No.]],'[2]New Machine sheet'!$G$2:$I$90,3,0),0)</f>
        <v>262.81200000000001</v>
      </c>
      <c r="T222" s="61">
        <f>Table25[[#This Row],[cost per piece]]*Table25[[#This Row],[Total Rej. qty]]</f>
        <v>525.62400000000002</v>
      </c>
      <c r="U222" s="61">
        <f>IFERROR(VLOOKUP(Table25[[#This Row],[Non Conformance]],'[2]New defect code '!$B$2:$C$129,2,0),0)</f>
        <v>0</v>
      </c>
      <c r="V222" s="61">
        <v>54</v>
      </c>
      <c r="W222" s="61" t="str">
        <f>IFERROR(VLOOKUP(Table25[[#This Row],[Code4]],'[2]New Reason code'!$A$2:$D$77,2,0),0)</f>
        <v xml:space="preserve">Trail  rejection </v>
      </c>
      <c r="X222" s="61">
        <f ca="1">#REF!+Table25[[#This Row],[Rejection Identified at]]</f>
        <v>0</v>
      </c>
      <c r="Y222" s="63">
        <f>IFERROR(VLOOKUP(Table25[[#This Row],[Reason]],Coding!A219:C276,3,0),0)</f>
        <v>0</v>
      </c>
    </row>
    <row r="223" spans="1:25" ht="20.25" customHeight="1">
      <c r="A223" s="50">
        <v>219</v>
      </c>
      <c r="B223" s="61">
        <v>45</v>
      </c>
      <c r="C223" s="61" t="str">
        <f>IFERROR(VLOOKUP(Table25[[#This Row],[Code]],'[2]New Machine sheet'!$A$1:$D$101,2,0),0)</f>
        <v>MURATEC-01</v>
      </c>
      <c r="D223" s="61" t="str">
        <f>IFERROR(VLOOKUP(Table25[[#This Row],[M/c No]],'[2]New Machine sheet'!$B$1:$D$101,2,0),0)</f>
        <v>MURATEC</v>
      </c>
      <c r="E223" s="61" t="str">
        <f>IFERROR(VLOOKUP(Table25[[#This Row],[M/c Name]],'[2]New Machine sheet'!$C$1:$D$101,2,0),0)</f>
        <v xml:space="preserve">turning </v>
      </c>
      <c r="F223" s="61">
        <v>122</v>
      </c>
      <c r="G223" s="61">
        <f>IFERROR(VLOOKUP(Table25[[#This Row],[Code2]],'[2]New Machine sheet'!$F$2:$I$64,2,),0)</f>
        <v>24122</v>
      </c>
      <c r="H223" s="61" t="str">
        <f>IFERROR(VLOOKUP(Table25[[#This Row],[Code2]],'[2]New Machine sheet'!$F$2:$I$64,3,0),0)</f>
        <v>RE J1</v>
      </c>
      <c r="I223" s="61" t="s">
        <v>146</v>
      </c>
      <c r="J223" s="61">
        <v>61</v>
      </c>
      <c r="K223" s="61" t="str">
        <f>IFERROR(VLOOKUP(Table25[[#This Row],[Code3]],'[2]New defect code '!$A$2:$D$129,2,0),0)</f>
        <v>Od o/s</v>
      </c>
      <c r="L223" s="61" t="s">
        <v>214</v>
      </c>
      <c r="M223" s="56">
        <v>46266</v>
      </c>
      <c r="N223" s="61"/>
      <c r="O223" s="61">
        <v>2</v>
      </c>
      <c r="P223" s="61"/>
      <c r="Q223" s="61"/>
      <c r="R223" s="61">
        <f>SUBTOTAL(9,Table25[[#This Row],[1st]:[FQC]])</f>
        <v>2</v>
      </c>
      <c r="S223" s="61">
        <f>IFERROR(VLOOKUP(Table25[[#This Row],[Part No.]],'[2]New Machine sheet'!$G$2:$I$90,3,0),0)</f>
        <v>335.39977528089889</v>
      </c>
      <c r="T223" s="61">
        <f>Table25[[#This Row],[cost per piece]]*Table25[[#This Row],[Total Rej. qty]]</f>
        <v>670.79955056179779</v>
      </c>
      <c r="U223" s="61">
        <f>IFERROR(VLOOKUP(Table25[[#This Row],[Non Conformance]],'[2]New defect code '!$B$2:$C$129,2,0),0)</f>
        <v>0</v>
      </c>
      <c r="V223" s="61">
        <v>45</v>
      </c>
      <c r="W223" s="61" t="str">
        <f>IFERROR(VLOOKUP(Table25[[#This Row],[Code4]],'[2]New Reason code'!$A$2:$D$77,2,0),0)</f>
        <v>Running m/c</v>
      </c>
      <c r="X223" s="61">
        <f ca="1">#REF!+Table25[[#This Row],[Rejection Identified at]]</f>
        <v>0</v>
      </c>
      <c r="Y223" s="63">
        <f>IFERROR(VLOOKUP(Table25[[#This Row],[Reason]],Coding!A220:C277,3,0),0)</f>
        <v>0</v>
      </c>
    </row>
    <row r="224" spans="1:25" ht="20.25" customHeight="1">
      <c r="A224" s="60">
        <v>220</v>
      </c>
      <c r="B224" s="61"/>
      <c r="C224" s="61" t="s">
        <v>150</v>
      </c>
      <c r="D224" s="61" t="s">
        <v>117</v>
      </c>
      <c r="E224" s="61" t="str">
        <f>IFERROR(VLOOKUP(Table25[[#This Row],[M/c Name]],'[2]New Machine sheet'!$C$1:$D$101,2,0),0)</f>
        <v>Turning</v>
      </c>
      <c r="F224" s="61">
        <v>122</v>
      </c>
      <c r="G224" s="61">
        <f>IFERROR(VLOOKUP(Table25[[#This Row],[Code2]],'[2]New Machine sheet'!$F$2:$I$64,2,),0)</f>
        <v>24122</v>
      </c>
      <c r="H224" s="61" t="str">
        <f>IFERROR(VLOOKUP(Table25[[#This Row],[Code2]],'[2]New Machine sheet'!$F$2:$I$64,3,0),0)</f>
        <v>RE J1</v>
      </c>
      <c r="I224" s="61" t="s">
        <v>166</v>
      </c>
      <c r="J224" s="61">
        <v>19</v>
      </c>
      <c r="K224" s="61" t="str">
        <f>IFERROR(VLOOKUP(Table25[[#This Row],[Code3]],'[2]New defect code '!$A$2:$D$129,2,0),0)</f>
        <v xml:space="preserve">Bush not ok </v>
      </c>
      <c r="L224" s="61" t="s">
        <v>214</v>
      </c>
      <c r="M224" s="56">
        <v>46266</v>
      </c>
      <c r="N224" s="61"/>
      <c r="O224" s="61"/>
      <c r="P224" s="61">
        <v>2</v>
      </c>
      <c r="Q224" s="61"/>
      <c r="R224" s="61">
        <f>SUBTOTAL(9,Table25[[#This Row],[1st]:[FQC]])</f>
        <v>2</v>
      </c>
      <c r="S224" s="61">
        <f>IFERROR(VLOOKUP(Table25[[#This Row],[Part No.]],'[2]New Machine sheet'!$G$2:$I$90,3,0),0)</f>
        <v>335.39977528089889</v>
      </c>
      <c r="T224" s="61">
        <f>Table25[[#This Row],[cost per piece]]*Table25[[#This Row],[Total Rej. qty]]</f>
        <v>670.79955056179779</v>
      </c>
      <c r="U224" s="61">
        <f>IFERROR(VLOOKUP(Table25[[#This Row],[Non Conformance]],'[2]New defect code '!$B$2:$C$129,2,0),0)</f>
        <v>3252</v>
      </c>
      <c r="V224" s="61">
        <v>45</v>
      </c>
      <c r="W224" s="61" t="str">
        <f>IFERROR(VLOOKUP(Table25[[#This Row],[Code4]],'[2]New Reason code'!$A$2:$D$77,2,0),0)</f>
        <v>Running m/c</v>
      </c>
      <c r="X224" s="61">
        <f ca="1">#REF!+Table25[[#This Row],[Rejection Identified at]]</f>
        <v>0</v>
      </c>
      <c r="Y224" s="63">
        <f>IFERROR(VLOOKUP(Table25[[#This Row],[Reason]],Coding!A221:C278,3,0),0)</f>
        <v>0</v>
      </c>
    </row>
    <row r="225" spans="1:25" ht="20.25" customHeight="1">
      <c r="A225" s="50">
        <v>221</v>
      </c>
      <c r="B225" s="61">
        <v>13</v>
      </c>
      <c r="C225" s="61" t="str">
        <f>IFERROR(VLOOKUP(Table25[[#This Row],[Code]],'[2]New Machine sheet'!$A$1:$D$101,2,0),0)</f>
        <v>282-13</v>
      </c>
      <c r="D225" s="61" t="str">
        <f>IFERROR(VLOOKUP(Table25[[#This Row],[M/c No]],'[2]New Machine sheet'!$B$1:$D$101,2,0),0)</f>
        <v>Mazak</v>
      </c>
      <c r="E225" s="61" t="str">
        <f>IFERROR(VLOOKUP(Table25[[#This Row],[M/c Name]],'[2]New Machine sheet'!$C$1:$D$101,2,0),0)</f>
        <v>Turning</v>
      </c>
      <c r="F225" s="61">
        <v>28</v>
      </c>
      <c r="G225" s="61">
        <f>IFERROR(VLOOKUP(Table25[[#This Row],[Code2]],'[2]New Machine sheet'!$F$2:$I$64,2,),0)</f>
        <v>2428</v>
      </c>
      <c r="H225" s="61" t="str">
        <f>IFERROR(VLOOKUP(Table25[[#This Row],[Code2]],'[2]New Machine sheet'!$F$2:$I$64,3,0),0)</f>
        <v>RE P1</v>
      </c>
      <c r="I225" s="61" t="s">
        <v>136</v>
      </c>
      <c r="J225" s="61">
        <v>10</v>
      </c>
      <c r="K225" s="61" t="str">
        <f>IFERROR(VLOOKUP(Table25[[#This Row],[Code3]],'[2]New defect code '!$A$2:$D$129,2,0),0)</f>
        <v xml:space="preserve">Bore u/s </v>
      </c>
      <c r="L225" s="61" t="s">
        <v>214</v>
      </c>
      <c r="M225" s="56">
        <v>46266</v>
      </c>
      <c r="N225" s="61"/>
      <c r="O225" s="61"/>
      <c r="P225" s="61">
        <v>1</v>
      </c>
      <c r="Q225" s="61"/>
      <c r="R225" s="61">
        <f>SUBTOTAL(9,Table25[[#This Row],[1st]:[FQC]])</f>
        <v>1</v>
      </c>
      <c r="S225" s="61">
        <f>IFERROR(VLOOKUP(Table25[[#This Row],[Part No.]],'[2]New Machine sheet'!$G$2:$I$90,3,0),0)</f>
        <v>124.07</v>
      </c>
      <c r="T225" s="61">
        <f>Table25[[#This Row],[cost per piece]]*Table25[[#This Row],[Total Rej. qty]]</f>
        <v>124.07</v>
      </c>
      <c r="U225" s="61">
        <f>IFERROR(VLOOKUP(Table25[[#This Row],[Non Conformance]],'[2]New defect code '!$B$2:$C$129,2,0),0)</f>
        <v>0</v>
      </c>
      <c r="V225" s="61">
        <v>45</v>
      </c>
      <c r="W225" s="61" t="str">
        <f>IFERROR(VLOOKUP(Table25[[#This Row],[Code4]],'[2]New Reason code'!$A$2:$D$77,2,0),0)</f>
        <v>Running m/c</v>
      </c>
      <c r="X225" s="61">
        <f ca="1">#REF!+Table25[[#This Row],[Rejection Identified at]]</f>
        <v>0</v>
      </c>
      <c r="Y225" s="63">
        <f>IFERROR(VLOOKUP(Table25[[#This Row],[Reason]],Coding!A222:C279,3,0),0)</f>
        <v>0</v>
      </c>
    </row>
    <row r="226" spans="1:25" ht="20.25" customHeight="1">
      <c r="A226" s="60">
        <v>222</v>
      </c>
      <c r="B226" s="61">
        <v>20</v>
      </c>
      <c r="C226" s="61" t="str">
        <f>IFERROR(VLOOKUP(Table25[[#This Row],[Code]],'[2]New Machine sheet'!$A$1:$D$101,2,0),0)</f>
        <v>282-20</v>
      </c>
      <c r="D226" s="61" t="str">
        <f>IFERROR(VLOOKUP(Table25[[#This Row],[M/c No]],'[2]New Machine sheet'!$B$1:$D$101,2,0),0)</f>
        <v>Mazak</v>
      </c>
      <c r="E226" s="61" t="str">
        <f>IFERROR(VLOOKUP(Table25[[#This Row],[M/c Name]],'[2]New Machine sheet'!$C$1:$D$101,2,0),0)</f>
        <v>Turning</v>
      </c>
      <c r="F226" s="61">
        <v>115</v>
      </c>
      <c r="G226" s="61">
        <f>IFERROR(VLOOKUP(Table25[[#This Row],[Code2]],'[2]New Machine sheet'!$F$2:$I$64,2,),0)</f>
        <v>24115</v>
      </c>
      <c r="H226" s="61" t="str">
        <f>IFERROR(VLOOKUP(Table25[[#This Row],[Code2]],'[2]New Machine sheet'!$F$2:$I$64,3,0),0)</f>
        <v>RE J1</v>
      </c>
      <c r="I226" s="61" t="s">
        <v>133</v>
      </c>
      <c r="J226" s="61">
        <v>10</v>
      </c>
      <c r="K226" s="61" t="str">
        <f>IFERROR(VLOOKUP(Table25[[#This Row],[Code3]],'[2]New defect code '!$A$2:$D$129,2,0),0)</f>
        <v xml:space="preserve">Bore u/s </v>
      </c>
      <c r="L226" s="61" t="s">
        <v>214</v>
      </c>
      <c r="M226" s="56">
        <v>46266</v>
      </c>
      <c r="N226" s="61"/>
      <c r="O226" s="61"/>
      <c r="P226" s="61">
        <v>3</v>
      </c>
      <c r="Q226" s="61"/>
      <c r="R226" s="61">
        <f>SUBTOTAL(9,Table25[[#This Row],[1st]:[FQC]])</f>
        <v>3</v>
      </c>
      <c r="S226" s="61">
        <f>IFERROR(VLOOKUP(Table25[[#This Row],[Part No.]],'[2]New Machine sheet'!$G$2:$I$90,3,0),0)</f>
        <v>66.900000000000006</v>
      </c>
      <c r="T226" s="61">
        <f>Table25[[#This Row],[cost per piece]]*Table25[[#This Row],[Total Rej. qty]]</f>
        <v>200.70000000000002</v>
      </c>
      <c r="U226" s="61">
        <f>IFERROR(VLOOKUP(Table25[[#This Row],[Non Conformance]],'[2]New defect code '!$B$2:$C$129,2,0),0)</f>
        <v>0</v>
      </c>
      <c r="V226" s="61">
        <v>45</v>
      </c>
      <c r="W226" s="61" t="str">
        <f>IFERROR(VLOOKUP(Table25[[#This Row],[Code4]],'[2]New Reason code'!$A$2:$D$77,2,0),0)</f>
        <v>Running m/c</v>
      </c>
      <c r="X226" s="61">
        <f ca="1">#REF!+Table25[[#This Row],[Rejection Identified at]]</f>
        <v>0</v>
      </c>
      <c r="Y226" s="63">
        <f>IFERROR(VLOOKUP(Table25[[#This Row],[Reason]],Coding!A223:C280,3,0),0)</f>
        <v>0</v>
      </c>
    </row>
    <row r="227" spans="1:25" ht="20.25" customHeight="1">
      <c r="A227" s="50">
        <v>223</v>
      </c>
      <c r="B227" s="61">
        <v>39</v>
      </c>
      <c r="C227" s="61" t="str">
        <f>IFERROR(VLOOKUP(Table25[[#This Row],[Code]],'[2]New Machine sheet'!$A$1:$D$101,2,0),0)</f>
        <v>ACE-19</v>
      </c>
      <c r="D227" s="61" t="str">
        <f>IFERROR(VLOOKUP(Table25[[#This Row],[M/c No]],'[2]New Machine sheet'!$B$1:$D$101,2,0),0)</f>
        <v>Micromatic</v>
      </c>
      <c r="E227" s="61" t="str">
        <f>IFERROR(VLOOKUP(Table25[[#This Row],[M/c Name]],'[2]New Machine sheet'!$C$1:$D$101,2,0),0)</f>
        <v>Turning</v>
      </c>
      <c r="F227" s="61">
        <v>117</v>
      </c>
      <c r="G227" s="61">
        <f>IFERROR(VLOOKUP(Table25[[#This Row],[Code2]],'[2]New Machine sheet'!$F$2:$I$64,2,),0)</f>
        <v>24117</v>
      </c>
      <c r="H227" s="61" t="str">
        <f>IFERROR(VLOOKUP(Table25[[#This Row],[Code2]],'[2]New Machine sheet'!$F$2:$I$64,3,0),0)</f>
        <v>RE J1</v>
      </c>
      <c r="I227" s="61" t="s">
        <v>113</v>
      </c>
      <c r="J227" s="61">
        <v>41</v>
      </c>
      <c r="K227" s="61" t="str">
        <f>IFERROR(VLOOKUP(Table25[[#This Row],[Code3]],'[2]New defect code '!$A$2:$D$129,2,0),0)</f>
        <v>Face Less metal</v>
      </c>
      <c r="L227" s="61" t="s">
        <v>214</v>
      </c>
      <c r="M227" s="56">
        <v>46266</v>
      </c>
      <c r="N227" s="61"/>
      <c r="O227" s="61"/>
      <c r="P227" s="61">
        <v>1</v>
      </c>
      <c r="Q227" s="61"/>
      <c r="R227" s="61">
        <f>SUBTOTAL(9,Table25[[#This Row],[1st]:[FQC]])</f>
        <v>1</v>
      </c>
      <c r="S227" s="61">
        <f>IFERROR(VLOOKUP(Table25[[#This Row],[Part No.]],'[2]New Machine sheet'!$G$2:$I$90,3,0),0)</f>
        <v>111.97</v>
      </c>
      <c r="T227" s="61">
        <f>Table25[[#This Row],[cost per piece]]*Table25[[#This Row],[Total Rej. qty]]</f>
        <v>111.97</v>
      </c>
      <c r="U227" s="61">
        <f>IFERROR(VLOOKUP(Table25[[#This Row],[Non Conformance]],'[2]New defect code '!$B$2:$C$129,2,0),0)</f>
        <v>3259</v>
      </c>
      <c r="V227" s="61">
        <v>45</v>
      </c>
      <c r="W227" s="61" t="str">
        <f>IFERROR(VLOOKUP(Table25[[#This Row],[Code4]],'[2]New Reason code'!$A$2:$D$77,2,0),0)</f>
        <v>Running m/c</v>
      </c>
      <c r="X227" s="61">
        <f ca="1">#REF!+Table25[[#This Row],[Rejection Identified at]]</f>
        <v>0</v>
      </c>
      <c r="Y227" s="63">
        <f>IFERROR(VLOOKUP(Table25[[#This Row],[Reason]],Coding!A224:C281,3,0),0)</f>
        <v>0</v>
      </c>
    </row>
    <row r="228" spans="1:25" ht="20.25" customHeight="1">
      <c r="A228" s="60">
        <v>224</v>
      </c>
      <c r="B228" s="61">
        <v>46</v>
      </c>
      <c r="C228" s="61" t="str">
        <f>IFERROR(VLOOKUP(Table25[[#This Row],[Code]],'[2]New Machine sheet'!$A$1:$D$101,2,0),0)</f>
        <v>MURATEC-02</v>
      </c>
      <c r="D228" s="61" t="str">
        <f>IFERROR(VLOOKUP(Table25[[#This Row],[M/c No]],'[2]New Machine sheet'!$B$1:$D$101,2,0),0)</f>
        <v>MURATEC</v>
      </c>
      <c r="E228" s="61" t="str">
        <f>IFERROR(VLOOKUP(Table25[[#This Row],[M/c Name]],'[2]New Machine sheet'!$C$1:$D$101,2,0),0)</f>
        <v xml:space="preserve">turning </v>
      </c>
      <c r="F228" s="61">
        <v>127</v>
      </c>
      <c r="G228" s="61">
        <f>IFERROR(VLOOKUP(Table25[[#This Row],[Code2]],'[2]New Machine sheet'!$F$2:$I$64,2,),0)</f>
        <v>24127</v>
      </c>
      <c r="H228" s="61" t="str">
        <f>IFERROR(VLOOKUP(Table25[[#This Row],[Code2]],'[2]New Machine sheet'!$F$2:$I$64,3,0),0)</f>
        <v>RE J1</v>
      </c>
      <c r="I228" s="61" t="s">
        <v>140</v>
      </c>
      <c r="J228" s="61">
        <v>41</v>
      </c>
      <c r="K228" s="61" t="str">
        <f>IFERROR(VLOOKUP(Table25[[#This Row],[Code3]],'[2]New defect code '!$A$2:$D$129,2,0),0)</f>
        <v>Face Less metal</v>
      </c>
      <c r="L228" s="61" t="s">
        <v>214</v>
      </c>
      <c r="M228" s="56">
        <v>46266</v>
      </c>
      <c r="N228" s="61"/>
      <c r="O228" s="61"/>
      <c r="P228" s="61">
        <v>1</v>
      </c>
      <c r="Q228" s="61"/>
      <c r="R228" s="61">
        <f>SUBTOTAL(9,Table25[[#This Row],[1st]:[FQC]])</f>
        <v>1</v>
      </c>
      <c r="S228" s="61">
        <f>IFERROR(VLOOKUP(Table25[[#This Row],[Part No.]],'[2]New Machine sheet'!$G$2:$I$90,3,0),0)</f>
        <v>262.81200000000001</v>
      </c>
      <c r="T228" s="61">
        <f>Table25[[#This Row],[cost per piece]]*Table25[[#This Row],[Total Rej. qty]]</f>
        <v>262.81200000000001</v>
      </c>
      <c r="U228" s="61">
        <f>IFERROR(VLOOKUP(Table25[[#This Row],[Non Conformance]],'[2]New defect code '!$B$2:$C$129,2,0),0)</f>
        <v>3259</v>
      </c>
      <c r="V228" s="61">
        <v>45</v>
      </c>
      <c r="W228" s="61" t="str">
        <f>IFERROR(VLOOKUP(Table25[[#This Row],[Code4]],'[2]New Reason code'!$A$2:$D$77,2,0),0)</f>
        <v>Running m/c</v>
      </c>
      <c r="X228" s="61">
        <f ca="1">#REF!+Table25[[#This Row],[Rejection Identified at]]</f>
        <v>0</v>
      </c>
      <c r="Y228" s="63">
        <f>IFERROR(VLOOKUP(Table25[[#This Row],[Reason]],Coding!A225:C282,3,0),0)</f>
        <v>0</v>
      </c>
    </row>
    <row r="229" spans="1:25" ht="20.25" customHeight="1">
      <c r="A229" s="50">
        <v>225</v>
      </c>
      <c r="B229" s="61">
        <v>14</v>
      </c>
      <c r="C229" s="61" t="str">
        <f>IFERROR(VLOOKUP(Table25[[#This Row],[Code]],'[2]New Machine sheet'!$A$1:$D$101,2,0),0)</f>
        <v>282-14</v>
      </c>
      <c r="D229" s="61" t="str">
        <f>IFERROR(VLOOKUP(Table25[[#This Row],[M/c No]],'[2]New Machine sheet'!$B$1:$D$101,2,0),0)</f>
        <v>Mazak</v>
      </c>
      <c r="E229" s="61" t="str">
        <f>IFERROR(VLOOKUP(Table25[[#This Row],[M/c Name]],'[2]New Machine sheet'!$C$1:$D$101,2,0),0)</f>
        <v>Turning</v>
      </c>
      <c r="F229" s="61">
        <v>155</v>
      </c>
      <c r="G229" s="61">
        <f>IFERROR(VLOOKUP(Table25[[#This Row],[Code2]],'[2]New Machine sheet'!$F$2:$I$64,2,),0)</f>
        <v>24155</v>
      </c>
      <c r="H229" s="61" t="str">
        <f>IFERROR(VLOOKUP(Table25[[#This Row],[Code2]],'[2]New Machine sheet'!$F$2:$I$64,3,0),0)</f>
        <v>RE J1</v>
      </c>
      <c r="I229" s="61" t="s">
        <v>172</v>
      </c>
      <c r="J229" s="61">
        <v>10</v>
      </c>
      <c r="K229" s="61" t="str">
        <f>IFERROR(VLOOKUP(Table25[[#This Row],[Code3]],'[2]New defect code '!$A$2:$D$129,2,0),0)</f>
        <v xml:space="preserve">Bore u/s </v>
      </c>
      <c r="L229" s="61" t="s">
        <v>214</v>
      </c>
      <c r="M229" s="56">
        <v>46266</v>
      </c>
      <c r="N229" s="61"/>
      <c r="O229" s="61"/>
      <c r="P229" s="61">
        <v>1</v>
      </c>
      <c r="Q229" s="61"/>
      <c r="R229" s="61">
        <f>SUBTOTAL(9,Table25[[#This Row],[1st]:[FQC]])</f>
        <v>1</v>
      </c>
      <c r="S229" s="61">
        <f>IFERROR(VLOOKUP(Table25[[#This Row],[Part No.]],'[2]New Machine sheet'!$G$2:$I$90,3,0),0)</f>
        <v>107.67</v>
      </c>
      <c r="T229" s="61">
        <f>Table25[[#This Row],[cost per piece]]*Table25[[#This Row],[Total Rej. qty]]</f>
        <v>107.67</v>
      </c>
      <c r="U229" s="61">
        <f>IFERROR(VLOOKUP(Table25[[#This Row],[Non Conformance]],'[2]New defect code '!$B$2:$C$129,2,0),0)</f>
        <v>0</v>
      </c>
      <c r="V229" s="61">
        <v>45</v>
      </c>
      <c r="W229" s="61" t="str">
        <f>IFERROR(VLOOKUP(Table25[[#This Row],[Code4]],'[2]New Reason code'!$A$2:$D$77,2,0),0)</f>
        <v>Running m/c</v>
      </c>
      <c r="X229" s="61">
        <f ca="1">#REF!+Table25[[#This Row],[Rejection Identified at]]</f>
        <v>0</v>
      </c>
      <c r="Y229" s="63">
        <f>IFERROR(VLOOKUP(Table25[[#This Row],[Reason]],Coding!A226:C283,3,0),0)</f>
        <v>0</v>
      </c>
    </row>
    <row r="230" spans="1:25" ht="20.25" customHeight="1">
      <c r="A230" s="60">
        <v>226</v>
      </c>
      <c r="B230" s="61">
        <v>3</v>
      </c>
      <c r="C230" s="61" t="str">
        <f>IFERROR(VLOOKUP(Table25[[#This Row],[Code]],'[2]New Machine sheet'!$A$1:$D$101,2,0),0)</f>
        <v>282-03</v>
      </c>
      <c r="D230" s="61" t="str">
        <f>IFERROR(VLOOKUP(Table25[[#This Row],[M/c No]],'[2]New Machine sheet'!$B$1:$D$101,2,0),0)</f>
        <v>Mazak</v>
      </c>
      <c r="E230" s="61" t="str">
        <f>IFERROR(VLOOKUP(Table25[[#This Row],[M/c Name]],'[2]New Machine sheet'!$C$1:$D$101,2,0),0)</f>
        <v>Turning</v>
      </c>
      <c r="F230" s="61">
        <v>42</v>
      </c>
      <c r="G230" s="61">
        <f>IFERROR(VLOOKUP(Table25[[#This Row],[Code2]],'[2]New Machine sheet'!$F$2:$I$64,2,),0)</f>
        <v>2442</v>
      </c>
      <c r="H230" s="61" t="str">
        <f>IFERROR(VLOOKUP(Table25[[#This Row],[Code2]],'[2]New Machine sheet'!$F$2:$I$64,3,0),0)</f>
        <v>RE P1</v>
      </c>
      <c r="I230" s="61" t="s">
        <v>126</v>
      </c>
      <c r="J230" s="61">
        <v>10</v>
      </c>
      <c r="K230" s="61" t="str">
        <f>IFERROR(VLOOKUP(Table25[[#This Row],[Code3]],'[2]New defect code '!$A$2:$D$129,2,0),0)</f>
        <v xml:space="preserve">Bore u/s </v>
      </c>
      <c r="L230" s="61" t="s">
        <v>214</v>
      </c>
      <c r="M230" s="56">
        <v>46266</v>
      </c>
      <c r="N230" s="61"/>
      <c r="O230" s="61"/>
      <c r="P230" s="61">
        <v>1</v>
      </c>
      <c r="Q230" s="61"/>
      <c r="R230" s="61">
        <f>SUBTOTAL(9,Table25[[#This Row],[1st]:[FQC]])</f>
        <v>1</v>
      </c>
      <c r="S230" s="61">
        <f>IFERROR(VLOOKUP(Table25[[#This Row],[Part No.]],'[2]New Machine sheet'!$G$2:$I$90,3,0),0)</f>
        <v>164.83</v>
      </c>
      <c r="T230" s="61">
        <f>Table25[[#This Row],[cost per piece]]*Table25[[#This Row],[Total Rej. qty]]</f>
        <v>164.83</v>
      </c>
      <c r="U230" s="61">
        <f>IFERROR(VLOOKUP(Table25[[#This Row],[Non Conformance]],'[2]New defect code '!$B$2:$C$129,2,0),0)</f>
        <v>0</v>
      </c>
      <c r="V230" s="61">
        <v>45</v>
      </c>
      <c r="W230" s="61" t="str">
        <f>IFERROR(VLOOKUP(Table25[[#This Row],[Code4]],'[2]New Reason code'!$A$2:$D$77,2,0),0)</f>
        <v>Running m/c</v>
      </c>
      <c r="X230" s="61">
        <f ca="1">#REF!+Table25[[#This Row],[Rejection Identified at]]</f>
        <v>0</v>
      </c>
      <c r="Y230" s="63">
        <f>IFERROR(VLOOKUP(Table25[[#This Row],[Reason]],Coding!A227:C284,3,0),0)</f>
        <v>0</v>
      </c>
    </row>
    <row r="231" spans="1:25" ht="20.25" customHeight="1">
      <c r="A231" s="50">
        <v>227</v>
      </c>
      <c r="B231" s="61"/>
      <c r="C231" s="61" t="s">
        <v>116</v>
      </c>
      <c r="D231" s="61" t="s">
        <v>117</v>
      </c>
      <c r="E231" s="61" t="str">
        <f>IFERROR(VLOOKUP(Table25[[#This Row],[M/c Name]],'[2]New Machine sheet'!$C$1:$D$101,2,0),0)</f>
        <v>Turning</v>
      </c>
      <c r="F231" s="61">
        <v>127</v>
      </c>
      <c r="G231" s="61">
        <f>IFERROR(VLOOKUP(Table25[[#This Row],[Code2]],'[2]New Machine sheet'!$F$2:$I$64,2,),0)</f>
        <v>24127</v>
      </c>
      <c r="H231" s="61" t="str">
        <f>IFERROR(VLOOKUP(Table25[[#This Row],[Code2]],'[2]New Machine sheet'!$F$2:$I$64,3,0),0)</f>
        <v>RE J1</v>
      </c>
      <c r="I231" s="61" t="s">
        <v>121</v>
      </c>
      <c r="J231" s="61">
        <v>41</v>
      </c>
      <c r="K231" s="61" t="str">
        <f>IFERROR(VLOOKUP(Table25[[#This Row],[Code3]],'[2]New defect code '!$A$2:$D$129,2,0),0)</f>
        <v>Face Less metal</v>
      </c>
      <c r="L231" s="61" t="s">
        <v>217</v>
      </c>
      <c r="M231" s="56">
        <v>46266</v>
      </c>
      <c r="N231" s="61">
        <v>1</v>
      </c>
      <c r="O231" s="61"/>
      <c r="P231" s="61"/>
      <c r="Q231" s="61"/>
      <c r="R231" s="61">
        <f>SUBTOTAL(9,Table25[[#This Row],[1st]:[FQC]])</f>
        <v>1</v>
      </c>
      <c r="S231" s="61">
        <f>IFERROR(VLOOKUP(Table25[[#This Row],[Part No.]],'[2]New Machine sheet'!$G$2:$I$90,3,0),0)</f>
        <v>262.81200000000001</v>
      </c>
      <c r="T231" s="61">
        <f>Table25[[#This Row],[cost per piece]]*Table25[[#This Row],[Total Rej. qty]]</f>
        <v>262.81200000000001</v>
      </c>
      <c r="U231" s="61">
        <f>IFERROR(VLOOKUP(Table25[[#This Row],[Non Conformance]],'[2]New defect code '!$B$2:$C$129,2,0),0)</f>
        <v>3259</v>
      </c>
      <c r="V231" s="61">
        <v>45</v>
      </c>
      <c r="W231" s="61" t="str">
        <f>IFERROR(VLOOKUP(Table25[[#This Row],[Code4]],'[2]New Reason code'!$A$2:$D$77,2,0),0)</f>
        <v>Running m/c</v>
      </c>
      <c r="X231" s="61">
        <f ca="1">#REF!+Table25[[#This Row],[Rejection Identified at]]</f>
        <v>0</v>
      </c>
      <c r="Y231" s="63">
        <f>IFERROR(VLOOKUP(Table25[[#This Row],[Reason]],Coding!A228:C285,3,0),0)</f>
        <v>0</v>
      </c>
    </row>
    <row r="232" spans="1:25" ht="20.25" customHeight="1">
      <c r="A232" s="60">
        <v>228</v>
      </c>
      <c r="B232" s="61">
        <v>40</v>
      </c>
      <c r="C232" s="61" t="str">
        <f>IFERROR(VLOOKUP(Table25[[#This Row],[Code]],'[2]New Machine sheet'!$A$1:$D$101,2,0),0)</f>
        <v>ACE-20</v>
      </c>
      <c r="D232" s="61" t="str">
        <f>IFERROR(VLOOKUP(Table25[[#This Row],[M/c No]],'[2]New Machine sheet'!$B$1:$D$101,2,0),0)</f>
        <v>Micromatic</v>
      </c>
      <c r="E232" s="61" t="str">
        <f>IFERROR(VLOOKUP(Table25[[#This Row],[M/c Name]],'[2]New Machine sheet'!$C$1:$D$101,2,0),0)</f>
        <v>Turning</v>
      </c>
      <c r="F232" s="61">
        <v>122</v>
      </c>
      <c r="G232" s="61">
        <f>IFERROR(VLOOKUP(Table25[[#This Row],[Code2]],'[2]New Machine sheet'!$F$2:$I$64,2,),0)</f>
        <v>24122</v>
      </c>
      <c r="H232" s="61" t="str">
        <f>IFERROR(VLOOKUP(Table25[[#This Row],[Code2]],'[2]New Machine sheet'!$F$2:$I$64,3,0),0)</f>
        <v>RE J1</v>
      </c>
      <c r="I232" s="61" t="s">
        <v>141</v>
      </c>
      <c r="J232" s="61">
        <v>61</v>
      </c>
      <c r="K232" s="61" t="str">
        <f>IFERROR(VLOOKUP(Table25[[#This Row],[Code3]],'[2]New defect code '!$A$2:$D$129,2,0),0)</f>
        <v>Od o/s</v>
      </c>
      <c r="L232" s="61" t="s">
        <v>217</v>
      </c>
      <c r="M232" s="56">
        <v>46266</v>
      </c>
      <c r="N232" s="61">
        <v>2</v>
      </c>
      <c r="O232" s="61"/>
      <c r="P232" s="61"/>
      <c r="Q232" s="61"/>
      <c r="R232" s="61">
        <f>SUBTOTAL(9,Table25[[#This Row],[1st]:[FQC]])</f>
        <v>2</v>
      </c>
      <c r="S232" s="61">
        <f>IFERROR(VLOOKUP(Table25[[#This Row],[Part No.]],'[2]New Machine sheet'!$G$2:$I$90,3,0),0)</f>
        <v>335.39977528089889</v>
      </c>
      <c r="T232" s="61">
        <f>Table25[[#This Row],[cost per piece]]*Table25[[#This Row],[Total Rej. qty]]</f>
        <v>670.79955056179779</v>
      </c>
      <c r="U232" s="61">
        <f>IFERROR(VLOOKUP(Table25[[#This Row],[Non Conformance]],'[2]New defect code '!$B$2:$C$129,2,0),0)</f>
        <v>0</v>
      </c>
      <c r="V232" s="61">
        <v>18</v>
      </c>
      <c r="W232" s="61" t="str">
        <f>IFERROR(VLOOKUP(Table25[[#This Row],[Code4]],'[2]New Reason code'!$A$2:$D$77,2,0),0)</f>
        <v>During insert change</v>
      </c>
      <c r="X232" s="61">
        <f ca="1">#REF!+Table25[[#This Row],[Rejection Identified at]]</f>
        <v>0</v>
      </c>
      <c r="Y232" s="63">
        <f>IFERROR(VLOOKUP(Table25[[#This Row],[Reason]],Coding!A229:C286,3,0),0)</f>
        <v>0</v>
      </c>
    </row>
    <row r="233" spans="1:25" ht="20.25" customHeight="1">
      <c r="A233" s="50">
        <v>229</v>
      </c>
      <c r="B233" s="62">
        <v>15</v>
      </c>
      <c r="C233" s="62" t="str">
        <f>IFERROR(VLOOKUP(Table25[[#This Row],[Code]],'[2]New Machine sheet'!$A$1:$D$101,2,0),0)</f>
        <v>282-15</v>
      </c>
      <c r="D233" s="62" t="str">
        <f>IFERROR(VLOOKUP(Table25[[#This Row],[M/c No]],'[2]New Machine sheet'!$B$1:$D$101,2,0),0)</f>
        <v>Mazak</v>
      </c>
      <c r="E233" s="62" t="str">
        <f>IFERROR(VLOOKUP(Table25[[#This Row],[M/c Name]],'[2]New Machine sheet'!$C$1:$D$101,2,0),0)</f>
        <v>Turning</v>
      </c>
      <c r="F233" s="62">
        <v>82</v>
      </c>
      <c r="G233" s="62">
        <f>IFERROR(VLOOKUP(Table25[[#This Row],[Code2]],'[2]New Machine sheet'!$F$2:$I$64,2,),0)</f>
        <v>2482</v>
      </c>
      <c r="H233" s="62" t="str">
        <f>IFERROR(VLOOKUP(Table25[[#This Row],[Code2]],'[2]New Machine sheet'!$F$2:$I$64,3,0),0)</f>
        <v>RE P1</v>
      </c>
      <c r="I233" s="62" t="s">
        <v>222</v>
      </c>
      <c r="J233" s="62">
        <v>41</v>
      </c>
      <c r="K233" s="62" t="str">
        <f>IFERROR(VLOOKUP(Table25[[#This Row],[Code3]],'[2]New defect code '!$A$2:$D$129,2,0),0)</f>
        <v>Face Less metal</v>
      </c>
      <c r="L233" s="61" t="s">
        <v>217</v>
      </c>
      <c r="M233" s="56">
        <v>46266</v>
      </c>
      <c r="N233" s="62">
        <v>1</v>
      </c>
      <c r="O233" s="62"/>
      <c r="P233" s="62"/>
      <c r="Q233" s="62"/>
      <c r="R233" s="62">
        <f>SUBTOTAL(9,Table25[[#This Row],[1st]:[FQC]])</f>
        <v>1</v>
      </c>
      <c r="S233" s="62">
        <f>IFERROR(VLOOKUP(Table25[[#This Row],[Part No.]],'[2]New Machine sheet'!$G$2:$I$90,3,0),0)</f>
        <v>303.45333333333332</v>
      </c>
      <c r="T233" s="62">
        <f>Table25[[#This Row],[cost per piece]]*Table25[[#This Row],[Total Rej. qty]]</f>
        <v>303.45333333333332</v>
      </c>
      <c r="U233" s="62">
        <f>IFERROR(VLOOKUP(Table25[[#This Row],[Non Conformance]],'[2]New defect code '!$B$2:$C$129,2,0),0)</f>
        <v>3259</v>
      </c>
      <c r="V233" s="62">
        <v>45</v>
      </c>
      <c r="W233" s="62" t="str">
        <f>IFERROR(VLOOKUP(Table25[[#This Row],[Code4]],'[2]New Reason code'!$A$2:$D$77,2,0),0)</f>
        <v>Running m/c</v>
      </c>
      <c r="X233" s="62">
        <f ca="1">#REF!+Table25[[#This Row],[Rejection Identified at]]</f>
        <v>0</v>
      </c>
      <c r="Y233" s="64">
        <f>IFERROR(VLOOKUP(Table25[[#This Row],[Reason]],Coding!A230:C287,3,0),0)</f>
        <v>0</v>
      </c>
    </row>
    <row r="234" spans="1:25" ht="20.25" customHeight="1">
      <c r="A234" s="50">
        <v>230</v>
      </c>
      <c r="B234" s="62">
        <v>22</v>
      </c>
      <c r="C234" s="62" t="str">
        <f>IFERROR(VLOOKUP(Table25[[#This Row],[Code]],'[2]New Machine sheet'!$A$1:$D$101,2,0),0)</f>
        <v>ACE-02</v>
      </c>
      <c r="D234" s="62" t="str">
        <f>IFERROR(VLOOKUP(Table25[[#This Row],[M/c No]],'[2]New Machine sheet'!$B$1:$D$101,2,0),0)</f>
        <v>Micromatic</v>
      </c>
      <c r="E234" s="62" t="str">
        <f>IFERROR(VLOOKUP(Table25[[#This Row],[M/c Name]],'[2]New Machine sheet'!$C$1:$D$101,2,0),0)</f>
        <v>Turning</v>
      </c>
      <c r="F234" s="62">
        <v>115</v>
      </c>
      <c r="G234" s="62">
        <f>IFERROR(VLOOKUP(Table25[[#This Row],[Code2]],'[2]New Machine sheet'!$F$2:$I$64,2,),0)</f>
        <v>24115</v>
      </c>
      <c r="H234" s="62" t="str">
        <f>IFERROR(VLOOKUP(Table25[[#This Row],[Code2]],'[2]New Machine sheet'!$F$2:$I$64,3,0),0)</f>
        <v>RE J1</v>
      </c>
      <c r="I234" s="62" t="s">
        <v>191</v>
      </c>
      <c r="J234" s="62">
        <v>10</v>
      </c>
      <c r="K234" s="62" t="str">
        <f>IFERROR(VLOOKUP(Table25[[#This Row],[Code3]],'[2]New defect code '!$A$2:$D$129,2,0),0)</f>
        <v xml:space="preserve">Bore u/s </v>
      </c>
      <c r="L234" s="61" t="s">
        <v>217</v>
      </c>
      <c r="M234" s="56">
        <v>46266</v>
      </c>
      <c r="N234" s="62">
        <v>3</v>
      </c>
      <c r="O234" s="62"/>
      <c r="P234" s="62"/>
      <c r="Q234" s="62"/>
      <c r="R234" s="62">
        <f>SUBTOTAL(9,Table25[[#This Row],[1st]:[FQC]])</f>
        <v>3</v>
      </c>
      <c r="S234" s="62">
        <f>IFERROR(VLOOKUP(Table25[[#This Row],[Part No.]],'[2]New Machine sheet'!$G$2:$I$90,3,0),0)</f>
        <v>66.900000000000006</v>
      </c>
      <c r="T234" s="62">
        <f>Table25[[#This Row],[cost per piece]]*Table25[[#This Row],[Total Rej. qty]]</f>
        <v>200.70000000000002</v>
      </c>
      <c r="U234" s="62">
        <f>IFERROR(VLOOKUP(Table25[[#This Row],[Non Conformance]],'[2]New defect code '!$B$2:$C$129,2,0),0)</f>
        <v>0</v>
      </c>
      <c r="V234" s="62">
        <v>18</v>
      </c>
      <c r="W234" s="62" t="str">
        <f>IFERROR(VLOOKUP(Table25[[#This Row],[Code4]],'[2]New Reason code'!$A$2:$D$77,2,0),0)</f>
        <v>During insert change</v>
      </c>
      <c r="X234" s="62">
        <f ca="1">#REF!+Table25[[#This Row],[Rejection Identified at]]</f>
        <v>0</v>
      </c>
      <c r="Y234" s="64">
        <f>IFERROR(VLOOKUP(Table25[[#This Row],[Reason]],Coding!A231:C288,3,0),0)</f>
        <v>0</v>
      </c>
    </row>
    <row r="235" spans="1:25" ht="20.25" customHeight="1">
      <c r="A235" s="60">
        <v>231</v>
      </c>
      <c r="B235" s="62">
        <v>20</v>
      </c>
      <c r="C235" s="62" t="str">
        <f>IFERROR(VLOOKUP(Table25[[#This Row],[Code]],'[2]New Machine sheet'!$A$1:$D$101,2,0),0)</f>
        <v>282-20</v>
      </c>
      <c r="D235" s="62" t="str">
        <f>IFERROR(VLOOKUP(Table25[[#This Row],[M/c No]],'[2]New Machine sheet'!$B$1:$D$101,2,0),0)</f>
        <v>Mazak</v>
      </c>
      <c r="E235" s="62" t="str">
        <f>IFERROR(VLOOKUP(Table25[[#This Row],[M/c Name]],'[2]New Machine sheet'!$C$1:$D$101,2,0),0)</f>
        <v>Turning</v>
      </c>
      <c r="F235" s="62">
        <v>115</v>
      </c>
      <c r="G235" s="62">
        <f>IFERROR(VLOOKUP(Table25[[#This Row],[Code2]],'[2]New Machine sheet'!$F$2:$I$64,2,),0)</f>
        <v>24115</v>
      </c>
      <c r="H235" s="62" t="str">
        <f>IFERROR(VLOOKUP(Table25[[#This Row],[Code2]],'[2]New Machine sheet'!$F$2:$I$64,3,0),0)</f>
        <v>RE J1</v>
      </c>
      <c r="I235" s="62" t="s">
        <v>191</v>
      </c>
      <c r="J235" s="62">
        <v>41</v>
      </c>
      <c r="K235" s="62" t="str">
        <f>IFERROR(VLOOKUP(Table25[[#This Row],[Code3]],'[2]New defect code '!$A$2:$D$129,2,0),0)</f>
        <v>Face Less metal</v>
      </c>
      <c r="L235" s="61" t="s">
        <v>217</v>
      </c>
      <c r="M235" s="56">
        <v>46266</v>
      </c>
      <c r="N235" s="62">
        <v>1</v>
      </c>
      <c r="O235" s="62"/>
      <c r="P235" s="62"/>
      <c r="Q235" s="62"/>
      <c r="R235" s="62">
        <f>SUBTOTAL(9,Table25[[#This Row],[1st]:[FQC]])</f>
        <v>1</v>
      </c>
      <c r="S235" s="62">
        <f>IFERROR(VLOOKUP(Table25[[#This Row],[Part No.]],'[2]New Machine sheet'!$G$2:$I$90,3,0),0)</f>
        <v>66.900000000000006</v>
      </c>
      <c r="T235" s="62">
        <f>Table25[[#This Row],[cost per piece]]*Table25[[#This Row],[Total Rej. qty]]</f>
        <v>66.900000000000006</v>
      </c>
      <c r="U235" s="62">
        <f>IFERROR(VLOOKUP(Table25[[#This Row],[Non Conformance]],'[2]New defect code '!$B$2:$C$129,2,0),0)</f>
        <v>3259</v>
      </c>
      <c r="V235" s="62">
        <v>45</v>
      </c>
      <c r="W235" s="62" t="str">
        <f>IFERROR(VLOOKUP(Table25[[#This Row],[Code4]],'[2]New Reason code'!$A$2:$D$77,2,0),0)</f>
        <v>Running m/c</v>
      </c>
      <c r="X235" s="62">
        <f ca="1">#REF!+Table25[[#This Row],[Rejection Identified at]]</f>
        <v>0</v>
      </c>
      <c r="Y235" s="64">
        <f>IFERROR(VLOOKUP(Table25[[#This Row],[Reason]],Coding!A232:C289,3,0),0)</f>
        <v>0</v>
      </c>
    </row>
    <row r="236" spans="1:25" ht="20.25" customHeight="1">
      <c r="A236" s="50">
        <v>232</v>
      </c>
      <c r="B236" s="62">
        <v>9</v>
      </c>
      <c r="C236" s="62" t="str">
        <f>IFERROR(VLOOKUP(Table25[[#This Row],[Code]],'[2]New Machine sheet'!$A$1:$D$101,2,0),0)</f>
        <v>282-09</v>
      </c>
      <c r="D236" s="62" t="str">
        <f>IFERROR(VLOOKUP(Table25[[#This Row],[M/c No]],'[2]New Machine sheet'!$B$1:$D$101,2,0),0)</f>
        <v>Mazak</v>
      </c>
      <c r="E236" s="62" t="str">
        <f>IFERROR(VLOOKUP(Table25[[#This Row],[M/c Name]],'[2]New Machine sheet'!$C$1:$D$101,2,0),0)</f>
        <v>Turning</v>
      </c>
      <c r="F236" s="62">
        <v>125</v>
      </c>
      <c r="G236" s="62">
        <f>IFERROR(VLOOKUP(Table25[[#This Row],[Code2]],'[2]New Machine sheet'!$F$2:$I$64,2,),0)</f>
        <v>24125</v>
      </c>
      <c r="H236" s="62" t="str">
        <f>IFERROR(VLOOKUP(Table25[[#This Row],[Code2]],'[2]New Machine sheet'!$F$2:$I$64,3,0),0)</f>
        <v>RE J1</v>
      </c>
      <c r="I236" s="62" t="s">
        <v>173</v>
      </c>
      <c r="J236" s="62">
        <v>10</v>
      </c>
      <c r="K236" s="62" t="str">
        <f>IFERROR(VLOOKUP(Table25[[#This Row],[Code3]],'[2]New defect code '!$A$2:$D$129,2,0),0)</f>
        <v xml:space="preserve">Bore u/s </v>
      </c>
      <c r="L236" s="61" t="s">
        <v>217</v>
      </c>
      <c r="M236" s="56">
        <v>46266</v>
      </c>
      <c r="N236" s="62">
        <v>2</v>
      </c>
      <c r="O236" s="62"/>
      <c r="P236" s="62"/>
      <c r="Q236" s="62"/>
      <c r="R236" s="62">
        <f>SUBTOTAL(9,Table25[[#This Row],[1st]:[FQC]])</f>
        <v>2</v>
      </c>
      <c r="S236" s="62">
        <f>IFERROR(VLOOKUP(Table25[[#This Row],[Part No.]],'[2]New Machine sheet'!$G$2:$I$90,3,0),0)</f>
        <v>65.17</v>
      </c>
      <c r="T236" s="62">
        <f>Table25[[#This Row],[cost per piece]]*Table25[[#This Row],[Total Rej. qty]]</f>
        <v>130.34</v>
      </c>
      <c r="U236" s="62">
        <f>IFERROR(VLOOKUP(Table25[[#This Row],[Non Conformance]],'[2]New defect code '!$B$2:$C$129,2,0),0)</f>
        <v>0</v>
      </c>
      <c r="V236" s="62">
        <v>45</v>
      </c>
      <c r="W236" s="62" t="str">
        <f>IFERROR(VLOOKUP(Table25[[#This Row],[Code4]],'[2]New Reason code'!$A$2:$D$77,2,0),0)</f>
        <v>Running m/c</v>
      </c>
      <c r="X236" s="62">
        <f ca="1">#REF!+Table25[[#This Row],[Rejection Identified at]]</f>
        <v>0</v>
      </c>
      <c r="Y236" s="64">
        <f>IFERROR(VLOOKUP(Table25[[#This Row],[Reason]],Coding!A233:C290,3,0),0)</f>
        <v>0</v>
      </c>
    </row>
    <row r="237" spans="1:25" ht="20.25" customHeight="1">
      <c r="A237" s="50">
        <v>233</v>
      </c>
      <c r="B237" s="62">
        <v>25</v>
      </c>
      <c r="C237" s="62" t="str">
        <f>IFERROR(VLOOKUP(Table25[[#This Row],[Code]],'[2]New Machine sheet'!$A$1:$D$101,2,0),0)</f>
        <v>ACE-05</v>
      </c>
      <c r="D237" s="62" t="str">
        <f>IFERROR(VLOOKUP(Table25[[#This Row],[M/c No]],'[2]New Machine sheet'!$B$1:$D$101,2,0),0)</f>
        <v>Micromatic</v>
      </c>
      <c r="E237" s="62" t="str">
        <f>IFERROR(VLOOKUP(Table25[[#This Row],[M/c Name]],'[2]New Machine sheet'!$C$1:$D$101,2,0),0)</f>
        <v>Turning</v>
      </c>
      <c r="F237" s="62">
        <v>122</v>
      </c>
      <c r="G237" s="62">
        <f>IFERROR(VLOOKUP(Table25[[#This Row],[Code2]],'[2]New Machine sheet'!$F$2:$I$64,2,),0)</f>
        <v>24122</v>
      </c>
      <c r="H237" s="62" t="str">
        <f>IFERROR(VLOOKUP(Table25[[#This Row],[Code2]],'[2]New Machine sheet'!$F$2:$I$64,3,0),0)</f>
        <v>RE J1</v>
      </c>
      <c r="I237" s="62" t="s">
        <v>128</v>
      </c>
      <c r="J237" s="62">
        <v>10</v>
      </c>
      <c r="K237" s="62" t="str">
        <f>IFERROR(VLOOKUP(Table25[[#This Row],[Code3]],'[2]New defect code '!$A$2:$D$129,2,0),0)</f>
        <v xml:space="preserve">Bore u/s </v>
      </c>
      <c r="L237" s="61" t="s">
        <v>217</v>
      </c>
      <c r="M237" s="56">
        <v>46266</v>
      </c>
      <c r="N237" s="62">
        <v>2</v>
      </c>
      <c r="O237" s="62"/>
      <c r="P237" s="62"/>
      <c r="Q237" s="62"/>
      <c r="R237" s="62">
        <f>SUBTOTAL(9,Table25[[#This Row],[1st]:[FQC]])</f>
        <v>2</v>
      </c>
      <c r="S237" s="62">
        <f>IFERROR(VLOOKUP(Table25[[#This Row],[Part No.]],'[2]New Machine sheet'!$G$2:$I$90,3,0),0)</f>
        <v>335.39977528089889</v>
      </c>
      <c r="T237" s="62">
        <f>Table25[[#This Row],[cost per piece]]*Table25[[#This Row],[Total Rej. qty]]</f>
        <v>670.79955056179779</v>
      </c>
      <c r="U237" s="62">
        <f>IFERROR(VLOOKUP(Table25[[#This Row],[Non Conformance]],'[2]New defect code '!$B$2:$C$129,2,0),0)</f>
        <v>0</v>
      </c>
      <c r="V237" s="62">
        <v>45</v>
      </c>
      <c r="W237" s="62" t="str">
        <f>IFERROR(VLOOKUP(Table25[[#This Row],[Code4]],'[2]New Reason code'!$A$2:$D$77,2,0),0)</f>
        <v>Running m/c</v>
      </c>
      <c r="X237" s="62">
        <f ca="1">#REF!+Table25[[#This Row],[Rejection Identified at]]</f>
        <v>0</v>
      </c>
      <c r="Y237" s="64">
        <f>IFERROR(VLOOKUP(Table25[[#This Row],[Reason]],Coding!A234:C291,3,0),0)</f>
        <v>0</v>
      </c>
    </row>
    <row r="238" spans="1:25" ht="20.25" customHeight="1">
      <c r="A238" s="60">
        <v>234</v>
      </c>
      <c r="B238" s="62">
        <v>23</v>
      </c>
      <c r="C238" s="62" t="str">
        <f>IFERROR(VLOOKUP(Table25[[#This Row],[Code]],'[2]New Machine sheet'!$A$1:$D$101,2,0),0)</f>
        <v>ACE-03</v>
      </c>
      <c r="D238" s="62" t="str">
        <f>IFERROR(VLOOKUP(Table25[[#This Row],[M/c No]],'[2]New Machine sheet'!$B$1:$D$101,2,0),0)</f>
        <v>Micromatic</v>
      </c>
      <c r="E238" s="62" t="str">
        <f>IFERROR(VLOOKUP(Table25[[#This Row],[M/c Name]],'[2]New Machine sheet'!$C$1:$D$101,2,0),0)</f>
        <v>Turning</v>
      </c>
      <c r="F238" s="62">
        <v>32</v>
      </c>
      <c r="G238" s="62">
        <f>IFERROR(VLOOKUP(Table25[[#This Row],[Code2]],'[2]New Machine sheet'!$F$2:$I$64,2,),0)</f>
        <v>2432</v>
      </c>
      <c r="H238" s="62" t="str">
        <f>IFERROR(VLOOKUP(Table25[[#This Row],[Code2]],'[2]New Machine sheet'!$F$2:$I$64,3,0),0)</f>
        <v>RE P1</v>
      </c>
      <c r="I238" s="62" t="s">
        <v>113</v>
      </c>
      <c r="J238" s="62">
        <v>49</v>
      </c>
      <c r="K238" s="62" t="str">
        <f>IFERROR(VLOOKUP(Table25[[#This Row],[Code3]],'[2]New defect code '!$A$2:$D$129,2,0),0)</f>
        <v>Thickness over size</v>
      </c>
      <c r="L238" s="61" t="s">
        <v>217</v>
      </c>
      <c r="M238" s="56">
        <v>46266</v>
      </c>
      <c r="N238" s="62"/>
      <c r="O238" s="62">
        <v>5</v>
      </c>
      <c r="P238" s="62"/>
      <c r="Q238" s="62"/>
      <c r="R238" s="62">
        <f>SUBTOTAL(9,Table25[[#This Row],[1st]:[FQC]])</f>
        <v>5</v>
      </c>
      <c r="S238" s="62">
        <f>IFERROR(VLOOKUP(Table25[[#This Row],[Part No.]],'[2]New Machine sheet'!$G$2:$I$90,3,0),0)</f>
        <v>168.54</v>
      </c>
      <c r="T238" s="62">
        <f>Table25[[#This Row],[cost per piece]]*Table25[[#This Row],[Total Rej. qty]]</f>
        <v>842.69999999999993</v>
      </c>
      <c r="U238" s="62">
        <f>IFERROR(VLOOKUP(Table25[[#This Row],[Non Conformance]],'[2]New defect code '!$B$2:$C$129,2,0),0)</f>
        <v>0</v>
      </c>
      <c r="V238" s="62">
        <v>18</v>
      </c>
      <c r="W238" s="62" t="str">
        <f>IFERROR(VLOOKUP(Table25[[#This Row],[Code4]],'[2]New Reason code'!$A$2:$D$77,2,0),0)</f>
        <v>During insert change</v>
      </c>
      <c r="X238" s="62">
        <f ca="1">#REF!+Table25[[#This Row],[Rejection Identified at]]</f>
        <v>0</v>
      </c>
      <c r="Y238" s="64">
        <f>IFERROR(VLOOKUP(Table25[[#This Row],[Reason]],Coding!A235:C292,3,0),0)</f>
        <v>0</v>
      </c>
    </row>
    <row r="239" spans="1:25" ht="20.25" customHeight="1">
      <c r="A239" s="50">
        <v>235</v>
      </c>
      <c r="B239" s="62">
        <v>22</v>
      </c>
      <c r="C239" s="62" t="str">
        <f>IFERROR(VLOOKUP(Table25[[#This Row],[Code]],'[2]New Machine sheet'!$A$1:$D$101,2,0),0)</f>
        <v>ACE-02</v>
      </c>
      <c r="D239" s="62" t="str">
        <f>IFERROR(VLOOKUP(Table25[[#This Row],[M/c No]],'[2]New Machine sheet'!$B$1:$D$101,2,0),0)</f>
        <v>Micromatic</v>
      </c>
      <c r="E239" s="62" t="str">
        <f>IFERROR(VLOOKUP(Table25[[#This Row],[M/c Name]],'[2]New Machine sheet'!$C$1:$D$101,2,0),0)</f>
        <v>Turning</v>
      </c>
      <c r="F239" s="62">
        <v>115</v>
      </c>
      <c r="G239" s="62">
        <f>IFERROR(VLOOKUP(Table25[[#This Row],[Code2]],'[2]New Machine sheet'!$F$2:$I$64,2,),0)</f>
        <v>24115</v>
      </c>
      <c r="H239" s="62" t="str">
        <f>IFERROR(VLOOKUP(Table25[[#This Row],[Code2]],'[2]New Machine sheet'!$F$2:$I$64,3,0),0)</f>
        <v>RE J1</v>
      </c>
      <c r="I239" s="62" t="s">
        <v>169</v>
      </c>
      <c r="J239" s="62">
        <v>10</v>
      </c>
      <c r="K239" s="62" t="str">
        <f>IFERROR(VLOOKUP(Table25[[#This Row],[Code3]],'[2]New defect code '!$A$2:$D$129,2,0),0)</f>
        <v xml:space="preserve">Bore u/s </v>
      </c>
      <c r="L239" s="61" t="s">
        <v>217</v>
      </c>
      <c r="M239" s="56">
        <v>46266</v>
      </c>
      <c r="N239" s="62"/>
      <c r="O239" s="62">
        <v>1</v>
      </c>
      <c r="P239" s="62"/>
      <c r="Q239" s="62"/>
      <c r="R239" s="62">
        <f>SUBTOTAL(9,Table25[[#This Row],[1st]:[FQC]])</f>
        <v>1</v>
      </c>
      <c r="S239" s="62">
        <f>IFERROR(VLOOKUP(Table25[[#This Row],[Part No.]],'[2]New Machine sheet'!$G$2:$I$90,3,0),0)</f>
        <v>66.900000000000006</v>
      </c>
      <c r="T239" s="62">
        <f>Table25[[#This Row],[cost per piece]]*Table25[[#This Row],[Total Rej. qty]]</f>
        <v>66.900000000000006</v>
      </c>
      <c r="U239" s="62">
        <f>IFERROR(VLOOKUP(Table25[[#This Row],[Non Conformance]],'[2]New defect code '!$B$2:$C$129,2,0),0)</f>
        <v>0</v>
      </c>
      <c r="V239" s="62">
        <v>45</v>
      </c>
      <c r="W239" s="62" t="str">
        <f>IFERROR(VLOOKUP(Table25[[#This Row],[Code4]],'[2]New Reason code'!$A$2:$D$77,2,0),0)</f>
        <v>Running m/c</v>
      </c>
      <c r="X239" s="62">
        <f ca="1">#REF!+Table25[[#This Row],[Rejection Identified at]]</f>
        <v>0</v>
      </c>
      <c r="Y239" s="64">
        <f>IFERROR(VLOOKUP(Table25[[#This Row],[Reason]],Coding!A236:C293,3,0),0)</f>
        <v>0</v>
      </c>
    </row>
    <row r="240" spans="1:25" ht="20.25" customHeight="1">
      <c r="A240" s="50">
        <v>236</v>
      </c>
      <c r="B240" s="62">
        <v>22</v>
      </c>
      <c r="C240" s="62" t="str">
        <f>IFERROR(VLOOKUP(Table25[[#This Row],[Code]],'[2]New Machine sheet'!$A$1:$D$101,2,0),0)</f>
        <v>ACE-02</v>
      </c>
      <c r="D240" s="62" t="str">
        <f>IFERROR(VLOOKUP(Table25[[#This Row],[M/c No]],'[2]New Machine sheet'!$B$1:$D$101,2,0),0)</f>
        <v>Micromatic</v>
      </c>
      <c r="E240" s="62" t="str">
        <f>IFERROR(VLOOKUP(Table25[[#This Row],[M/c Name]],'[2]New Machine sheet'!$C$1:$D$101,2,0),0)</f>
        <v>Turning</v>
      </c>
      <c r="F240" s="62">
        <v>113</v>
      </c>
      <c r="G240" s="62">
        <f>IFERROR(VLOOKUP(Table25[[#This Row],[Code2]],'[2]New Machine sheet'!$F$2:$I$64,2,),0)</f>
        <v>24113</v>
      </c>
      <c r="H240" s="62" t="str">
        <f>IFERROR(VLOOKUP(Table25[[#This Row],[Code2]],'[2]New Machine sheet'!$F$2:$I$64,3,0),0)</f>
        <v>RE J1</v>
      </c>
      <c r="I240" s="62" t="s">
        <v>136</v>
      </c>
      <c r="J240" s="62">
        <v>10</v>
      </c>
      <c r="K240" s="62" t="str">
        <f>IFERROR(VLOOKUP(Table25[[#This Row],[Code3]],'[2]New defect code '!$A$2:$D$129,2,0),0)</f>
        <v xml:space="preserve">Bore u/s </v>
      </c>
      <c r="L240" s="61" t="s">
        <v>217</v>
      </c>
      <c r="M240" s="56">
        <v>46266</v>
      </c>
      <c r="N240" s="62"/>
      <c r="O240" s="62">
        <v>2</v>
      </c>
      <c r="P240" s="62"/>
      <c r="Q240" s="62"/>
      <c r="R240" s="62">
        <f>SUBTOTAL(9,Table25[[#This Row],[1st]:[FQC]])</f>
        <v>2</v>
      </c>
      <c r="S240" s="62">
        <f>IFERROR(VLOOKUP(Table25[[#This Row],[Part No.]],'[2]New Machine sheet'!$G$2:$I$90,3,0),0)</f>
        <v>90</v>
      </c>
      <c r="T240" s="62">
        <f>Table25[[#This Row],[cost per piece]]*Table25[[#This Row],[Total Rej. qty]]</f>
        <v>180</v>
      </c>
      <c r="U240" s="62">
        <f>IFERROR(VLOOKUP(Table25[[#This Row],[Non Conformance]],'[2]New defect code '!$B$2:$C$129,2,0),0)</f>
        <v>0</v>
      </c>
      <c r="V240" s="62">
        <v>45</v>
      </c>
      <c r="W240" s="62" t="str">
        <f>IFERROR(VLOOKUP(Table25[[#This Row],[Code4]],'[2]New Reason code'!$A$2:$D$77,2,0),0)</f>
        <v>Running m/c</v>
      </c>
      <c r="X240" s="62">
        <f ca="1">#REF!+Table25[[#This Row],[Rejection Identified at]]</f>
        <v>0</v>
      </c>
      <c r="Y240" s="64">
        <f>IFERROR(VLOOKUP(Table25[[#This Row],[Reason]],Coding!A237:C294,3,0),0)</f>
        <v>0</v>
      </c>
    </row>
    <row r="241" spans="1:25" ht="20.25" customHeight="1">
      <c r="A241" s="60">
        <v>237</v>
      </c>
      <c r="B241" s="62">
        <v>47</v>
      </c>
      <c r="C241" s="62" t="str">
        <f>IFERROR(VLOOKUP(Table25[[#This Row],[Code]],'[2]New Machine sheet'!$A$1:$D$101,2,0),0)</f>
        <v>MURATEC-03</v>
      </c>
      <c r="D241" s="62" t="str">
        <f>IFERROR(VLOOKUP(Table25[[#This Row],[M/c No]],'[2]New Machine sheet'!$B$1:$D$101,2,0),0)</f>
        <v>MURATEC</v>
      </c>
      <c r="E241" s="62" t="str">
        <f>IFERROR(VLOOKUP(Table25[[#This Row],[M/c Name]],'[2]New Machine sheet'!$C$1:$D$101,2,0),0)</f>
        <v xml:space="preserve">turning </v>
      </c>
      <c r="F241" s="62">
        <v>127</v>
      </c>
      <c r="G241" s="62">
        <f>IFERROR(VLOOKUP(Table25[[#This Row],[Code2]],'[2]New Machine sheet'!$F$2:$I$64,2,),0)</f>
        <v>24127</v>
      </c>
      <c r="H241" s="62" t="str">
        <f>IFERROR(VLOOKUP(Table25[[#This Row],[Code2]],'[2]New Machine sheet'!$F$2:$I$64,3,0),0)</f>
        <v>RE J1</v>
      </c>
      <c r="I241" s="62" t="s">
        <v>171</v>
      </c>
      <c r="J241" s="62">
        <v>10</v>
      </c>
      <c r="K241" s="62" t="str">
        <f>IFERROR(VLOOKUP(Table25[[#This Row],[Code3]],'[2]New defect code '!$A$2:$D$129,2,0),0)</f>
        <v xml:space="preserve">Bore u/s </v>
      </c>
      <c r="L241" s="61" t="s">
        <v>217</v>
      </c>
      <c r="M241" s="56">
        <v>46266</v>
      </c>
      <c r="N241" s="62"/>
      <c r="O241" s="62">
        <v>1</v>
      </c>
      <c r="P241" s="62"/>
      <c r="Q241" s="62"/>
      <c r="R241" s="62">
        <f>SUBTOTAL(9,Table25[[#This Row],[1st]:[FQC]])</f>
        <v>1</v>
      </c>
      <c r="S241" s="62">
        <f>IFERROR(VLOOKUP(Table25[[#This Row],[Part No.]],'[2]New Machine sheet'!$G$2:$I$90,3,0),0)</f>
        <v>262.81200000000001</v>
      </c>
      <c r="T241" s="62">
        <f>Table25[[#This Row],[cost per piece]]*Table25[[#This Row],[Total Rej. qty]]</f>
        <v>262.81200000000001</v>
      </c>
      <c r="U241" s="62">
        <f>IFERROR(VLOOKUP(Table25[[#This Row],[Non Conformance]],'[2]New defect code '!$B$2:$C$129,2,0),0)</f>
        <v>0</v>
      </c>
      <c r="V241" s="62">
        <v>45</v>
      </c>
      <c r="W241" s="62" t="str">
        <f>IFERROR(VLOOKUP(Table25[[#This Row],[Code4]],'[2]New Reason code'!$A$2:$D$77,2,0),0)</f>
        <v>Running m/c</v>
      </c>
      <c r="X241" s="62">
        <f ca="1">#REF!+Table25[[#This Row],[Rejection Identified at]]</f>
        <v>0</v>
      </c>
      <c r="Y241" s="64">
        <f>IFERROR(VLOOKUP(Table25[[#This Row],[Reason]],Coding!A238:C295,3,0),0)</f>
        <v>0</v>
      </c>
    </row>
    <row r="242" spans="1:25" ht="20.25" customHeight="1">
      <c r="A242" s="50">
        <v>238</v>
      </c>
      <c r="B242" s="62">
        <v>47</v>
      </c>
      <c r="C242" s="62" t="str">
        <f>IFERROR(VLOOKUP(Table25[[#This Row],[Code]],'[2]New Machine sheet'!$A$1:$D$101,2,0),0)</f>
        <v>MURATEC-03</v>
      </c>
      <c r="D242" s="62" t="str">
        <f>IFERROR(VLOOKUP(Table25[[#This Row],[M/c No]],'[2]New Machine sheet'!$B$1:$D$101,2,0),0)</f>
        <v>MURATEC</v>
      </c>
      <c r="E242" s="62" t="str">
        <f>IFERROR(VLOOKUP(Table25[[#This Row],[M/c Name]],'[2]New Machine sheet'!$C$1:$D$101,2,0),0)</f>
        <v xml:space="preserve">turning </v>
      </c>
      <c r="F242" s="62">
        <v>127</v>
      </c>
      <c r="G242" s="62">
        <f>IFERROR(VLOOKUP(Table25[[#This Row],[Code2]],'[2]New Machine sheet'!$F$2:$I$64,2,),0)</f>
        <v>24127</v>
      </c>
      <c r="H242" s="62" t="str">
        <f>IFERROR(VLOOKUP(Table25[[#This Row],[Code2]],'[2]New Machine sheet'!$F$2:$I$64,3,0),0)</f>
        <v>RE J1</v>
      </c>
      <c r="I242" s="62" t="s">
        <v>171</v>
      </c>
      <c r="J242" s="62">
        <v>41</v>
      </c>
      <c r="K242" s="62" t="str">
        <f>IFERROR(VLOOKUP(Table25[[#This Row],[Code3]],'[2]New defect code '!$A$2:$D$129,2,0),0)</f>
        <v>Face Less metal</v>
      </c>
      <c r="L242" s="61" t="s">
        <v>217</v>
      </c>
      <c r="M242" s="56">
        <v>46266</v>
      </c>
      <c r="N242" s="62"/>
      <c r="O242" s="62">
        <v>1</v>
      </c>
      <c r="P242" s="62"/>
      <c r="Q242" s="62"/>
      <c r="R242" s="62">
        <f>SUBTOTAL(9,Table25[[#This Row],[1st]:[FQC]])</f>
        <v>1</v>
      </c>
      <c r="S242" s="62">
        <f>IFERROR(VLOOKUP(Table25[[#This Row],[Part No.]],'[2]New Machine sheet'!$G$2:$I$90,3,0),0)</f>
        <v>262.81200000000001</v>
      </c>
      <c r="T242" s="62">
        <f>Table25[[#This Row],[cost per piece]]*Table25[[#This Row],[Total Rej. qty]]</f>
        <v>262.81200000000001</v>
      </c>
      <c r="U242" s="62">
        <f>IFERROR(VLOOKUP(Table25[[#This Row],[Non Conformance]],'[2]New defect code '!$B$2:$C$129,2,0),0)</f>
        <v>3259</v>
      </c>
      <c r="V242" s="62">
        <v>45</v>
      </c>
      <c r="W242" s="62" t="str">
        <f>IFERROR(VLOOKUP(Table25[[#This Row],[Code4]],'[2]New Reason code'!$A$2:$D$77,2,0),0)</f>
        <v>Running m/c</v>
      </c>
      <c r="X242" s="62">
        <f ca="1">#REF!+Table25[[#This Row],[Rejection Identified at]]</f>
        <v>0</v>
      </c>
      <c r="Y242" s="64">
        <f>IFERROR(VLOOKUP(Table25[[#This Row],[Reason]],Coding!A239:C296,3,0),0)</f>
        <v>0</v>
      </c>
    </row>
    <row r="243" spans="1:25" ht="20.25" customHeight="1">
      <c r="A243" s="50">
        <v>239</v>
      </c>
      <c r="B243" s="62">
        <v>15</v>
      </c>
      <c r="C243" s="62" t="str">
        <f>IFERROR(VLOOKUP(Table25[[#This Row],[Code]],'[2]New Machine sheet'!$A$1:$D$101,2,0),0)</f>
        <v>282-15</v>
      </c>
      <c r="D243" s="62" t="str">
        <f>IFERROR(VLOOKUP(Table25[[#This Row],[M/c No]],'[2]New Machine sheet'!$B$1:$D$101,2,0),0)</f>
        <v>Mazak</v>
      </c>
      <c r="E243" s="62" t="str">
        <f>IFERROR(VLOOKUP(Table25[[#This Row],[M/c Name]],'[2]New Machine sheet'!$C$1:$D$101,2,0),0)</f>
        <v>Turning</v>
      </c>
      <c r="F243" s="62">
        <v>82</v>
      </c>
      <c r="G243" s="62">
        <f>IFERROR(VLOOKUP(Table25[[#This Row],[Code2]],'[2]New Machine sheet'!$F$2:$I$64,2,),0)</f>
        <v>2482</v>
      </c>
      <c r="H243" s="62" t="str">
        <f>IFERROR(VLOOKUP(Table25[[#This Row],[Code2]],'[2]New Machine sheet'!$F$2:$I$64,3,0),0)</f>
        <v>RE P1</v>
      </c>
      <c r="I243" s="62" t="s">
        <v>155</v>
      </c>
      <c r="J243" s="62">
        <v>37</v>
      </c>
      <c r="K243" s="62" t="str">
        <f>IFERROR(VLOOKUP(Table25[[#This Row],[Code3]],'[2]New defect code '!$A$2:$D$129,2,0),0)</f>
        <v>Face chatring</v>
      </c>
      <c r="L243" s="61" t="s">
        <v>217</v>
      </c>
      <c r="M243" s="56">
        <v>46266</v>
      </c>
      <c r="N243" s="62"/>
      <c r="O243" s="62"/>
      <c r="P243" s="62">
        <v>1</v>
      </c>
      <c r="Q243" s="62"/>
      <c r="R243" s="62">
        <f>SUBTOTAL(9,Table25[[#This Row],[1st]:[FQC]])</f>
        <v>1</v>
      </c>
      <c r="S243" s="62">
        <f>IFERROR(VLOOKUP(Table25[[#This Row],[Part No.]],'[2]New Machine sheet'!$G$2:$I$90,3,0),0)</f>
        <v>303.45333333333332</v>
      </c>
      <c r="T243" s="62">
        <f>Table25[[#This Row],[cost per piece]]*Table25[[#This Row],[Total Rej. qty]]</f>
        <v>303.45333333333332</v>
      </c>
      <c r="U243" s="62">
        <f>IFERROR(VLOOKUP(Table25[[#This Row],[Non Conformance]],'[2]New defect code '!$B$2:$C$129,2,0),0)</f>
        <v>0</v>
      </c>
      <c r="V243" s="62">
        <v>45</v>
      </c>
      <c r="W243" s="62" t="str">
        <f>IFERROR(VLOOKUP(Table25[[#This Row],[Code4]],'[2]New Reason code'!$A$2:$D$77,2,0),0)</f>
        <v>Running m/c</v>
      </c>
      <c r="X243" s="62">
        <f ca="1">#REF!+Table25[[#This Row],[Rejection Identified at]]</f>
        <v>0</v>
      </c>
      <c r="Y243" s="64">
        <f>IFERROR(VLOOKUP(Table25[[#This Row],[Reason]],Coding!A240:C297,3,0),0)</f>
        <v>0</v>
      </c>
    </row>
    <row r="244" spans="1:25" ht="20.25" customHeight="1">
      <c r="A244" s="60">
        <v>240</v>
      </c>
      <c r="B244" s="62">
        <v>20</v>
      </c>
      <c r="C244" s="62" t="str">
        <f>IFERROR(VLOOKUP(Table25[[#This Row],[Code]],'[2]New Machine sheet'!$A$1:$D$101,2,0),0)</f>
        <v>282-20</v>
      </c>
      <c r="D244" s="62" t="str">
        <f>IFERROR(VLOOKUP(Table25[[#This Row],[M/c No]],'[2]New Machine sheet'!$B$1:$D$101,2,0),0)</f>
        <v>Mazak</v>
      </c>
      <c r="E244" s="62" t="str">
        <f>IFERROR(VLOOKUP(Table25[[#This Row],[M/c Name]],'[2]New Machine sheet'!$C$1:$D$101,2,0),0)</f>
        <v>Turning</v>
      </c>
      <c r="F244" s="62">
        <v>115</v>
      </c>
      <c r="G244" s="62">
        <f>IFERROR(VLOOKUP(Table25[[#This Row],[Code2]],'[2]New Machine sheet'!$F$2:$I$64,2,),0)</f>
        <v>24115</v>
      </c>
      <c r="H244" s="62" t="str">
        <f>IFERROR(VLOOKUP(Table25[[#This Row],[Code2]],'[2]New Machine sheet'!$F$2:$I$64,3,0),0)</f>
        <v>RE J1</v>
      </c>
      <c r="I244" s="62" t="s">
        <v>133</v>
      </c>
      <c r="J244" s="62">
        <v>10</v>
      </c>
      <c r="K244" s="62" t="str">
        <f>IFERROR(VLOOKUP(Table25[[#This Row],[Code3]],'[2]New defect code '!$A$2:$D$129,2,0),0)</f>
        <v xml:space="preserve">Bore u/s </v>
      </c>
      <c r="L244" s="61" t="s">
        <v>217</v>
      </c>
      <c r="M244" s="56">
        <v>46266</v>
      </c>
      <c r="N244" s="62"/>
      <c r="O244" s="62"/>
      <c r="P244" s="62">
        <v>2</v>
      </c>
      <c r="Q244" s="62"/>
      <c r="R244" s="62">
        <f>SUBTOTAL(9,Table25[[#This Row],[1st]:[FQC]])</f>
        <v>2</v>
      </c>
      <c r="S244" s="62">
        <f>IFERROR(VLOOKUP(Table25[[#This Row],[Part No.]],'[2]New Machine sheet'!$G$2:$I$90,3,0),0)</f>
        <v>66.900000000000006</v>
      </c>
      <c r="T244" s="62">
        <f>Table25[[#This Row],[cost per piece]]*Table25[[#This Row],[Total Rej. qty]]</f>
        <v>133.80000000000001</v>
      </c>
      <c r="U244" s="62">
        <f>IFERROR(VLOOKUP(Table25[[#This Row],[Non Conformance]],'[2]New defect code '!$B$2:$C$129,2,0),0)</f>
        <v>0</v>
      </c>
      <c r="V244" s="62">
        <v>51</v>
      </c>
      <c r="W244" s="62" t="str">
        <f>IFERROR(VLOOKUP(Table25[[#This Row],[Code4]],'[2]New Reason code'!$A$2:$D$77,2,0),0)</f>
        <v>Size veriation on m/c</v>
      </c>
      <c r="X244" s="62">
        <f ca="1">#REF!+Table25[[#This Row],[Rejection Identified at]]</f>
        <v>0</v>
      </c>
      <c r="Y244" s="64">
        <f>IFERROR(VLOOKUP(Table25[[#This Row],[Reason]],Coding!A241:C298,3,0),0)</f>
        <v>0</v>
      </c>
    </row>
    <row r="245" spans="1:25" ht="20.25" customHeight="1">
      <c r="A245" s="50">
        <v>241</v>
      </c>
      <c r="B245" s="62">
        <v>15</v>
      </c>
      <c r="C245" s="62" t="str">
        <f>IFERROR(VLOOKUP(Table25[[#This Row],[Code]],'[2]New Machine sheet'!$A$1:$D$101,2,0),0)</f>
        <v>282-15</v>
      </c>
      <c r="D245" s="62" t="str">
        <f>IFERROR(VLOOKUP(Table25[[#This Row],[M/c No]],'[2]New Machine sheet'!$B$1:$D$101,2,0),0)</f>
        <v>Mazak</v>
      </c>
      <c r="E245" s="62" t="str">
        <f>IFERROR(VLOOKUP(Table25[[#This Row],[M/c Name]],'[2]New Machine sheet'!$C$1:$D$101,2,0),0)</f>
        <v>Turning</v>
      </c>
      <c r="F245" s="62">
        <v>65</v>
      </c>
      <c r="G245" s="62">
        <f>IFERROR(VLOOKUP(Table25[[#This Row],[Code2]],'[2]New Machine sheet'!$F$2:$I$64,2,),0)</f>
        <v>2465</v>
      </c>
      <c r="H245" s="62" t="str">
        <f>IFERROR(VLOOKUP(Table25[[#This Row],[Code2]],'[2]New Machine sheet'!$F$2:$I$64,3,0),0)</f>
        <v>RE D1</v>
      </c>
      <c r="I245" s="62" t="s">
        <v>140</v>
      </c>
      <c r="J245" s="62">
        <v>61</v>
      </c>
      <c r="K245" s="62" t="str">
        <f>IFERROR(VLOOKUP(Table25[[#This Row],[Code3]],'[2]New defect code '!$A$2:$D$129,2,0),0)</f>
        <v>Od o/s</v>
      </c>
      <c r="L245" s="61" t="s">
        <v>217</v>
      </c>
      <c r="M245" s="56">
        <v>46266</v>
      </c>
      <c r="N245" s="62"/>
      <c r="O245" s="62"/>
      <c r="P245" s="62">
        <v>2</v>
      </c>
      <c r="Q245" s="62"/>
      <c r="R245" s="62">
        <f>SUBTOTAL(9,Table25[[#This Row],[1st]:[FQC]])</f>
        <v>2</v>
      </c>
      <c r="S245" s="62">
        <f>IFERROR(VLOOKUP(Table25[[#This Row],[Part No.]],'[2]New Machine sheet'!$G$2:$I$90,3,0),0)</f>
        <v>245.64500000000001</v>
      </c>
      <c r="T245" s="62">
        <f>Table25[[#This Row],[cost per piece]]*Table25[[#This Row],[Total Rej. qty]]</f>
        <v>491.29</v>
      </c>
      <c r="U245" s="62">
        <f>IFERROR(VLOOKUP(Table25[[#This Row],[Non Conformance]],'[2]New defect code '!$B$2:$C$129,2,0),0)</f>
        <v>0</v>
      </c>
      <c r="V245" s="62">
        <v>18</v>
      </c>
      <c r="W245" s="62" t="str">
        <f>IFERROR(VLOOKUP(Table25[[#This Row],[Code4]],'[2]New Reason code'!$A$2:$D$77,2,0),0)</f>
        <v>During insert change</v>
      </c>
      <c r="X245" s="62">
        <f ca="1">#REF!+Table25[[#This Row],[Rejection Identified at]]</f>
        <v>0</v>
      </c>
      <c r="Y245" s="64">
        <f>IFERROR(VLOOKUP(Table25[[#This Row],[Reason]],Coding!A242:C299,3,0),0)</f>
        <v>0</v>
      </c>
    </row>
    <row r="246" spans="1:25" ht="20.25" customHeight="1">
      <c r="A246" s="50">
        <v>242</v>
      </c>
      <c r="B246" s="62">
        <v>12</v>
      </c>
      <c r="C246" s="62" t="str">
        <f>IFERROR(VLOOKUP(Table25[[#This Row],[Code]],'[2]New Machine sheet'!$A$1:$D$101,2,0),0)</f>
        <v>282-12</v>
      </c>
      <c r="D246" s="62" t="str">
        <f>IFERROR(VLOOKUP(Table25[[#This Row],[M/c No]],'[2]New Machine sheet'!$B$1:$D$101,2,0),0)</f>
        <v>Mazak</v>
      </c>
      <c r="E246" s="62" t="str">
        <f>IFERROR(VLOOKUP(Table25[[#This Row],[M/c Name]],'[2]New Machine sheet'!$C$1:$D$101,2,0),0)</f>
        <v>Turning</v>
      </c>
      <c r="F246" s="62">
        <v>73</v>
      </c>
      <c r="G246" s="62">
        <f>IFERROR(VLOOKUP(Table25[[#This Row],[Code2]],'[2]New Machine sheet'!$F$2:$I$64,2,),0)</f>
        <v>2473</v>
      </c>
      <c r="H246" s="62" t="str">
        <f>IFERROR(VLOOKUP(Table25[[#This Row],[Code2]],'[2]New Machine sheet'!$F$2:$I$64,3,0),0)</f>
        <v>RE P1</v>
      </c>
      <c r="I246" s="62" t="s">
        <v>115</v>
      </c>
      <c r="J246" s="62">
        <v>41</v>
      </c>
      <c r="K246" s="62" t="str">
        <f>IFERROR(VLOOKUP(Table25[[#This Row],[Code3]],'[2]New defect code '!$A$2:$D$129,2,0),0)</f>
        <v>Face Less metal</v>
      </c>
      <c r="L246" s="61" t="s">
        <v>217</v>
      </c>
      <c r="M246" s="56">
        <v>46266</v>
      </c>
      <c r="N246" s="62"/>
      <c r="O246" s="62"/>
      <c r="P246" s="62">
        <v>1</v>
      </c>
      <c r="Q246" s="62"/>
      <c r="R246" s="62">
        <f>SUBTOTAL(9,Table25[[#This Row],[1st]:[FQC]])</f>
        <v>1</v>
      </c>
      <c r="S246" s="62">
        <f>IFERROR(VLOOKUP(Table25[[#This Row],[Part No.]],'[2]New Machine sheet'!$G$2:$I$90,3,0),0)</f>
        <v>110.76</v>
      </c>
      <c r="T246" s="62">
        <f>Table25[[#This Row],[cost per piece]]*Table25[[#This Row],[Total Rej. qty]]</f>
        <v>110.76</v>
      </c>
      <c r="U246" s="62">
        <f>IFERROR(VLOOKUP(Table25[[#This Row],[Non Conformance]],'[2]New defect code '!$B$2:$C$129,2,0),0)</f>
        <v>3259</v>
      </c>
      <c r="V246" s="62">
        <v>45</v>
      </c>
      <c r="W246" s="62" t="str">
        <f>IFERROR(VLOOKUP(Table25[[#This Row],[Code4]],'[2]New Reason code'!$A$2:$D$77,2,0),0)</f>
        <v>Running m/c</v>
      </c>
      <c r="X246" s="62">
        <f ca="1">#REF!+Table25[[#This Row],[Rejection Identified at]]</f>
        <v>0</v>
      </c>
      <c r="Y246" s="64">
        <f>IFERROR(VLOOKUP(Table25[[#This Row],[Reason]],Coding!A243:C300,3,0),0)</f>
        <v>0</v>
      </c>
    </row>
  </sheetData>
  <dataConsolidate/>
  <mergeCells count="1">
    <mergeCell ref="N3:R3"/>
  </mergeCells>
  <phoneticPr fontId="31" type="noConversion"/>
  <pageMargins left="0.11811023622047244" right="0" top="0.74803149606299213" bottom="0" header="0.31496062992125984" footer="0.31496062992125984"/>
  <pageSetup paperSize="9" scale="25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47"/>
  <sheetViews>
    <sheetView workbookViewId="0">
      <selection activeCell="L21" sqref="L21"/>
    </sheetView>
  </sheetViews>
  <sheetFormatPr defaultRowHeight="15"/>
  <cols>
    <col min="1" max="1" width="24.5" bestFit="1" customWidth="1"/>
    <col min="2" max="2" width="19.375" bestFit="1" customWidth="1"/>
    <col min="3" max="3" width="18" bestFit="1" customWidth="1"/>
    <col min="6" max="6" width="12.125" bestFit="1" customWidth="1"/>
    <col min="7" max="7" width="18" bestFit="1" customWidth="1"/>
  </cols>
  <sheetData>
    <row r="1" spans="1:7">
      <c r="A1" s="74" t="s">
        <v>34</v>
      </c>
      <c r="B1" s="74"/>
      <c r="C1" s="74"/>
      <c r="F1" t="s">
        <v>4</v>
      </c>
      <c r="G1" t="s">
        <v>35</v>
      </c>
    </row>
    <row r="2" spans="1:7">
      <c r="A2" s="35" t="s">
        <v>27</v>
      </c>
      <c r="B2" s="35" t="s">
        <v>32</v>
      </c>
      <c r="C2" s="35" t="s">
        <v>33</v>
      </c>
      <c r="F2" t="s">
        <v>36</v>
      </c>
      <c r="G2" t="s">
        <v>37</v>
      </c>
    </row>
    <row r="3" spans="1:7">
      <c r="A3" s="35" t="s">
        <v>38</v>
      </c>
      <c r="B3" s="35" t="s">
        <v>36</v>
      </c>
      <c r="C3" s="35" t="s">
        <v>39</v>
      </c>
      <c r="F3" t="s">
        <v>40</v>
      </c>
      <c r="G3" t="s">
        <v>41</v>
      </c>
    </row>
    <row r="4" spans="1:7">
      <c r="A4" s="35" t="s">
        <v>42</v>
      </c>
      <c r="B4" s="35" t="s">
        <v>40</v>
      </c>
      <c r="C4" s="35" t="s">
        <v>39</v>
      </c>
      <c r="G4" t="s">
        <v>39</v>
      </c>
    </row>
    <row r="5" spans="1:7">
      <c r="A5" s="35" t="s">
        <v>43</v>
      </c>
      <c r="B5" s="35" t="s">
        <v>36</v>
      </c>
      <c r="C5" s="35" t="s">
        <v>39</v>
      </c>
      <c r="G5" t="s">
        <v>44</v>
      </c>
    </row>
    <row r="6" spans="1:7">
      <c r="A6" s="35" t="s">
        <v>45</v>
      </c>
      <c r="B6" s="35" t="s">
        <v>36</v>
      </c>
      <c r="C6" s="35" t="s">
        <v>39</v>
      </c>
    </row>
    <row r="7" spans="1:7">
      <c r="A7" s="35" t="s">
        <v>46</v>
      </c>
      <c r="B7" s="35" t="s">
        <v>40</v>
      </c>
      <c r="C7" s="35" t="s">
        <v>37</v>
      </c>
    </row>
    <row r="8" spans="1:7">
      <c r="A8" s="35" t="s">
        <v>47</v>
      </c>
      <c r="B8" s="35" t="s">
        <v>40</v>
      </c>
      <c r="C8" s="35" t="s">
        <v>44</v>
      </c>
    </row>
    <row r="9" spans="1:7">
      <c r="A9" s="35" t="s">
        <v>48</v>
      </c>
      <c r="B9" s="35" t="s">
        <v>40</v>
      </c>
      <c r="C9" s="35" t="s">
        <v>44</v>
      </c>
    </row>
    <row r="10" spans="1:7">
      <c r="A10" s="35" t="s">
        <v>49</v>
      </c>
      <c r="B10" s="35" t="s">
        <v>40</v>
      </c>
      <c r="C10" s="35" t="s">
        <v>37</v>
      </c>
    </row>
    <row r="11" spans="1:7">
      <c r="A11" s="35" t="s">
        <v>50</v>
      </c>
      <c r="B11" s="35" t="s">
        <v>40</v>
      </c>
      <c r="C11" s="35" t="s">
        <v>37</v>
      </c>
    </row>
    <row r="12" spans="1:7">
      <c r="A12" s="35" t="s">
        <v>51</v>
      </c>
      <c r="B12" s="35" t="s">
        <v>4</v>
      </c>
      <c r="C12" s="35" t="s">
        <v>39</v>
      </c>
    </row>
    <row r="13" spans="1:7">
      <c r="A13" s="35" t="s">
        <v>52</v>
      </c>
      <c r="B13" s="35" t="s">
        <v>36</v>
      </c>
      <c r="C13" s="35" t="s">
        <v>39</v>
      </c>
    </row>
    <row r="14" spans="1:7">
      <c r="A14" s="35" t="s">
        <v>53</v>
      </c>
      <c r="B14" s="35" t="s">
        <v>36</v>
      </c>
      <c r="C14" s="35" t="s">
        <v>39</v>
      </c>
    </row>
    <row r="15" spans="1:7">
      <c r="A15" s="35" t="s">
        <v>54</v>
      </c>
      <c r="B15" s="35" t="s">
        <v>36</v>
      </c>
      <c r="C15" s="35" t="s">
        <v>35</v>
      </c>
    </row>
    <row r="16" spans="1:7">
      <c r="A16" s="35" t="s">
        <v>55</v>
      </c>
      <c r="B16" s="35" t="s">
        <v>36</v>
      </c>
      <c r="C16" s="35" t="s">
        <v>39</v>
      </c>
    </row>
    <row r="17" spans="1:3">
      <c r="A17" s="35" t="s">
        <v>56</v>
      </c>
      <c r="B17" s="35" t="s">
        <v>36</v>
      </c>
      <c r="C17" s="35" t="s">
        <v>39</v>
      </c>
    </row>
    <row r="18" spans="1:3">
      <c r="A18" s="35" t="s">
        <v>57</v>
      </c>
      <c r="B18" s="35" t="s">
        <v>36</v>
      </c>
      <c r="C18" s="35" t="s">
        <v>39</v>
      </c>
    </row>
    <row r="19" spans="1:3">
      <c r="A19" s="35" t="s">
        <v>58</v>
      </c>
      <c r="B19" s="35" t="s">
        <v>36</v>
      </c>
      <c r="C19" s="35" t="s">
        <v>39</v>
      </c>
    </row>
    <row r="20" spans="1:3">
      <c r="A20" s="35" t="s">
        <v>59</v>
      </c>
      <c r="B20" s="35" t="s">
        <v>36</v>
      </c>
      <c r="C20" s="35" t="s">
        <v>39</v>
      </c>
    </row>
    <row r="21" spans="1:3">
      <c r="A21" s="35" t="s">
        <v>60</v>
      </c>
      <c r="B21" s="35" t="s">
        <v>36</v>
      </c>
      <c r="C21" s="35" t="s">
        <v>39</v>
      </c>
    </row>
    <row r="22" spans="1:3">
      <c r="A22" s="35" t="s">
        <v>61</v>
      </c>
      <c r="B22" s="35" t="s">
        <v>36</v>
      </c>
      <c r="C22" s="35" t="s">
        <v>39</v>
      </c>
    </row>
    <row r="23" spans="1:3">
      <c r="A23" s="35" t="s">
        <v>62</v>
      </c>
      <c r="B23" s="35" t="s">
        <v>36</v>
      </c>
      <c r="C23" s="35" t="s">
        <v>39</v>
      </c>
    </row>
    <row r="24" spans="1:3">
      <c r="A24" s="35" t="s">
        <v>42</v>
      </c>
      <c r="B24" s="35" t="s">
        <v>40</v>
      </c>
      <c r="C24" s="35" t="s">
        <v>39</v>
      </c>
    </row>
    <row r="25" spans="1:3">
      <c r="A25" s="35" t="s">
        <v>63</v>
      </c>
      <c r="B25" s="35" t="s">
        <v>36</v>
      </c>
      <c r="C25" s="35" t="s">
        <v>39</v>
      </c>
    </row>
    <row r="26" spans="1:3">
      <c r="A26" s="35" t="s">
        <v>64</v>
      </c>
      <c r="B26" s="35" t="s">
        <v>36</v>
      </c>
      <c r="C26" s="35" t="s">
        <v>39</v>
      </c>
    </row>
    <row r="27" spans="1:3">
      <c r="A27" s="35" t="s">
        <v>65</v>
      </c>
      <c r="B27" s="35" t="s">
        <v>36</v>
      </c>
      <c r="C27" s="35" t="s">
        <v>39</v>
      </c>
    </row>
    <row r="28" spans="1:3">
      <c r="A28" s="35" t="s">
        <v>43</v>
      </c>
      <c r="B28" s="35" t="s">
        <v>36</v>
      </c>
      <c r="C28" s="35" t="s">
        <v>39</v>
      </c>
    </row>
    <row r="29" spans="1:3">
      <c r="A29" s="35" t="s">
        <v>66</v>
      </c>
      <c r="B29" s="35" t="s">
        <v>40</v>
      </c>
      <c r="C29" s="35" t="s">
        <v>44</v>
      </c>
    </row>
    <row r="30" spans="1:3">
      <c r="A30" s="35" t="s">
        <v>48</v>
      </c>
      <c r="B30" s="35" t="s">
        <v>40</v>
      </c>
      <c r="C30" s="35" t="s">
        <v>44</v>
      </c>
    </row>
    <row r="31" spans="1:3">
      <c r="A31" s="35" t="s">
        <v>49</v>
      </c>
      <c r="B31" s="35" t="s">
        <v>40</v>
      </c>
      <c r="C31" s="35" t="s">
        <v>37</v>
      </c>
    </row>
    <row r="32" spans="1:3">
      <c r="A32" s="35" t="s">
        <v>67</v>
      </c>
      <c r="B32" s="35" t="s">
        <v>36</v>
      </c>
      <c r="C32" s="35" t="s">
        <v>39</v>
      </c>
    </row>
    <row r="33" spans="1:3">
      <c r="A33" s="35" t="s">
        <v>68</v>
      </c>
      <c r="B33" s="35" t="s">
        <v>36</v>
      </c>
      <c r="C33" s="35" t="s">
        <v>37</v>
      </c>
    </row>
    <row r="34" spans="1:3">
      <c r="A34" s="35" t="s">
        <v>51</v>
      </c>
      <c r="B34" s="35" t="s">
        <v>4</v>
      </c>
      <c r="C34" s="35" t="s">
        <v>39</v>
      </c>
    </row>
    <row r="35" spans="1:3">
      <c r="A35" s="35" t="s">
        <v>52</v>
      </c>
      <c r="B35" s="35" t="s">
        <v>36</v>
      </c>
      <c r="C35" s="35" t="s">
        <v>39</v>
      </c>
    </row>
    <row r="36" spans="1:3">
      <c r="A36" s="35" t="s">
        <v>53</v>
      </c>
      <c r="B36" s="35" t="s">
        <v>36</v>
      </c>
      <c r="C36" s="35" t="s">
        <v>39</v>
      </c>
    </row>
    <row r="37" spans="1:3">
      <c r="A37" s="35" t="s">
        <v>69</v>
      </c>
      <c r="B37" s="35" t="s">
        <v>40</v>
      </c>
      <c r="C37" s="35" t="s">
        <v>35</v>
      </c>
    </row>
    <row r="38" spans="1:3">
      <c r="A38" s="35" t="s">
        <v>70</v>
      </c>
      <c r="B38" s="35" t="s">
        <v>36</v>
      </c>
      <c r="C38" s="35" t="s">
        <v>39</v>
      </c>
    </row>
    <row r="39" spans="1:3">
      <c r="A39" s="35" t="s">
        <v>71</v>
      </c>
      <c r="B39" s="35" t="s">
        <v>40</v>
      </c>
      <c r="C39" s="35" t="s">
        <v>37</v>
      </c>
    </row>
    <row r="40" spans="1:3">
      <c r="A40" s="35" t="s">
        <v>72</v>
      </c>
      <c r="B40" s="35" t="s">
        <v>36</v>
      </c>
      <c r="C40" s="35" t="s">
        <v>39</v>
      </c>
    </row>
    <row r="41" spans="1:3">
      <c r="A41" s="35" t="s">
        <v>73</v>
      </c>
      <c r="B41" s="35" t="s">
        <v>40</v>
      </c>
      <c r="C41" s="35" t="s">
        <v>39</v>
      </c>
    </row>
    <row r="42" spans="1:3">
      <c r="A42" s="35" t="s">
        <v>56</v>
      </c>
      <c r="B42" s="35" t="s">
        <v>36</v>
      </c>
      <c r="C42" s="35" t="s">
        <v>41</v>
      </c>
    </row>
    <row r="43" spans="1:3">
      <c r="A43" s="35" t="s">
        <v>74</v>
      </c>
      <c r="B43" s="35" t="s">
        <v>36</v>
      </c>
      <c r="C43" s="35" t="s">
        <v>39</v>
      </c>
    </row>
    <row r="44" spans="1:3">
      <c r="A44" s="35" t="s">
        <v>75</v>
      </c>
      <c r="B44" s="35" t="s">
        <v>36</v>
      </c>
      <c r="C44" s="35" t="s">
        <v>39</v>
      </c>
    </row>
    <row r="45" spans="1:3">
      <c r="A45" s="35" t="s">
        <v>76</v>
      </c>
      <c r="B45" s="35" t="s">
        <v>36</v>
      </c>
      <c r="C45" s="35" t="s">
        <v>39</v>
      </c>
    </row>
    <row r="46" spans="1:3">
      <c r="A46" s="35" t="s">
        <v>59</v>
      </c>
      <c r="B46" s="35" t="s">
        <v>36</v>
      </c>
      <c r="C46" s="35" t="s">
        <v>39</v>
      </c>
    </row>
    <row r="47" spans="1:3">
      <c r="A47" s="35" t="s">
        <v>77</v>
      </c>
      <c r="B47" s="35" t="s">
        <v>36</v>
      </c>
      <c r="C47" s="35" t="s">
        <v>39</v>
      </c>
    </row>
  </sheetData>
  <mergeCells count="1"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2c92bb-bb1e-4496-9f98-544dd509aafc}" enabled="1" method="Standard" siteId="{76a9a4c0-e34b-4ea8-b0b7-96fc4396f9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Bush Rejection</vt:lpstr>
      <vt:lpstr>FQC Rejection Book</vt:lpstr>
      <vt:lpstr>Truning Daily Rej-Sep-26</vt:lpstr>
      <vt:lpstr>Sheet1</vt:lpstr>
      <vt:lpstr>Truning Daily Rew-Sep-26</vt:lpstr>
      <vt:lpstr>Coding</vt:lpstr>
      <vt:lpstr>'Truning Daily Rej-Sep-26'!Print_Area</vt:lpstr>
      <vt:lpstr>'Truning Daily Rew-Sep-26'!Print_Area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Vivekanand Shukla</dc:creator>
  <cp:lastModifiedBy>Ms</cp:lastModifiedBy>
  <cp:lastPrinted>2025-07-11T04:53:05Z</cp:lastPrinted>
  <dcterms:created xsi:type="dcterms:W3CDTF">2021-02-02T13:04:18Z</dcterms:created>
  <dcterms:modified xsi:type="dcterms:W3CDTF">2026-09-16T18:19:52Z</dcterms:modified>
</cp:coreProperties>
</file>